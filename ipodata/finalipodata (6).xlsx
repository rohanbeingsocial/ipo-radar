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redict" sheetId="2" r:id="rId6"/>
    <sheet state="visible" name="Copy of Sheet1" sheetId="3" r:id="rId7"/>
    <sheet state="visible" name="Cleaned" sheetId="4" r:id="rId8"/>
  </sheets>
  <definedNames/>
  <calcPr/>
</workbook>
</file>

<file path=xl/sharedStrings.xml><?xml version="1.0" encoding="utf-8"?>
<sst xmlns="http://schemas.openxmlformats.org/spreadsheetml/2006/main" count="1604" uniqueCount="216">
  <si>
    <t>Apply Date</t>
  </si>
  <si>
    <t>List Date</t>
  </si>
  <si>
    <t>Nifty 50</t>
  </si>
  <si>
    <t>Nifty 50 price of Prev Closing</t>
  </si>
  <si>
    <t xml:space="preserve"> Change </t>
  </si>
  <si>
    <t>NIfty 50 monthly</t>
  </si>
  <si>
    <t>Sector</t>
  </si>
  <si>
    <t>Name</t>
  </si>
  <si>
    <t>Cap</t>
  </si>
  <si>
    <t>Face Value</t>
  </si>
  <si>
    <t>Offer Price</t>
  </si>
  <si>
    <t>GMP</t>
  </si>
  <si>
    <t>Estimated Price</t>
  </si>
  <si>
    <t>Listing Price</t>
  </si>
  <si>
    <t>Listing Gain</t>
  </si>
  <si>
    <t>Closing Price</t>
  </si>
  <si>
    <t>Closing Gain(LND)</t>
  </si>
  <si>
    <t>LTP</t>
  </si>
  <si>
    <t>LTP Gain</t>
  </si>
  <si>
    <t>QIB</t>
  </si>
  <si>
    <t>bNII</t>
  </si>
  <si>
    <t>sNII</t>
  </si>
  <si>
    <t>Retail</t>
  </si>
  <si>
    <t>Net Worth</t>
  </si>
  <si>
    <t>EBITA Margin</t>
  </si>
  <si>
    <t>ROE</t>
  </si>
  <si>
    <t>ROCE</t>
  </si>
  <si>
    <t>D/E</t>
  </si>
  <si>
    <t>PAT Margin</t>
  </si>
  <si>
    <t>RoNW</t>
  </si>
  <si>
    <t>P/B</t>
  </si>
  <si>
    <t>Total Shares Offered</t>
  </si>
  <si>
    <t>QIB Shares Offered</t>
  </si>
  <si>
    <t>bNII Shares Offered</t>
  </si>
  <si>
    <t>sNII Shares Offered</t>
  </si>
  <si>
    <t>Retail Shares Offered</t>
  </si>
  <si>
    <t>Anchor Shares Offered</t>
  </si>
  <si>
    <t>Lot size</t>
  </si>
  <si>
    <t>Pre IPO EPs</t>
  </si>
  <si>
    <t>Pre IPO P/E</t>
  </si>
  <si>
    <t>Post IPO Eps</t>
  </si>
  <si>
    <t>Post IPO P/E</t>
  </si>
  <si>
    <t>% QIB</t>
  </si>
  <si>
    <t>% bNII</t>
  </si>
  <si>
    <t>% sNII</t>
  </si>
  <si>
    <t>% Retail</t>
  </si>
  <si>
    <t>% anchor</t>
  </si>
  <si>
    <t>Manufacturing</t>
  </si>
  <si>
    <t>Shanti Gold International Limited</t>
  </si>
  <si>
    <t>Small Cap</t>
  </si>
  <si>
    <t>Technology</t>
  </si>
  <si>
    <t>Aditya Infotech Limited</t>
  </si>
  <si>
    <t>Financials</t>
  </si>
  <si>
    <t>Laxmi India Finance Limited</t>
  </si>
  <si>
    <t>Low</t>
  </si>
  <si>
    <t>Services</t>
  </si>
  <si>
    <t>Indiqube Spaces Limited</t>
  </si>
  <si>
    <t>NaN</t>
  </si>
  <si>
    <t>GNG Electronics Limited</t>
  </si>
  <si>
    <t>−0.79</t>
  </si>
  <si>
    <t>Brigade Hotel Ventures Limited</t>
  </si>
  <si>
    <t>Neutral</t>
  </si>
  <si>
    <t>Healthcare</t>
  </si>
  <si>
    <t>Anthem Biosciences Limited</t>
  </si>
  <si>
    <t>−0.20</t>
  </si>
  <si>
    <t>Smartworks Coworking Spaces Limited</t>
  </si>
  <si>
    <t>-</t>
  </si>
  <si>
    <t>−0.12</t>
  </si>
  <si>
    <t>Travel Food Services Limited</t>
  </si>
  <si>
    <t>Mid Cap</t>
  </si>
  <si>
    <t>High</t>
  </si>
  <si>
    <t>Consumer Discretionary</t>
  </si>
  <si>
    <t>Crizac Limited</t>
  </si>
  <si>
    <t>Agriculture</t>
  </si>
  <si>
    <t>Indogulf Cropsciences Limited</t>
  </si>
  <si>
    <t>−0.06</t>
  </si>
  <si>
    <t>HDB Financial Services Ltd.</t>
  </si>
  <si>
    <t>Large Cap</t>
  </si>
  <si>
    <t>Industrials</t>
  </si>
  <si>
    <t>Sambhv Steel Tubes Ltd.</t>
  </si>
  <si>
    <t>Globe Civil Projects Ltd.</t>
  </si>
  <si>
    <t>Materials</t>
  </si>
  <si>
    <t>Ellenbarrie Industrial Gases Ltd.</t>
  </si>
  <si>
    <t>Real Estate</t>
  </si>
  <si>
    <t>Kalpataru Ltd.</t>
  </si>
  <si>
    <t>Arisinfra Solutions Ltd.</t>
  </si>
  <si>
    <t>–2.31</t>
  </si>
  <si>
    <t>–90.83</t>
  </si>
  <si>
    <t>−0.78</t>
  </si>
  <si>
    <t>Oswal Pumps Ltd.</t>
  </si>
  <si>
    <t>Scoda Tubes Ltd.</t>
  </si>
  <si>
    <t>−0.23</t>
  </si>
  <si>
    <t>Prostarm Info Systems Ltd.</t>
  </si>
  <si>
    <t>−0.69</t>
  </si>
  <si>
    <t>Energy</t>
  </si>
  <si>
    <t>Aegis Vopak Terminals Ltd.</t>
  </si>
  <si>
    <t>Schloss Bangalore</t>
  </si>
  <si>
    <t>−0.25</t>
  </si>
  <si>
    <t>Auto &amp; Auto Ancillaries</t>
  </si>
  <si>
    <t>Belrise Industries Ltd.</t>
  </si>
  <si>
    <t>−0.90</t>
  </si>
  <si>
    <t>Borana Weaves Ltd.</t>
  </si>
  <si>
    <t>−0.32</t>
  </si>
  <si>
    <t>Ather Energy Ltd.</t>
  </si>
  <si>
    <t>Quality Power Electrical Equipments Ltd.</t>
  </si>
  <si>
    <t>Hexaware Technologies Ltd.</t>
  </si>
  <si>
    <t>−0.87</t>
  </si>
  <si>
    <t>Ajax Engineering Ltd.</t>
  </si>
  <si>
    <t>Dr.Agarwal's Health Care Ltd.</t>
  </si>
  <si>
    <t>Denta Water &amp; Infra Solutions Ltd.</t>
  </si>
  <si>
    <t>Stallion India Fluorochemicals</t>
  </si>
  <si>
    <t>Laxmi Dental Ltd.</t>
  </si>
  <si>
    <t>−2.35</t>
  </si>
  <si>
    <t>Quadrant Future Tek</t>
  </si>
  <si>
    <t>Standard Glass Lining Technology Ltd.</t>
  </si>
  <si>
    <t>Indio Farm Equipment Ltd.</t>
  </si>
  <si>
    <t>Unimech Aerospace &amp; Manufacturing Ltd.</t>
  </si>
  <si>
    <t>Carraro India Ltd.</t>
  </si>
  <si>
    <t>Senores Pharmaceuticals Ltd.</t>
  </si>
  <si>
    <t>Ventive Hospitality Ltd.</t>
  </si>
  <si>
    <t>Concord Enviro Systems Ltd.</t>
  </si>
  <si>
    <t>Sanathan Textiles Ltd.</t>
  </si>
  <si>
    <t>Small‑cap</t>
  </si>
  <si>
    <t>Mamata Machinery Ltd.</t>
  </si>
  <si>
    <t>DAM Capital Advisors Ltd.</t>
  </si>
  <si>
    <t>Transrail Lighting Ltd.</t>
  </si>
  <si>
    <t>International Gemmological Institute (India) Ltd.</t>
  </si>
  <si>
    <t>Inventurus Knowledge Solutions Ltd.</t>
  </si>
  <si>
    <t>One Mobikwik Systems Ltd.</t>
  </si>
  <si>
    <t>Sai Life Sciences Ltd.</t>
  </si>
  <si>
    <t>Vishal Mega Mart</t>
  </si>
  <si>
    <t>Suraksha Diagnostic Ltd.</t>
  </si>
  <si>
    <t>Enviro Infra Engineers Ltd.</t>
  </si>
  <si>
    <t>NTPC Green Energy Ltd.</t>
  </si>
  <si>
    <t>Zinka Logistics Solutions Ltd.</t>
  </si>
  <si>
    <t>Niva Bupa Health Insurance Company Limited</t>
  </si>
  <si>
    <t>ACME Solar Holdings Ltd.</t>
  </si>
  <si>
    <t>Swiggy Ltd.</t>
  </si>
  <si>
    <t>Sagility India Ltd.</t>
  </si>
  <si>
    <t>Afcons Infrastructure Limited</t>
  </si>
  <si>
    <t>Godavari Biorefineries Ltd.</t>
  </si>
  <si>
    <t>Deepak Builders &amp; Engineers India Ltd.</t>
  </si>
  <si>
    <t>Waaree Energies</t>
  </si>
  <si>
    <t>Hyundai Motor India Ltd.</t>
  </si>
  <si>
    <t>Garuda Construction and Engineering Ltd.</t>
  </si>
  <si>
    <t>Diffusion Engineers</t>
  </si>
  <si>
    <t>KRN Heat Exchanger &amp; Refrigeration Ltd.</t>
  </si>
  <si>
    <t>Manba Finance Ltd.</t>
  </si>
  <si>
    <t>Northern Arc Capital</t>
  </si>
  <si>
    <t>Arkade Developers Ltd.</t>
  </si>
  <si>
    <t>Western Carriers India Ltd</t>
  </si>
  <si>
    <t>P N Gadgil Jewellers Ltd.</t>
  </si>
  <si>
    <t>Kross Ltd.</t>
  </si>
  <si>
    <t>Tolins Tyres Ltd.</t>
  </si>
  <si>
    <t>Bajaj Housing Finance Ltd.</t>
  </si>
  <si>
    <t>Shree Tirupati Balajee Agro Trading Company Limited</t>
  </si>
  <si>
    <t>Gala Precision Engineering Ltd.</t>
  </si>
  <si>
    <t>Baazar Style Retail Ltd.</t>
  </si>
  <si>
    <t>ECOS Mobility IPO</t>
  </si>
  <si>
    <t>Premier Energies Ltd.</t>
  </si>
  <si>
    <t>Orient Technologies Ltd.</t>
  </si>
  <si>
    <t>Interarch Building Products Ltd.</t>
  </si>
  <si>
    <t>Saraswati Saree Depot Ltd.</t>
  </si>
  <si>
    <t>Unicommerce eSolutions Ltd.</t>
  </si>
  <si>
    <t>Brainbees Solutions Ltd.</t>
  </si>
  <si>
    <t>Ola Electric Mobility Ltd.</t>
  </si>
  <si>
    <t>Ceigall India Ltd.</t>
  </si>
  <si>
    <t>Akums Drugs and Pharmaceuticals Ltd.</t>
  </si>
  <si>
    <t>Bansal Wire Industries Ltd.</t>
  </si>
  <si>
    <t>Sanstar Ltd.</t>
  </si>
  <si>
    <t>Emcure Pharmaceuticals Ltd.</t>
  </si>
  <si>
    <t>Vraj Iron And Steel Limited</t>
  </si>
  <si>
    <t>Allied Blenders &amp; Distillers Ltd.</t>
  </si>
  <si>
    <t>Stanley Lifestyles Ltd.</t>
  </si>
  <si>
    <t>DEE Development Engineers</t>
  </si>
  <si>
    <t>Akme Fintrade</t>
  </si>
  <si>
    <t>Le Travenues Technology Ltd.</t>
  </si>
  <si>
    <t>Kronox Lab Sciences Ltd.</t>
  </si>
  <si>
    <t>Awfis Space Solutions Ltd.</t>
  </si>
  <si>
    <t>Go Digit General Insurance Ltd.</t>
  </si>
  <si>
    <t>TBO Tek Ltd.</t>
  </si>
  <si>
    <t>Aadhar Housing Finance Ltd.</t>
  </si>
  <si>
    <t>Indegene Ltd.</t>
  </si>
  <si>
    <t>JNK India Ltd.</t>
  </si>
  <si>
    <t>Bharti Hexacom Ltd.</t>
  </si>
  <si>
    <t>SRM Contractors Ltd.</t>
  </si>
  <si>
    <t>Krystal Integrated Services Ltd.</t>
  </si>
  <si>
    <t>Popular Vehicles &amp; Services Ltd.</t>
  </si>
  <si>
    <t>Gopal Snacks Ltd.</t>
  </si>
  <si>
    <t>J.G.Chemicals</t>
  </si>
  <si>
    <t>R K SWAMY Ltd.</t>
  </si>
  <si>
    <t>Mukka Proteins</t>
  </si>
  <si>
    <t>Exicom Tele-Systems</t>
  </si>
  <si>
    <t>Platinum Industries Ltd.</t>
  </si>
  <si>
    <t>GPT Healthcare Ltd.</t>
  </si>
  <si>
    <t>Juniper Hotels</t>
  </si>
  <si>
    <t>Vibhor Steel Tubes Ltd.</t>
  </si>
  <si>
    <t>Entero Healthcare Solutions Ltd.</t>
  </si>
  <si>
    <t>Jana Small Finance Bank Ltd.</t>
  </si>
  <si>
    <t>Capital Small Finance Bank</t>
  </si>
  <si>
    <t>Rashi Peripherals Ltd.</t>
  </si>
  <si>
    <t>Apeejay Surrendra Park Hotels Ltd.</t>
  </si>
  <si>
    <t>BLS E-Services Ltd.</t>
  </si>
  <si>
    <t>Nova AgriTech Ltd.</t>
  </si>
  <si>
    <t>EPACK Durable Ltd.</t>
  </si>
  <si>
    <t>Medi Assist Healthcare Services Ltd.</t>
  </si>
  <si>
    <t>Jyoti CNC Automation Ltd.</t>
  </si>
  <si>
    <t>Closing Gain</t>
  </si>
  <si>
    <t>% Anchor</t>
  </si>
  <si>
    <t>Fi0cials</t>
  </si>
  <si>
    <t>HDB Fi0cial Services Ltd.</t>
  </si>
  <si>
    <t>Manba Fi0ce Ltd.</t>
  </si>
  <si>
    <t>Bajaj Housing Fi0ce Ltd.</t>
  </si>
  <si>
    <t>Aadhar Housing Fi0ce Ltd.</t>
  </si>
  <si>
    <t>Jana Small Fi0ce Bank Ltd.</t>
  </si>
  <si>
    <t>Capital Small Fi0ce Bank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</si>
</sst>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9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</font>
    <font>
      <sz val="10.0"/>
      <color theme="1"/>
      <name val="Arial"/>
      <scheme val="minor"/>
    </font>
    <font>
      <sz val="11.0"/>
      <color rgb="FF000000"/>
      <name val="Calibri"/>
    </font>
    <font>
      <color rgb="FF000000"/>
      <name val="Arial"/>
    </font>
    <font>
      <color theme="1"/>
      <name val="Arial"/>
      <scheme val="minor"/>
    </font>
    <font>
      <color theme="1"/>
      <name val="Arial"/>
    </font>
    <font>
      <sz val="10.0"/>
      <color rgb="FF434343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5" fontId="1" numFmtId="0" xfId="0" applyAlignment="1" applyFill="1" applyFont="1">
      <alignment horizontal="center" shrinkToFit="0" vertical="center" wrapText="1"/>
    </xf>
    <xf borderId="0" fillId="5" fontId="1" numFmtId="0" xfId="0" applyAlignment="1" applyFont="1">
      <alignment horizontal="center" readingOrder="0" vertical="center"/>
    </xf>
    <xf borderId="0" fillId="5" fontId="1" numFmtId="0" xfId="0" applyAlignment="1" applyFont="1">
      <alignment horizontal="center" vertical="center"/>
    </xf>
    <xf borderId="0" fillId="6" fontId="1" numFmtId="0" xfId="0" applyAlignment="1" applyFill="1" applyFont="1">
      <alignment horizontal="center" readingOrder="0" shrinkToFit="0" vertical="center" wrapText="1"/>
    </xf>
    <xf borderId="0" fillId="7" fontId="1" numFmtId="0" xfId="0" applyAlignment="1" applyFill="1" applyFont="1">
      <alignment horizontal="center" shrinkToFit="0" vertical="center" wrapText="1"/>
    </xf>
    <xf borderId="0" fillId="7" fontId="1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3" fontId="2" numFmtId="0" xfId="0" applyAlignment="1" applyFont="1">
      <alignment horizontal="center" readingOrder="0" vertical="center"/>
    </xf>
    <xf borderId="0" fillId="8" fontId="1" numFmtId="0" xfId="0" applyAlignment="1" applyFill="1" applyFon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vertical="bottom"/>
    </xf>
    <xf borderId="0" fillId="9" fontId="3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wrapText="0"/>
    </xf>
    <xf borderId="0" fillId="9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9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/>
    </xf>
    <xf borderId="0" fillId="0" fontId="4" numFmtId="11" xfId="0" applyAlignment="1" applyFont="1" applyNumberFormat="1">
      <alignment horizontal="center" readingOrder="0" shrinkToFit="0" wrapText="0"/>
    </xf>
    <xf borderId="0" fillId="9" fontId="3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vertical="bottom"/>
    </xf>
    <xf borderId="0" fillId="9" fontId="3" numFmtId="0" xfId="0" applyAlignment="1" applyFont="1">
      <alignment horizontal="center" shrinkToFit="0" wrapText="0"/>
    </xf>
    <xf borderId="0" fillId="9" fontId="3" numFmtId="0" xfId="0" applyAlignment="1" applyFont="1">
      <alignment horizontal="center" shrinkToFit="0" wrapText="0"/>
    </xf>
    <xf borderId="0" fillId="0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 vertical="bottom"/>
    </xf>
    <xf borderId="0" fillId="0" fontId="6" numFmtId="0" xfId="0" applyAlignment="1" applyFont="1">
      <alignment horizontal="center" shrinkToFit="0" wrapText="1"/>
    </xf>
    <xf borderId="0" fillId="0" fontId="6" numFmtId="0" xfId="0" applyAlignment="1" applyFont="1">
      <alignment horizontal="center" readingOrder="0"/>
    </xf>
    <xf borderId="0" fillId="0" fontId="3" numFmtId="4" xfId="0" applyAlignment="1" applyFont="1" applyNumberFormat="1">
      <alignment horizontal="center" readingOrder="0"/>
    </xf>
    <xf borderId="0" fillId="9" fontId="3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readingOrder="0" vertical="bottom"/>
    </xf>
    <xf borderId="0" fillId="0" fontId="4" numFmtId="0" xfId="0" applyAlignment="1" applyFont="1">
      <alignment horizontal="center" shrinkToFit="0" wrapText="0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shrinkToFit="0" wrapText="1"/>
    </xf>
    <xf borderId="0" fillId="0" fontId="3" numFmtId="0" xfId="0" applyFont="1"/>
    <xf borderId="1" fillId="10" fontId="8" numFmtId="0" xfId="0" applyAlignment="1" applyBorder="1" applyFill="1" applyFont="1">
      <alignment horizontal="center" shrinkToFit="0" wrapText="0"/>
    </xf>
    <xf borderId="0" fillId="10" fontId="8" numFmtId="0" xfId="0" applyAlignment="1" applyFont="1">
      <alignment horizontal="center" shrinkToFit="0" wrapText="0"/>
    </xf>
    <xf borderId="0" fillId="2" fontId="2" numFmtId="0" xfId="0" applyAlignment="1" applyFont="1">
      <alignment horizontal="center" shrinkToFit="0" wrapText="1"/>
    </xf>
    <xf borderId="0" fillId="0" fontId="7" numFmtId="0" xfId="0" applyAlignment="1" applyFont="1">
      <alignment horizontal="center" shrinkToFit="0" wrapText="1"/>
    </xf>
    <xf borderId="0" fillId="0" fontId="7" numFmtId="0" xfId="0" applyAlignment="1" applyFont="1">
      <alignment vertical="bottom"/>
    </xf>
    <xf borderId="0" fillId="10" fontId="7" numFmtId="0" xfId="0" applyAlignment="1" applyFont="1">
      <alignment vertical="bottom"/>
    </xf>
    <xf borderId="0" fillId="0" fontId="7" numFmtId="0" xfId="0" applyFont="1"/>
    <xf borderId="0" fillId="4" fontId="2" numFmtId="0" xfId="0" applyAlignment="1" applyFont="1">
      <alignment horizontal="center" shrinkToFit="0" vertical="center" wrapText="1"/>
    </xf>
    <xf borderId="0" fillId="4" fontId="2" numFmtId="0" xfId="0" applyAlignment="1" applyFont="1">
      <alignment horizontal="center" readingOrder="0" shrinkToFit="0" vertical="center" wrapText="1"/>
    </xf>
    <xf borderId="0" fillId="9" fontId="3" numFmtId="0" xfId="0" applyAlignment="1" applyFont="1">
      <alignment horizontal="center" readingOrder="0" shrinkToFit="0" wrapText="0"/>
    </xf>
    <xf borderId="0" fillId="0" fontId="7" numFmtId="0" xfId="0" applyAlignment="1" applyFont="1">
      <alignment horizontal="center" readingOrder="0" vertical="bottom"/>
    </xf>
    <xf borderId="0" fillId="0" fontId="4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6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1" type="firstRowStripe"/>
      <tableStyleElement dxfId="2" type="secondRowStripe"/>
    </tableStyle>
    <tableStyle count="2" pivot="0" name="Copy of Sheet1-style">
      <tableStyleElement dxfId="1" type="firstRowStripe"/>
      <tableStyleElement dxfId="2" type="secondRowStripe"/>
    </tableStyle>
    <tableStyle count="2" pivot="0" name="Copy of Sheet1-style 2">
      <tableStyleElement dxfId="1" type="firstRowStripe"/>
      <tableStyleElement dxfId="2" type="secondRowStripe"/>
    </tableStyle>
    <tableStyle count="2" pivot="0" name="Cleaned-style">
      <tableStyleElement dxfId="1" type="firstRowStripe"/>
      <tableStyleElement dxfId="2" type="secondRowStripe"/>
    </tableStyle>
    <tableStyle count="2" pivot="0" name="Cleaned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37:F126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G131:L131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headerRowCount="0" ref="C37:F126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Copy of Sheet1-style" showColumnStripes="0" showFirstColumn="1" showLastColumn="1" showRowStripes="1"/>
</table>
</file>

<file path=xl/tables/table4.xml><?xml version="1.0" encoding="utf-8"?>
<table xmlns="http://schemas.openxmlformats.org/spreadsheetml/2006/main" headerRowCount="0" ref="G131:L131" displayName="Table_4" name="Table_4" id="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opy of Sheet1-style 2" showColumnStripes="0" showFirstColumn="1" showLastColumn="1" showRowStripes="1"/>
</table>
</file>

<file path=xl/tables/table5.xml><?xml version="1.0" encoding="utf-8"?>
<table xmlns="http://schemas.openxmlformats.org/spreadsheetml/2006/main" headerRowCount="0" ref="C31:D120" displayName="Table_5" name="Table_5" id="5">
  <tableColumns count="2">
    <tableColumn name="Column1" id="1"/>
    <tableColumn name="Column2" id="2"/>
  </tableColumns>
  <tableStyleInfo name="Cleaned-style" showColumnStripes="0" showFirstColumn="1" showLastColumn="1" showRowStripes="1"/>
</table>
</file>

<file path=xl/tables/table6.xml><?xml version="1.0" encoding="utf-8"?>
<table xmlns="http://schemas.openxmlformats.org/spreadsheetml/2006/main" headerRowCount="0" ref="E125:AJ125" displayName="Table_6" name="Table_6" id="6">
  <tableColumns count="3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</tableColumns>
  <tableStyleInfo name="Cleaned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3.13"/>
    <col customWidth="1" min="3" max="3" width="12.0"/>
    <col customWidth="1" min="4" max="4" width="28.13"/>
    <col customWidth="1" min="5" max="5" width="13.0"/>
    <col customWidth="1" min="6" max="6" width="20.5"/>
    <col customWidth="1" min="7" max="7" width="48.13"/>
    <col customWidth="1" min="8" max="8" width="40.88"/>
    <col customWidth="1" min="17" max="17" width="15.75"/>
    <col customWidth="1" min="18" max="18" width="10.25"/>
    <col customWidth="1" min="21" max="21" width="9.38"/>
    <col customWidth="1" min="29" max="29" width="12.38"/>
    <col customWidth="1" min="37" max="37" width="19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5" t="s">
        <v>12</v>
      </c>
      <c r="N1" s="6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8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9" t="s">
        <v>28</v>
      </c>
      <c r="AD1" s="8" t="s">
        <v>29</v>
      </c>
      <c r="AE1" s="8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1" t="s">
        <v>36</v>
      </c>
      <c r="AL1" s="12" t="s">
        <v>37</v>
      </c>
      <c r="AM1" s="13" t="s">
        <v>38</v>
      </c>
      <c r="AN1" s="13" t="s">
        <v>39</v>
      </c>
      <c r="AO1" s="13" t="s">
        <v>40</v>
      </c>
      <c r="AP1" s="13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</row>
    <row r="2">
      <c r="A2" s="15">
        <v>45863.0</v>
      </c>
      <c r="B2" s="15">
        <v>45870.0</v>
      </c>
      <c r="C2" s="16"/>
      <c r="D2" s="16"/>
      <c r="E2" s="17"/>
      <c r="F2" s="16"/>
      <c r="G2" s="16" t="s">
        <v>47</v>
      </c>
      <c r="H2" s="18" t="s">
        <v>48</v>
      </c>
      <c r="I2" s="18" t="s">
        <v>49</v>
      </c>
      <c r="J2" s="18">
        <v>10.0</v>
      </c>
      <c r="K2" s="19">
        <v>199.0</v>
      </c>
      <c r="L2" s="19">
        <v>38.0</v>
      </c>
      <c r="M2" s="19">
        <v>237.0</v>
      </c>
      <c r="N2" s="20"/>
      <c r="O2" s="20"/>
      <c r="P2" s="20"/>
      <c r="Q2" s="20"/>
      <c r="R2" s="20"/>
      <c r="S2" s="20"/>
      <c r="T2" s="21">
        <v>117.33</v>
      </c>
      <c r="U2" s="21">
        <v>173.08</v>
      </c>
      <c r="V2" s="21">
        <v>108.28</v>
      </c>
      <c r="W2" s="21">
        <v>30.37</v>
      </c>
      <c r="X2" s="22">
        <v>152.37</v>
      </c>
      <c r="Y2" s="22">
        <v>8.83</v>
      </c>
      <c r="Z2" s="22">
        <v>44.8</v>
      </c>
      <c r="AA2" s="22">
        <v>25.7</v>
      </c>
      <c r="AB2" s="22">
        <v>1.6</v>
      </c>
      <c r="AC2" s="22">
        <v>5.05</v>
      </c>
      <c r="AD2" s="22">
        <v>44.85</v>
      </c>
      <c r="AE2" s="22">
        <v>7.05</v>
      </c>
      <c r="AF2" s="23">
        <v>1.8096E7</v>
      </c>
      <c r="AG2" s="23">
        <v>9048000.0</v>
      </c>
      <c r="AH2" s="23">
        <v>1809600.0</v>
      </c>
      <c r="AI2" s="23">
        <v>904800.0</v>
      </c>
      <c r="AJ2" s="23">
        <v>6333600.0</v>
      </c>
      <c r="AK2" s="23">
        <v>5428800.0</v>
      </c>
      <c r="AL2" s="18">
        <v>75.0</v>
      </c>
      <c r="AM2" s="18">
        <v>10.34</v>
      </c>
      <c r="AN2" s="18">
        <v>19.24</v>
      </c>
      <c r="AO2" s="18">
        <v>7.75</v>
      </c>
      <c r="AP2" s="18">
        <v>25.69</v>
      </c>
      <c r="AQ2" s="23">
        <v>50.0</v>
      </c>
      <c r="AR2" s="23">
        <v>10.0</v>
      </c>
      <c r="AS2" s="23">
        <v>5.0</v>
      </c>
      <c r="AT2" s="23">
        <v>35.0</v>
      </c>
      <c r="AU2" s="23">
        <v>30.0</v>
      </c>
    </row>
    <row r="3">
      <c r="A3" s="15">
        <v>45867.0</v>
      </c>
      <c r="B3" s="15">
        <v>45874.0</v>
      </c>
      <c r="C3" s="16"/>
      <c r="D3" s="16"/>
      <c r="E3" s="17"/>
      <c r="F3" s="16"/>
      <c r="G3" s="16" t="s">
        <v>50</v>
      </c>
      <c r="H3" s="18" t="s">
        <v>51</v>
      </c>
      <c r="I3" s="18" t="s">
        <v>49</v>
      </c>
      <c r="J3" s="18">
        <v>1.0</v>
      </c>
      <c r="K3" s="19">
        <v>675.0</v>
      </c>
      <c r="L3" s="19">
        <v>285.0</v>
      </c>
      <c r="M3" s="19">
        <v>960.0</v>
      </c>
      <c r="N3" s="20"/>
      <c r="O3" s="20"/>
      <c r="P3" s="20"/>
      <c r="Q3" s="20"/>
      <c r="R3" s="20"/>
      <c r="S3" s="20"/>
      <c r="T3" s="21">
        <v>0.01</v>
      </c>
      <c r="U3" s="21">
        <v>2.65</v>
      </c>
      <c r="V3" s="21">
        <v>4.17</v>
      </c>
      <c r="W3" s="21">
        <v>6.52</v>
      </c>
      <c r="X3" s="22">
        <v>1017.66</v>
      </c>
      <c r="Y3" s="22">
        <v>34.53</v>
      </c>
      <c r="Z3" s="22">
        <v>34.53</v>
      </c>
      <c r="AA3" s="22">
        <v>33.27</v>
      </c>
      <c r="AB3" s="24">
        <v>0.41</v>
      </c>
      <c r="AC3" s="22">
        <v>11.25</v>
      </c>
      <c r="AD3" s="22">
        <v>34.53</v>
      </c>
      <c r="AE3" s="22">
        <v>7.06</v>
      </c>
      <c r="AF3" s="23">
        <v>1.9267932E7</v>
      </c>
      <c r="AG3" s="23">
        <v>1.4377778E7</v>
      </c>
      <c r="AH3" s="23">
        <v>1917037.0</v>
      </c>
      <c r="AI3" s="23">
        <v>958519.0</v>
      </c>
      <c r="AJ3" s="23">
        <v>1917037.0</v>
      </c>
      <c r="AK3" s="23">
        <v>8626666.0</v>
      </c>
      <c r="AL3" s="18">
        <v>22.0</v>
      </c>
      <c r="AM3" s="18">
        <v>32.0</v>
      </c>
      <c r="AN3" s="18">
        <v>21.09</v>
      </c>
      <c r="AO3" s="25">
        <v>29.98</v>
      </c>
      <c r="AP3" s="25">
        <v>22.52</v>
      </c>
      <c r="AQ3" s="23">
        <v>74.62</v>
      </c>
      <c r="AR3" s="23">
        <v>9.95</v>
      </c>
      <c r="AS3" s="23">
        <v>4.97</v>
      </c>
      <c r="AT3" s="23">
        <v>9.95</v>
      </c>
      <c r="AU3" s="23">
        <v>44.77</v>
      </c>
    </row>
    <row r="4">
      <c r="A4" s="15">
        <v>45867.0</v>
      </c>
      <c r="B4" s="15">
        <v>45874.0</v>
      </c>
      <c r="C4" s="16"/>
      <c r="D4" s="16"/>
      <c r="E4" s="17"/>
      <c r="F4" s="16"/>
      <c r="G4" s="16" t="s">
        <v>52</v>
      </c>
      <c r="H4" s="18" t="s">
        <v>53</v>
      </c>
      <c r="I4" s="18" t="s">
        <v>49</v>
      </c>
      <c r="J4" s="18">
        <v>5.0</v>
      </c>
      <c r="K4" s="19">
        <v>158.0</v>
      </c>
      <c r="L4" s="19">
        <v>8.0</v>
      </c>
      <c r="M4" s="19">
        <v>161.0</v>
      </c>
      <c r="N4" s="20"/>
      <c r="O4" s="20"/>
      <c r="P4" s="20"/>
      <c r="Q4" s="20"/>
      <c r="R4" s="20"/>
      <c r="S4" s="20"/>
      <c r="T4" s="21">
        <v>0.1</v>
      </c>
      <c r="U4" s="21">
        <v>0.1</v>
      </c>
      <c r="V4" s="21">
        <v>0.38</v>
      </c>
      <c r="W4" s="21">
        <v>0.6</v>
      </c>
      <c r="X4" s="22">
        <v>257.47</v>
      </c>
      <c r="Y4" s="22">
        <v>66.07</v>
      </c>
      <c r="Z4" s="22">
        <v>15.7</v>
      </c>
      <c r="AA4" s="22">
        <v>13.7</v>
      </c>
      <c r="AB4" s="22">
        <v>4.42</v>
      </c>
      <c r="AC4" s="22">
        <v>14.48</v>
      </c>
      <c r="AD4" s="22">
        <v>13.95</v>
      </c>
      <c r="AE4" s="22">
        <v>2.57</v>
      </c>
      <c r="AF4" s="23">
        <v>1.6092193E7</v>
      </c>
      <c r="AG4" s="23">
        <v>7965632.0</v>
      </c>
      <c r="AH4" s="23">
        <v>1593127.0</v>
      </c>
      <c r="AI4" s="23">
        <v>796563.0</v>
      </c>
      <c r="AJ4" s="23">
        <v>5575943.0</v>
      </c>
      <c r="AK4" s="23">
        <v>4779379.0</v>
      </c>
      <c r="AL4" s="18">
        <v>94.0</v>
      </c>
      <c r="AM4" s="18">
        <v>8.61</v>
      </c>
      <c r="AN4" s="18">
        <v>18.35</v>
      </c>
      <c r="AO4" s="18">
        <v>6.89</v>
      </c>
      <c r="AP4" s="18">
        <v>22.94</v>
      </c>
      <c r="AQ4" s="23">
        <v>49.5</v>
      </c>
      <c r="AR4" s="23">
        <v>9.9</v>
      </c>
      <c r="AS4" s="23">
        <v>4.95</v>
      </c>
      <c r="AT4" s="23">
        <v>34.65</v>
      </c>
      <c r="AU4" s="23">
        <v>29.7</v>
      </c>
    </row>
    <row r="5">
      <c r="A5" s="15">
        <v>45861.0</v>
      </c>
      <c r="B5" s="15">
        <v>45868.0</v>
      </c>
      <c r="C5" s="16">
        <v>24839.0</v>
      </c>
      <c r="D5" s="16">
        <v>24821.0</v>
      </c>
      <c r="E5" s="17">
        <f t="shared" ref="E5:E6" si="1">+0.07%</f>
        <v>0.0007</v>
      </c>
      <c r="F5" s="16" t="s">
        <v>54</v>
      </c>
      <c r="G5" s="16" t="s">
        <v>55</v>
      </c>
      <c r="H5" s="18" t="s">
        <v>56</v>
      </c>
      <c r="I5" s="18" t="s">
        <v>49</v>
      </c>
      <c r="J5" s="18">
        <v>1.0</v>
      </c>
      <c r="K5" s="19">
        <v>237.0</v>
      </c>
      <c r="L5" s="19">
        <v>0.0</v>
      </c>
      <c r="M5" s="19">
        <v>237.0</v>
      </c>
      <c r="N5" s="19">
        <v>216.0</v>
      </c>
      <c r="O5" s="19">
        <v>-8.86</v>
      </c>
      <c r="P5" s="20"/>
      <c r="Q5" s="20"/>
      <c r="R5" s="20"/>
      <c r="S5" s="20"/>
      <c r="T5" s="21">
        <v>14.35</v>
      </c>
      <c r="U5" s="21">
        <v>7.93</v>
      </c>
      <c r="V5" s="21">
        <v>8.86</v>
      </c>
      <c r="W5" s="21">
        <v>12.51</v>
      </c>
      <c r="X5" s="22">
        <v>-3.11</v>
      </c>
      <c r="Y5" s="22">
        <v>14.0</v>
      </c>
      <c r="Z5" s="22">
        <v>-2.19</v>
      </c>
      <c r="AA5" s="22">
        <v>34.21</v>
      </c>
      <c r="AB5" s="22">
        <v>-110.58</v>
      </c>
      <c r="AC5" s="22">
        <v>-12.66</v>
      </c>
      <c r="AD5" s="22" t="s">
        <v>57</v>
      </c>
      <c r="AE5" s="22">
        <v>7.36</v>
      </c>
      <c r="AF5" s="23">
        <v>2.954234E7</v>
      </c>
      <c r="AG5" s="23">
        <v>2.2104431E7</v>
      </c>
      <c r="AH5" s="23">
        <v>2947256.0</v>
      </c>
      <c r="AI5" s="23">
        <v>1473629.0</v>
      </c>
      <c r="AJ5" s="23">
        <v>2947257.0</v>
      </c>
      <c r="AK5" s="23">
        <v>1.3262658E7</v>
      </c>
      <c r="AL5" s="18">
        <v>63.0</v>
      </c>
      <c r="AM5" s="18">
        <v>-7.65</v>
      </c>
      <c r="AN5" s="16">
        <v>55.28</v>
      </c>
      <c r="AO5" s="16">
        <v>9.52</v>
      </c>
      <c r="AP5" s="16">
        <v>61.48</v>
      </c>
      <c r="AQ5" s="23">
        <v>74.82</v>
      </c>
      <c r="AR5" s="23">
        <v>9.98</v>
      </c>
      <c r="AS5" s="23">
        <v>4.99</v>
      </c>
      <c r="AT5" s="23">
        <v>9.98</v>
      </c>
      <c r="AU5" s="23">
        <v>44.89</v>
      </c>
    </row>
    <row r="6">
      <c r="A6" s="15">
        <v>45861.0</v>
      </c>
      <c r="B6" s="15">
        <v>45868.0</v>
      </c>
      <c r="C6" s="16">
        <v>24839.0</v>
      </c>
      <c r="D6" s="16">
        <v>24821.0</v>
      </c>
      <c r="E6" s="17">
        <f t="shared" si="1"/>
        <v>0.0007</v>
      </c>
      <c r="F6" s="16" t="s">
        <v>54</v>
      </c>
      <c r="G6" s="16" t="s">
        <v>50</v>
      </c>
      <c r="H6" s="18" t="s">
        <v>58</v>
      </c>
      <c r="I6" s="18" t="s">
        <v>49</v>
      </c>
      <c r="J6" s="18">
        <v>2.0</v>
      </c>
      <c r="K6" s="19">
        <v>237.0</v>
      </c>
      <c r="L6" s="19">
        <v>94.0</v>
      </c>
      <c r="M6" s="19">
        <v>331.0</v>
      </c>
      <c r="N6" s="19">
        <v>353.0</v>
      </c>
      <c r="O6" s="19">
        <v>49.79</v>
      </c>
      <c r="P6" s="19">
        <v>332.0</v>
      </c>
      <c r="Q6" s="20"/>
      <c r="R6" s="19">
        <v>332.0</v>
      </c>
      <c r="S6" s="20"/>
      <c r="T6" s="21">
        <v>266.21</v>
      </c>
      <c r="U6" s="21">
        <v>252.45</v>
      </c>
      <c r="V6" s="21">
        <v>174.34</v>
      </c>
      <c r="W6" s="21">
        <v>45.21</v>
      </c>
      <c r="X6" s="22">
        <v>226.46</v>
      </c>
      <c r="Y6" s="22">
        <v>8.94</v>
      </c>
      <c r="Z6" s="22">
        <v>30.4</v>
      </c>
      <c r="AA6" s="22">
        <v>17.31</v>
      </c>
      <c r="AB6" s="22">
        <v>1.95</v>
      </c>
      <c r="AC6" s="22">
        <v>4.89</v>
      </c>
      <c r="AD6" s="22">
        <v>30.4</v>
      </c>
      <c r="AE6" s="22">
        <v>10.17</v>
      </c>
      <c r="AF6" s="23">
        <v>1.9427637E7</v>
      </c>
      <c r="AG6" s="23">
        <v>9713818.0</v>
      </c>
      <c r="AH6" s="23">
        <v>1942764.0</v>
      </c>
      <c r="AI6" s="23">
        <v>971382.0</v>
      </c>
      <c r="AJ6" s="23">
        <v>6799673.0</v>
      </c>
      <c r="AK6" s="23">
        <v>5828290.0</v>
      </c>
      <c r="AL6" s="18">
        <v>63.0</v>
      </c>
      <c r="AM6" s="18">
        <v>7.11</v>
      </c>
      <c r="AN6" s="18">
        <v>33.35</v>
      </c>
      <c r="AO6" s="18">
        <v>6.05</v>
      </c>
      <c r="AP6" s="18">
        <v>39.14</v>
      </c>
      <c r="AQ6" s="23">
        <v>50.0</v>
      </c>
      <c r="AR6" s="23">
        <v>10.0</v>
      </c>
      <c r="AS6" s="23">
        <v>5.0</v>
      </c>
      <c r="AT6" s="23">
        <v>35.0</v>
      </c>
      <c r="AU6" s="23">
        <v>30.0</v>
      </c>
    </row>
    <row r="7">
      <c r="A7" s="15">
        <v>45862.0</v>
      </c>
      <c r="B7" s="15">
        <v>45869.0</v>
      </c>
      <c r="C7" s="16">
        <v>24657.0</v>
      </c>
      <c r="D7" s="16">
        <v>24853.0</v>
      </c>
      <c r="E7" s="16" t="s">
        <v>59</v>
      </c>
      <c r="F7" s="16" t="s">
        <v>54</v>
      </c>
      <c r="G7" s="16" t="s">
        <v>55</v>
      </c>
      <c r="H7" s="18" t="s">
        <v>60</v>
      </c>
      <c r="I7" s="18" t="s">
        <v>49</v>
      </c>
      <c r="J7" s="18">
        <v>10.0</v>
      </c>
      <c r="K7" s="19">
        <v>90.0</v>
      </c>
      <c r="L7" s="19">
        <v>2.0</v>
      </c>
      <c r="M7" s="19">
        <v>90.0</v>
      </c>
      <c r="N7" s="20"/>
      <c r="O7" s="20"/>
      <c r="P7" s="20"/>
      <c r="Q7" s="20"/>
      <c r="R7" s="20"/>
      <c r="S7" s="20"/>
      <c r="T7" s="21">
        <v>5.42</v>
      </c>
      <c r="U7" s="21">
        <v>1.58</v>
      </c>
      <c r="V7" s="21">
        <v>2.59</v>
      </c>
      <c r="W7" s="21">
        <v>6.4</v>
      </c>
      <c r="X7" s="22">
        <v>78.58</v>
      </c>
      <c r="Y7" s="22">
        <v>35.45</v>
      </c>
      <c r="Z7" s="22">
        <v>27.2</v>
      </c>
      <c r="AA7" s="22">
        <v>13.62</v>
      </c>
      <c r="AB7" s="24">
        <v>7.4</v>
      </c>
      <c r="AC7" s="26">
        <v>50.0</v>
      </c>
      <c r="AD7" s="22">
        <v>30.11</v>
      </c>
      <c r="AE7" s="22">
        <v>32.26</v>
      </c>
      <c r="AF7" s="23">
        <v>8.4429103E7</v>
      </c>
      <c r="AG7" s="23">
        <v>6.0135E7</v>
      </c>
      <c r="AH7" s="23">
        <v>8018000.0</v>
      </c>
      <c r="AI7" s="23">
        <v>4009000.0</v>
      </c>
      <c r="AJ7" s="23">
        <v>8018000.0</v>
      </c>
      <c r="AK7" s="23">
        <v>3.6081E7</v>
      </c>
      <c r="AL7" s="18">
        <v>166.0</v>
      </c>
      <c r="AM7" s="18">
        <v>0.72</v>
      </c>
      <c r="AN7" s="18">
        <v>125.0</v>
      </c>
      <c r="AO7" s="16">
        <v>0.72</v>
      </c>
      <c r="AP7" s="16">
        <v>125.0</v>
      </c>
      <c r="AQ7" s="23">
        <v>71.23</v>
      </c>
      <c r="AR7" s="23">
        <v>9.5</v>
      </c>
      <c r="AS7" s="23">
        <v>4.75</v>
      </c>
      <c r="AT7" s="23">
        <v>9.5</v>
      </c>
      <c r="AU7" s="23">
        <v>42.74</v>
      </c>
    </row>
    <row r="8">
      <c r="A8" s="15">
        <v>45852.0</v>
      </c>
      <c r="B8" s="15">
        <v>45859.0</v>
      </c>
      <c r="C8" s="16">
        <v>25095.0</v>
      </c>
      <c r="D8" s="16">
        <v>24968.0</v>
      </c>
      <c r="E8" s="27">
        <f>+0.51%</f>
        <v>0.0051</v>
      </c>
      <c r="F8" s="16" t="s">
        <v>61</v>
      </c>
      <c r="G8" s="16" t="s">
        <v>62</v>
      </c>
      <c r="H8" s="18" t="s">
        <v>63</v>
      </c>
      <c r="I8" s="16" t="s">
        <v>49</v>
      </c>
      <c r="J8" s="25">
        <v>2.0</v>
      </c>
      <c r="K8" s="19">
        <v>570.0</v>
      </c>
      <c r="L8" s="19">
        <v>1794.0</v>
      </c>
      <c r="M8" s="19">
        <v>749.0</v>
      </c>
      <c r="N8" s="20">
        <v>723.05</v>
      </c>
      <c r="O8" s="19">
        <v>26.85</v>
      </c>
      <c r="P8" s="20">
        <v>730.35</v>
      </c>
      <c r="Q8" s="19">
        <v>28.13</v>
      </c>
      <c r="R8" s="20">
        <v>782.45</v>
      </c>
      <c r="S8" s="19">
        <v>37.27</v>
      </c>
      <c r="T8" s="21">
        <v>182.65</v>
      </c>
      <c r="U8" s="21">
        <v>48.94</v>
      </c>
      <c r="V8" s="21">
        <v>42.35</v>
      </c>
      <c r="W8" s="21">
        <v>5.61</v>
      </c>
      <c r="X8" s="24">
        <v>2409.86</v>
      </c>
      <c r="Y8" s="22">
        <v>36.81</v>
      </c>
      <c r="Z8" s="24">
        <v>20.82</v>
      </c>
      <c r="AA8" s="24">
        <v>26.88</v>
      </c>
      <c r="AB8" s="24">
        <v>0.05</v>
      </c>
      <c r="AC8" s="24">
        <v>23.38</v>
      </c>
      <c r="AD8" s="24">
        <v>20.82</v>
      </c>
      <c r="AE8" s="24">
        <v>13.23</v>
      </c>
      <c r="AF8" s="23">
        <v>5.9575319E7</v>
      </c>
      <c r="AG8" s="23">
        <v>2.9708332E7</v>
      </c>
      <c r="AH8" s="23">
        <v>5941667.0</v>
      </c>
      <c r="AI8" s="23">
        <v>2970833.0</v>
      </c>
      <c r="AJ8" s="23">
        <v>2.0795834E7</v>
      </c>
      <c r="AK8" s="23">
        <v>1.7824999E7</v>
      </c>
      <c r="AL8" s="25">
        <v>26.0</v>
      </c>
      <c r="AM8" s="25">
        <v>8.07</v>
      </c>
      <c r="AN8" s="25">
        <v>70.62</v>
      </c>
      <c r="AO8" s="25">
        <v>8.07</v>
      </c>
      <c r="AP8" s="25">
        <v>70.62</v>
      </c>
      <c r="AQ8" s="23">
        <v>49.87</v>
      </c>
      <c r="AR8" s="23">
        <v>9.97</v>
      </c>
      <c r="AS8" s="23">
        <v>4.99</v>
      </c>
      <c r="AT8" s="23">
        <v>34.91</v>
      </c>
      <c r="AU8" s="23">
        <v>29.92</v>
      </c>
    </row>
    <row r="9">
      <c r="A9" s="15">
        <v>45848.0</v>
      </c>
      <c r="B9" s="15">
        <v>45855.0</v>
      </c>
      <c r="C9" s="16">
        <v>25161.0</v>
      </c>
      <c r="D9" s="16">
        <v>25212.0</v>
      </c>
      <c r="E9" s="16" t="s">
        <v>64</v>
      </c>
      <c r="F9" s="16" t="s">
        <v>61</v>
      </c>
      <c r="G9" s="16" t="s">
        <v>55</v>
      </c>
      <c r="H9" s="18" t="s">
        <v>65</v>
      </c>
      <c r="I9" s="16" t="s">
        <v>49</v>
      </c>
      <c r="J9" s="25">
        <v>10.0</v>
      </c>
      <c r="K9" s="19">
        <v>407.0</v>
      </c>
      <c r="L9" s="19">
        <v>252.0</v>
      </c>
      <c r="M9" s="19">
        <v>432.0</v>
      </c>
      <c r="N9" s="20">
        <v>435.0</v>
      </c>
      <c r="O9" s="19">
        <v>6.88</v>
      </c>
      <c r="P9" s="20">
        <v>445.1</v>
      </c>
      <c r="Q9" s="19">
        <v>9.36</v>
      </c>
      <c r="R9" s="20">
        <v>418.85</v>
      </c>
      <c r="S9" s="19">
        <v>2.91</v>
      </c>
      <c r="T9" s="21">
        <v>24.41</v>
      </c>
      <c r="U9" s="21">
        <v>27.14</v>
      </c>
      <c r="V9" s="21">
        <v>14.06</v>
      </c>
      <c r="W9" s="21">
        <v>3.53</v>
      </c>
      <c r="X9" s="24">
        <v>107.51</v>
      </c>
      <c r="Y9" s="22">
        <v>62.39</v>
      </c>
      <c r="Z9" s="22">
        <v>-82.0</v>
      </c>
      <c r="AA9" s="22">
        <v>6.97</v>
      </c>
      <c r="AB9" s="22">
        <v>34.6</v>
      </c>
      <c r="AC9" s="22">
        <v>-4.6</v>
      </c>
      <c r="AD9" s="24">
        <v>-58.76</v>
      </c>
      <c r="AE9" s="24">
        <v>38.58</v>
      </c>
      <c r="AF9" s="23">
        <v>1.4322613E7</v>
      </c>
      <c r="AG9" s="23">
        <v>7110630.0</v>
      </c>
      <c r="AH9" s="23">
        <v>1422127.0</v>
      </c>
      <c r="AI9" s="23">
        <v>711063.0</v>
      </c>
      <c r="AJ9" s="23">
        <v>4977442.0</v>
      </c>
      <c r="AK9" s="23">
        <v>4266378.0</v>
      </c>
      <c r="AL9" s="25">
        <v>36.0</v>
      </c>
      <c r="AM9" s="25">
        <v>-6.12</v>
      </c>
      <c r="AN9" s="18" t="s">
        <v>66</v>
      </c>
      <c r="AO9" s="25">
        <v>-5.54</v>
      </c>
      <c r="AP9" s="18" t="s">
        <v>66</v>
      </c>
      <c r="AQ9" s="23">
        <v>49.65</v>
      </c>
      <c r="AR9" s="23">
        <v>9.93</v>
      </c>
      <c r="AS9" s="23">
        <v>4.96</v>
      </c>
      <c r="AT9" s="23">
        <v>34.75</v>
      </c>
      <c r="AU9" s="23">
        <v>29.79</v>
      </c>
    </row>
    <row r="10">
      <c r="A10" s="15">
        <v>45845.0</v>
      </c>
      <c r="B10" s="15">
        <v>45852.0</v>
      </c>
      <c r="C10" s="16">
        <v>25117.0</v>
      </c>
      <c r="D10" s="16">
        <v>25147.0</v>
      </c>
      <c r="E10" s="16" t="s">
        <v>67</v>
      </c>
      <c r="F10" s="16" t="s">
        <v>61</v>
      </c>
      <c r="G10" s="16" t="s">
        <v>55</v>
      </c>
      <c r="H10" s="18" t="s">
        <v>68</v>
      </c>
      <c r="I10" s="18" t="s">
        <v>69</v>
      </c>
      <c r="J10" s="25">
        <v>1.0</v>
      </c>
      <c r="K10" s="19">
        <v>1100.0</v>
      </c>
      <c r="L10" s="19">
        <v>251.0</v>
      </c>
      <c r="M10" s="19">
        <v>1125.0</v>
      </c>
      <c r="N10" s="20">
        <v>1125.0</v>
      </c>
      <c r="O10" s="19">
        <v>2.27</v>
      </c>
      <c r="P10" s="20">
        <v>1075.2</v>
      </c>
      <c r="Q10" s="19">
        <v>-2.25</v>
      </c>
      <c r="R10" s="20">
        <v>1099.1</v>
      </c>
      <c r="S10" s="19">
        <v>-0.08</v>
      </c>
      <c r="T10" s="21">
        <v>7.7</v>
      </c>
      <c r="U10" s="21">
        <v>1.58</v>
      </c>
      <c r="V10" s="21">
        <v>1.74</v>
      </c>
      <c r="W10" s="21">
        <v>0.69</v>
      </c>
      <c r="X10" s="24">
        <v>1048.45</v>
      </c>
      <c r="Y10" s="22">
        <v>40.07</v>
      </c>
      <c r="Z10" s="24">
        <v>35.47</v>
      </c>
      <c r="AA10" s="24">
        <v>51.4</v>
      </c>
      <c r="AB10" s="22">
        <v>0.32</v>
      </c>
      <c r="AC10" s="24">
        <v>21.54</v>
      </c>
      <c r="AD10" s="24">
        <v>34.64</v>
      </c>
      <c r="AE10" s="24">
        <v>18.2</v>
      </c>
      <c r="AF10" s="23">
        <v>1.2741978E7</v>
      </c>
      <c r="AG10" s="23">
        <v>9072726.0</v>
      </c>
      <c r="AH10" s="23">
        <v>1814545.0</v>
      </c>
      <c r="AI10" s="23">
        <v>907273.0</v>
      </c>
      <c r="AJ10" s="23">
        <v>6350909.0</v>
      </c>
      <c r="AK10" s="23">
        <v>5443635.0</v>
      </c>
      <c r="AL10" s="25">
        <v>13.0</v>
      </c>
      <c r="AM10" s="25">
        <v>22.63</v>
      </c>
      <c r="AN10" s="25">
        <v>48.6</v>
      </c>
      <c r="AO10" s="18" t="s">
        <v>66</v>
      </c>
      <c r="AP10" s="18" t="s">
        <v>66</v>
      </c>
      <c r="AQ10" s="23">
        <v>71.2</v>
      </c>
      <c r="AR10" s="23">
        <v>14.24</v>
      </c>
      <c r="AS10" s="23">
        <v>7.12</v>
      </c>
      <c r="AT10" s="23">
        <v>49.84</v>
      </c>
      <c r="AU10" s="23">
        <v>42.72</v>
      </c>
    </row>
    <row r="11">
      <c r="A11" s="15">
        <v>45840.0</v>
      </c>
      <c r="B11" s="15">
        <v>45847.0</v>
      </c>
      <c r="C11" s="16">
        <v>25528.0</v>
      </c>
      <c r="D11" s="16">
        <v>25526.0</v>
      </c>
      <c r="E11" s="27">
        <f>+0.01%</f>
        <v>0.0001</v>
      </c>
      <c r="F11" s="16" t="s">
        <v>70</v>
      </c>
      <c r="G11" s="16" t="s">
        <v>71</v>
      </c>
      <c r="H11" s="18" t="s">
        <v>72</v>
      </c>
      <c r="I11" s="16" t="s">
        <v>49</v>
      </c>
      <c r="J11" s="25">
        <v>2.0</v>
      </c>
      <c r="K11" s="19">
        <v>245.0</v>
      </c>
      <c r="L11" s="19">
        <v>41.53</v>
      </c>
      <c r="M11" s="19">
        <v>286.5</v>
      </c>
      <c r="N11" s="20">
        <v>281.05</v>
      </c>
      <c r="O11" s="19">
        <v>14.71</v>
      </c>
      <c r="P11" s="20">
        <v>307.63</v>
      </c>
      <c r="Q11" s="19">
        <v>25.56</v>
      </c>
      <c r="R11" s="20">
        <v>321.54</v>
      </c>
      <c r="S11" s="19">
        <v>31.24</v>
      </c>
      <c r="T11" s="21">
        <v>134.35</v>
      </c>
      <c r="U11" s="21">
        <v>88.4</v>
      </c>
      <c r="V11" s="21">
        <v>51.67</v>
      </c>
      <c r="W11" s="21">
        <v>10.24</v>
      </c>
      <c r="X11" s="24">
        <v>505.71</v>
      </c>
      <c r="Y11" s="22">
        <v>25.05</v>
      </c>
      <c r="Z11" s="24">
        <v>30.24</v>
      </c>
      <c r="AA11" s="24">
        <v>40.03</v>
      </c>
      <c r="AB11" s="22">
        <v>0.01</v>
      </c>
      <c r="AC11" s="24">
        <v>17.28</v>
      </c>
      <c r="AD11" s="24">
        <v>30.24</v>
      </c>
      <c r="AE11" s="24">
        <v>8.48</v>
      </c>
      <c r="AF11" s="23">
        <v>3.5102039E7</v>
      </c>
      <c r="AG11" s="23">
        <v>1.7551019E7</v>
      </c>
      <c r="AH11" s="23">
        <v>3510204.0</v>
      </c>
      <c r="AI11" s="23">
        <v>1755102.0</v>
      </c>
      <c r="AJ11" s="23">
        <v>1.2285714E7</v>
      </c>
      <c r="AK11" s="23">
        <v>1.0530612E7</v>
      </c>
      <c r="AL11" s="25">
        <v>61.0</v>
      </c>
      <c r="AM11" s="25">
        <v>8.74</v>
      </c>
      <c r="AN11" s="25">
        <v>28.03</v>
      </c>
      <c r="AO11" s="25">
        <v>8.74</v>
      </c>
      <c r="AP11" s="25">
        <v>28.03</v>
      </c>
      <c r="AQ11" s="23">
        <v>50.0</v>
      </c>
      <c r="AR11" s="23">
        <v>10.0</v>
      </c>
      <c r="AS11" s="23">
        <v>5.0</v>
      </c>
      <c r="AT11" s="23">
        <v>35.0</v>
      </c>
      <c r="AU11" s="23">
        <v>30.0</v>
      </c>
    </row>
    <row r="12">
      <c r="A12" s="15">
        <v>45834.0</v>
      </c>
      <c r="B12" s="15">
        <v>45841.0</v>
      </c>
      <c r="C12" s="16">
        <v>25544.0</v>
      </c>
      <c r="D12" s="16">
        <v>25402.0</v>
      </c>
      <c r="E12" s="27">
        <f>+0.56%</f>
        <v>0.0056</v>
      </c>
      <c r="F12" s="16" t="s">
        <v>70</v>
      </c>
      <c r="G12" s="16" t="s">
        <v>73</v>
      </c>
      <c r="H12" s="18" t="s">
        <v>74</v>
      </c>
      <c r="I12" s="16" t="s">
        <v>49</v>
      </c>
      <c r="J12" s="25">
        <v>10.0</v>
      </c>
      <c r="K12" s="19">
        <v>111.0</v>
      </c>
      <c r="L12" s="19">
        <v>183.0</v>
      </c>
      <c r="M12" s="19">
        <v>129.0</v>
      </c>
      <c r="N12" s="20">
        <v>111.0</v>
      </c>
      <c r="O12" s="19">
        <v>0.0</v>
      </c>
      <c r="P12" s="20">
        <v>110.8</v>
      </c>
      <c r="Q12" s="19">
        <v>-0.18</v>
      </c>
      <c r="R12" s="20">
        <v>108.25</v>
      </c>
      <c r="S12" s="19">
        <v>-2.48</v>
      </c>
      <c r="T12" s="21">
        <v>33.26</v>
      </c>
      <c r="U12" s="21">
        <v>51.41</v>
      </c>
      <c r="V12" s="21">
        <v>42.29</v>
      </c>
      <c r="W12" s="21">
        <v>14.62</v>
      </c>
      <c r="X12" s="24">
        <v>265.43</v>
      </c>
      <c r="Y12" s="22">
        <v>10.09</v>
      </c>
      <c r="Z12" s="24">
        <v>12.2</v>
      </c>
      <c r="AA12" s="24">
        <v>11.93</v>
      </c>
      <c r="AB12" s="24">
        <v>0.67</v>
      </c>
      <c r="AC12" s="24">
        <v>5.11</v>
      </c>
      <c r="AD12" s="24">
        <v>12.19</v>
      </c>
      <c r="AE12" s="24">
        <v>1.13</v>
      </c>
      <c r="AF12" s="23">
        <v>1.2834234E7</v>
      </c>
      <c r="AG12" s="23">
        <v>8738737.0</v>
      </c>
      <c r="AH12" s="23">
        <v>873874.0</v>
      </c>
      <c r="AI12" s="23">
        <v>1747748.0</v>
      </c>
      <c r="AJ12" s="23">
        <v>6117117.0</v>
      </c>
      <c r="AK12" s="23">
        <v>5243242.0</v>
      </c>
      <c r="AL12" s="25">
        <v>135.0</v>
      </c>
      <c r="AM12" s="25">
        <v>5.79</v>
      </c>
      <c r="AN12" s="25">
        <v>19.18</v>
      </c>
      <c r="AO12" s="25">
        <v>4.57</v>
      </c>
      <c r="AP12" s="25">
        <v>24.27</v>
      </c>
      <c r="AQ12" s="23">
        <v>68.09</v>
      </c>
      <c r="AR12" s="23">
        <v>6.81</v>
      </c>
      <c r="AS12" s="23">
        <v>13.62</v>
      </c>
      <c r="AT12" s="23">
        <v>47.66</v>
      </c>
      <c r="AU12" s="23">
        <v>40.85</v>
      </c>
    </row>
    <row r="13">
      <c r="A13" s="15">
        <v>45833.0</v>
      </c>
      <c r="B13" s="15">
        <v>45840.0</v>
      </c>
      <c r="C13" s="16">
        <v>25525.0</v>
      </c>
      <c r="D13" s="16">
        <v>25541.0</v>
      </c>
      <c r="E13" s="16" t="s">
        <v>75</v>
      </c>
      <c r="F13" s="16" t="s">
        <v>70</v>
      </c>
      <c r="G13" s="16" t="s">
        <v>52</v>
      </c>
      <c r="H13" s="18" t="s">
        <v>76</v>
      </c>
      <c r="I13" s="18" t="s">
        <v>77</v>
      </c>
      <c r="J13" s="18">
        <v>10.0</v>
      </c>
      <c r="K13" s="19">
        <v>740.0</v>
      </c>
      <c r="L13" s="19">
        <v>753.0</v>
      </c>
      <c r="M13" s="19">
        <v>815.0</v>
      </c>
      <c r="N13" s="20">
        <v>835.0</v>
      </c>
      <c r="O13" s="19">
        <v>12.84</v>
      </c>
      <c r="P13" s="20">
        <v>840.95</v>
      </c>
      <c r="Q13" s="19">
        <v>13.64</v>
      </c>
      <c r="R13" s="20">
        <v>745.0</v>
      </c>
      <c r="S13" s="19">
        <v>0.68</v>
      </c>
      <c r="T13" s="21">
        <v>58.64</v>
      </c>
      <c r="U13" s="21">
        <v>12.44</v>
      </c>
      <c r="V13" s="21">
        <v>6.79</v>
      </c>
      <c r="W13" s="21">
        <v>1.51</v>
      </c>
      <c r="X13" s="22">
        <v>14936.5</v>
      </c>
      <c r="Y13" s="22">
        <v>58.0</v>
      </c>
      <c r="Z13" s="22">
        <v>14.72</v>
      </c>
      <c r="AA13" s="22">
        <v>9.79</v>
      </c>
      <c r="AB13" s="22">
        <v>5.85</v>
      </c>
      <c r="AC13" s="22">
        <v>13.35</v>
      </c>
      <c r="AD13" s="22">
        <v>14.7</v>
      </c>
      <c r="AE13" s="22">
        <v>3.72</v>
      </c>
      <c r="AF13" s="28">
        <v>1.69E8</v>
      </c>
      <c r="AG13" s="23">
        <v>7.5878377E7</v>
      </c>
      <c r="AH13" s="23">
        <v>1.5175676E7</v>
      </c>
      <c r="AI13" s="23">
        <v>7587838.0</v>
      </c>
      <c r="AJ13" s="23">
        <v>5.3114865E7</v>
      </c>
      <c r="AK13" s="23">
        <v>4.5527026E7</v>
      </c>
      <c r="AL13" s="18">
        <v>20.0</v>
      </c>
      <c r="AM13" s="18">
        <v>27.0</v>
      </c>
      <c r="AN13" s="18">
        <v>27.0</v>
      </c>
      <c r="AO13" s="18">
        <v>26.29</v>
      </c>
      <c r="AP13" s="18">
        <v>28.15</v>
      </c>
      <c r="AQ13" s="23">
        <v>44.92</v>
      </c>
      <c r="AR13" s="23">
        <v>8.98</v>
      </c>
      <c r="AS13" s="23">
        <v>4.49</v>
      </c>
      <c r="AT13" s="23">
        <v>31.44</v>
      </c>
      <c r="AU13" s="23">
        <v>26.95</v>
      </c>
    </row>
    <row r="14">
      <c r="A14" s="15">
        <v>45833.0</v>
      </c>
      <c r="B14" s="15">
        <v>45840.0</v>
      </c>
      <c r="C14" s="16">
        <v>25525.0</v>
      </c>
      <c r="D14" s="16">
        <v>25541.0</v>
      </c>
      <c r="E14" s="16" t="s">
        <v>75</v>
      </c>
      <c r="F14" s="16" t="s">
        <v>70</v>
      </c>
      <c r="G14" s="16" t="s">
        <v>78</v>
      </c>
      <c r="H14" s="18" t="s">
        <v>79</v>
      </c>
      <c r="I14" s="16" t="s">
        <v>49</v>
      </c>
      <c r="J14" s="18">
        <v>10.0</v>
      </c>
      <c r="K14" s="19">
        <v>82.0</v>
      </c>
      <c r="L14" s="19">
        <v>143.0</v>
      </c>
      <c r="M14" s="19">
        <v>96.0</v>
      </c>
      <c r="N14" s="20">
        <v>110.0</v>
      </c>
      <c r="O14" s="19">
        <v>34.15</v>
      </c>
      <c r="P14" s="20">
        <v>97.59</v>
      </c>
      <c r="Q14" s="19">
        <v>19.01</v>
      </c>
      <c r="R14" s="20">
        <v>134.59</v>
      </c>
      <c r="S14" s="19">
        <v>64.13</v>
      </c>
      <c r="T14" s="21">
        <v>66.36</v>
      </c>
      <c r="U14" s="21">
        <v>35.82</v>
      </c>
      <c r="V14" s="21">
        <v>30.01</v>
      </c>
      <c r="W14" s="21">
        <v>8.56</v>
      </c>
      <c r="X14" s="22">
        <v>478.46</v>
      </c>
      <c r="Y14" s="22">
        <v>12.43</v>
      </c>
      <c r="Z14" s="22">
        <v>25.42</v>
      </c>
      <c r="AA14" s="22">
        <v>17.66</v>
      </c>
      <c r="AB14" s="22">
        <v>0.8</v>
      </c>
      <c r="AC14" s="22">
        <v>6.41</v>
      </c>
      <c r="AD14" s="22">
        <v>25.42</v>
      </c>
      <c r="AE14" s="22">
        <v>4.51</v>
      </c>
      <c r="AF14" s="23">
        <v>6.5869291E7</v>
      </c>
      <c r="AG14" s="23">
        <v>3.2774389E7</v>
      </c>
      <c r="AH14" s="23">
        <v>6554878.0</v>
      </c>
      <c r="AI14" s="23">
        <v>3277439.0</v>
      </c>
      <c r="AJ14" s="23">
        <v>2.2942073E7</v>
      </c>
      <c r="AK14" s="23">
        <v>1.9664633E7</v>
      </c>
      <c r="AL14" s="18">
        <v>182.0</v>
      </c>
      <c r="AM14" s="18">
        <v>23.97</v>
      </c>
      <c r="AN14" s="18">
        <v>23.97</v>
      </c>
      <c r="AO14" s="18">
        <v>1.84</v>
      </c>
      <c r="AP14" s="18">
        <v>44.54</v>
      </c>
      <c r="AQ14" s="23">
        <v>49.76</v>
      </c>
      <c r="AR14" s="23">
        <v>9.95</v>
      </c>
      <c r="AS14" s="23">
        <v>4.98</v>
      </c>
      <c r="AT14" s="23">
        <v>34.83</v>
      </c>
      <c r="AU14" s="23">
        <v>29.85</v>
      </c>
    </row>
    <row r="15">
      <c r="A15" s="15">
        <v>45832.0</v>
      </c>
      <c r="B15" s="15">
        <v>45839.0</v>
      </c>
      <c r="C15" s="16">
        <v>25532.0</v>
      </c>
      <c r="D15" s="16">
        <v>25516.0</v>
      </c>
      <c r="E15" s="27">
        <f t="shared" ref="E15:E17" si="2">+0.06%</f>
        <v>0.0006</v>
      </c>
      <c r="F15" s="16" t="s">
        <v>70</v>
      </c>
      <c r="G15" s="16" t="s">
        <v>78</v>
      </c>
      <c r="H15" s="18" t="s">
        <v>80</v>
      </c>
      <c r="I15" s="16" t="s">
        <v>49</v>
      </c>
      <c r="J15" s="18">
        <v>10.0</v>
      </c>
      <c r="K15" s="19">
        <v>71.0</v>
      </c>
      <c r="L15" s="19">
        <v>274.0</v>
      </c>
      <c r="M15" s="19">
        <v>98.0</v>
      </c>
      <c r="N15" s="20">
        <v>90.0</v>
      </c>
      <c r="O15" s="19">
        <v>26.76</v>
      </c>
      <c r="P15" s="20">
        <v>94.72</v>
      </c>
      <c r="Q15" s="19">
        <v>33.41</v>
      </c>
      <c r="R15" s="20">
        <v>84.25</v>
      </c>
      <c r="S15" s="19">
        <v>18.66</v>
      </c>
      <c r="T15" s="21">
        <v>82.13</v>
      </c>
      <c r="U15" s="21">
        <v>136.8</v>
      </c>
      <c r="V15" s="21">
        <v>150.25</v>
      </c>
      <c r="W15" s="21">
        <v>53.67</v>
      </c>
      <c r="X15" s="22">
        <v>99.83</v>
      </c>
      <c r="Y15" s="22">
        <v>13.44</v>
      </c>
      <c r="Z15" s="22">
        <v>21.95</v>
      </c>
      <c r="AA15" s="22">
        <v>23.07</v>
      </c>
      <c r="AB15" s="22">
        <v>1.6</v>
      </c>
      <c r="AC15" s="22">
        <v>4.59</v>
      </c>
      <c r="AD15" s="22">
        <v>19.8</v>
      </c>
      <c r="AE15" s="22">
        <v>3.92</v>
      </c>
      <c r="AF15" s="23">
        <v>1.1732392E7</v>
      </c>
      <c r="AG15" s="23">
        <v>8380280.0</v>
      </c>
      <c r="AH15" s="23">
        <v>1676056.0</v>
      </c>
      <c r="AI15" s="23">
        <v>838028.0</v>
      </c>
      <c r="AJ15" s="23">
        <v>5866196.0</v>
      </c>
      <c r="AK15" s="23">
        <v>5028168.0</v>
      </c>
      <c r="AL15" s="18">
        <v>211.0</v>
      </c>
      <c r="AM15" s="18">
        <v>19.83</v>
      </c>
      <c r="AN15" s="18">
        <v>19.83</v>
      </c>
      <c r="AO15" s="18">
        <v>3.97</v>
      </c>
      <c r="AP15" s="18">
        <v>17.88</v>
      </c>
      <c r="AQ15" s="23">
        <v>71.43</v>
      </c>
      <c r="AR15" s="23">
        <v>14.29</v>
      </c>
      <c r="AS15" s="23">
        <v>7.14</v>
      </c>
      <c r="AT15" s="23">
        <v>50.0</v>
      </c>
      <c r="AU15" s="23">
        <v>42.86</v>
      </c>
    </row>
    <row r="16">
      <c r="A16" s="15">
        <v>45832.0</v>
      </c>
      <c r="B16" s="15">
        <v>45839.0</v>
      </c>
      <c r="C16" s="16">
        <v>25532.0</v>
      </c>
      <c r="D16" s="16">
        <v>25516.0</v>
      </c>
      <c r="E16" s="27">
        <f t="shared" si="2"/>
        <v>0.0006</v>
      </c>
      <c r="F16" s="16" t="s">
        <v>70</v>
      </c>
      <c r="G16" s="16" t="s">
        <v>81</v>
      </c>
      <c r="H16" s="18" t="s">
        <v>82</v>
      </c>
      <c r="I16" s="16" t="s">
        <v>49</v>
      </c>
      <c r="J16" s="18">
        <v>2.0</v>
      </c>
      <c r="K16" s="19">
        <v>400.0</v>
      </c>
      <c r="L16" s="19">
        <v>573.0</v>
      </c>
      <c r="M16" s="19">
        <v>457.0</v>
      </c>
      <c r="N16" s="20">
        <v>486.0</v>
      </c>
      <c r="O16" s="19">
        <v>21.5</v>
      </c>
      <c r="P16" s="20">
        <v>541.2</v>
      </c>
      <c r="Q16" s="19">
        <v>35.3</v>
      </c>
      <c r="R16" s="20">
        <v>566.95</v>
      </c>
      <c r="S16" s="19">
        <v>41.74</v>
      </c>
      <c r="T16" s="21">
        <v>64.23</v>
      </c>
      <c r="U16" s="21">
        <v>17.0</v>
      </c>
      <c r="V16" s="21">
        <v>11.62</v>
      </c>
      <c r="W16" s="21">
        <v>2.14</v>
      </c>
      <c r="X16" s="22">
        <v>333.62</v>
      </c>
      <c r="Y16" s="22">
        <v>35.12</v>
      </c>
      <c r="Z16" s="22">
        <v>16.88</v>
      </c>
      <c r="AA16" s="22">
        <v>13.71</v>
      </c>
      <c r="AB16" s="22">
        <v>0.32</v>
      </c>
      <c r="AC16" s="22">
        <v>23.9</v>
      </c>
      <c r="AD16" s="22">
        <v>24.97</v>
      </c>
      <c r="AE16" s="22">
        <v>20.93</v>
      </c>
      <c r="AF16" s="23">
        <v>1.4919192E7</v>
      </c>
      <c r="AG16" s="23">
        <v>1.0656564E7</v>
      </c>
      <c r="AH16" s="23">
        <v>2131313.0</v>
      </c>
      <c r="AI16" s="23">
        <v>1065657.0</v>
      </c>
      <c r="AJ16" s="23">
        <v>7459596.0</v>
      </c>
      <c r="AK16" s="23">
        <v>6393938.0</v>
      </c>
      <c r="AL16" s="18">
        <v>37.0</v>
      </c>
      <c r="AM16" s="18">
        <v>62.88</v>
      </c>
      <c r="AN16" s="18">
        <v>62.88</v>
      </c>
      <c r="AO16" s="18">
        <v>5.91</v>
      </c>
      <c r="AP16" s="18">
        <v>67.69</v>
      </c>
      <c r="AQ16" s="23">
        <v>71.43</v>
      </c>
      <c r="AR16" s="23">
        <v>14.29</v>
      </c>
      <c r="AS16" s="23">
        <v>7.14</v>
      </c>
      <c r="AT16" s="23">
        <v>50.0</v>
      </c>
      <c r="AU16" s="23">
        <v>42.86</v>
      </c>
    </row>
    <row r="17">
      <c r="A17" s="15">
        <v>45832.0</v>
      </c>
      <c r="B17" s="15">
        <v>45839.0</v>
      </c>
      <c r="C17" s="16">
        <v>25532.0</v>
      </c>
      <c r="D17" s="16">
        <v>25516.0</v>
      </c>
      <c r="E17" s="27">
        <f t="shared" si="2"/>
        <v>0.0006</v>
      </c>
      <c r="F17" s="16" t="s">
        <v>70</v>
      </c>
      <c r="G17" s="16" t="s">
        <v>83</v>
      </c>
      <c r="H17" s="18" t="s">
        <v>84</v>
      </c>
      <c r="I17" s="18" t="s">
        <v>69</v>
      </c>
      <c r="J17" s="18">
        <v>10.0</v>
      </c>
      <c r="K17" s="19">
        <v>414.0</v>
      </c>
      <c r="L17" s="19">
        <v>1.51</v>
      </c>
      <c r="M17" s="19">
        <v>415.5</v>
      </c>
      <c r="N17" s="20">
        <v>414.0</v>
      </c>
      <c r="O17" s="19">
        <v>0.0</v>
      </c>
      <c r="P17" s="20">
        <v>433.8</v>
      </c>
      <c r="Q17" s="19">
        <v>4.78</v>
      </c>
      <c r="R17" s="20">
        <v>407.35</v>
      </c>
      <c r="S17" s="19">
        <v>-1.61</v>
      </c>
      <c r="T17" s="21">
        <v>3.12</v>
      </c>
      <c r="U17" s="21">
        <v>1.48</v>
      </c>
      <c r="V17" s="21">
        <v>0.8</v>
      </c>
      <c r="W17" s="21">
        <v>1.43</v>
      </c>
      <c r="X17" s="22">
        <v>1579.54</v>
      </c>
      <c r="Y17" s="22">
        <v>-4.04</v>
      </c>
      <c r="Z17" s="22">
        <v>9.74</v>
      </c>
      <c r="AA17" s="22">
        <v>15.31</v>
      </c>
      <c r="AB17" s="22">
        <v>0.64</v>
      </c>
      <c r="AC17" s="22">
        <v>2.5</v>
      </c>
      <c r="AD17" s="22">
        <v>-10.15</v>
      </c>
      <c r="AE17" s="22">
        <v>5.62</v>
      </c>
      <c r="AF17" s="23">
        <v>2.1334828E7</v>
      </c>
      <c r="AG17" s="23">
        <v>2.8516306E7</v>
      </c>
      <c r="AH17" s="23">
        <v>3802174.0</v>
      </c>
      <c r="AI17" s="23">
        <v>1901086.0</v>
      </c>
      <c r="AJ17" s="23">
        <v>3802173.0</v>
      </c>
      <c r="AK17" s="23">
        <v>1.7109783E7</v>
      </c>
      <c r="AL17" s="18">
        <v>36.0</v>
      </c>
      <c r="AM17" s="18">
        <v>-59.52</v>
      </c>
      <c r="AN17" s="18">
        <v>-59.52</v>
      </c>
      <c r="AO17" s="18">
        <v>0.36</v>
      </c>
      <c r="AP17" s="18">
        <v>1160.05</v>
      </c>
      <c r="AQ17" s="23">
        <v>133.66</v>
      </c>
      <c r="AR17" s="23">
        <v>17.82</v>
      </c>
      <c r="AS17" s="23">
        <v>8.91</v>
      </c>
      <c r="AT17" s="23">
        <v>17.82</v>
      </c>
      <c r="AU17" s="23">
        <v>80.2</v>
      </c>
    </row>
    <row r="18">
      <c r="A18" s="15">
        <v>45826.0</v>
      </c>
      <c r="B18" s="15">
        <v>45833.0</v>
      </c>
      <c r="C18" s="16">
        <v>25208.0</v>
      </c>
      <c r="D18" s="16">
        <v>25042.0</v>
      </c>
      <c r="E18" s="27">
        <f>+0.66%</f>
        <v>0.0066</v>
      </c>
      <c r="F18" s="16" t="s">
        <v>70</v>
      </c>
      <c r="G18" s="16" t="s">
        <v>78</v>
      </c>
      <c r="H18" s="18" t="s">
        <v>85</v>
      </c>
      <c r="I18" s="16" t="s">
        <v>49</v>
      </c>
      <c r="J18" s="18">
        <v>2.0</v>
      </c>
      <c r="K18" s="19">
        <v>222.0</v>
      </c>
      <c r="L18" s="19">
        <v>1.0</v>
      </c>
      <c r="M18" s="19">
        <v>222.0</v>
      </c>
      <c r="N18" s="20">
        <v>205.0</v>
      </c>
      <c r="O18" s="19">
        <v>-7.66</v>
      </c>
      <c r="P18" s="20">
        <v>174.38</v>
      </c>
      <c r="Q18" s="19">
        <v>-21.45</v>
      </c>
      <c r="R18" s="20">
        <v>137.07</v>
      </c>
      <c r="S18" s="19">
        <v>-38.26</v>
      </c>
      <c r="T18" s="21">
        <v>1.5</v>
      </c>
      <c r="U18" s="21">
        <v>2.98</v>
      </c>
      <c r="V18" s="21">
        <v>3.61</v>
      </c>
      <c r="W18" s="21">
        <v>5.9</v>
      </c>
      <c r="X18" s="22">
        <v>152.09</v>
      </c>
      <c r="Y18" s="22">
        <v>6.52</v>
      </c>
      <c r="Z18" s="22">
        <v>3.18</v>
      </c>
      <c r="AA18" s="22">
        <v>18.8</v>
      </c>
      <c r="AB18" s="22">
        <v>1.45</v>
      </c>
      <c r="AC18" s="22">
        <v>0.27</v>
      </c>
      <c r="AD18" s="22">
        <v>-13.14</v>
      </c>
      <c r="AE18" s="22">
        <v>8.61</v>
      </c>
      <c r="AF18" s="23">
        <v>1.2377378E7</v>
      </c>
      <c r="AG18" s="23">
        <v>1.6878244E7</v>
      </c>
      <c r="AH18" s="23">
        <v>2250432.0</v>
      </c>
      <c r="AI18" s="23">
        <v>1125216.0</v>
      </c>
      <c r="AJ18" s="23">
        <v>2250432.0</v>
      </c>
      <c r="AK18" s="23">
        <v>1.0126946E7</v>
      </c>
      <c r="AL18" s="18">
        <v>67.0</v>
      </c>
      <c r="AM18" s="18">
        <v>-41.89</v>
      </c>
      <c r="AN18" s="18">
        <v>-41.89</v>
      </c>
      <c r="AO18" s="18" t="s">
        <v>86</v>
      </c>
      <c r="AP18" s="18" t="s">
        <v>87</v>
      </c>
      <c r="AQ18" s="23">
        <v>136.36</v>
      </c>
      <c r="AR18" s="23">
        <v>18.18</v>
      </c>
      <c r="AS18" s="23">
        <v>9.09</v>
      </c>
      <c r="AT18" s="23">
        <v>18.18</v>
      </c>
      <c r="AU18" s="23">
        <v>81.82</v>
      </c>
    </row>
    <row r="19">
      <c r="A19" s="15">
        <v>45821.0</v>
      </c>
      <c r="B19" s="15">
        <v>45828.0</v>
      </c>
      <c r="C19" s="16">
        <v>24918.0</v>
      </c>
      <c r="D19" s="16">
        <v>25114.0</v>
      </c>
      <c r="E19" s="16" t="s">
        <v>88</v>
      </c>
      <c r="F19" s="16" t="s">
        <v>54</v>
      </c>
      <c r="G19" s="16" t="s">
        <v>78</v>
      </c>
      <c r="H19" s="18" t="s">
        <v>89</v>
      </c>
      <c r="I19" s="16" t="s">
        <v>49</v>
      </c>
      <c r="J19" s="18">
        <v>1.0</v>
      </c>
      <c r="K19" s="19">
        <v>614.0</v>
      </c>
      <c r="L19" s="19">
        <v>412.0</v>
      </c>
      <c r="M19" s="19">
        <v>655.0</v>
      </c>
      <c r="N19" s="20">
        <v>634.0</v>
      </c>
      <c r="O19" s="19">
        <v>3.26</v>
      </c>
      <c r="P19" s="20">
        <v>625.35</v>
      </c>
      <c r="Q19" s="19">
        <v>1.85</v>
      </c>
      <c r="R19" s="20">
        <v>717.75</v>
      </c>
      <c r="S19" s="19">
        <v>16.9</v>
      </c>
      <c r="T19" s="21">
        <v>88.08</v>
      </c>
      <c r="U19" s="21">
        <v>43.78</v>
      </c>
      <c r="V19" s="21">
        <v>22.53</v>
      </c>
      <c r="W19" s="21">
        <v>3.6</v>
      </c>
      <c r="X19" s="22">
        <v>378.8</v>
      </c>
      <c r="Y19" s="22">
        <v>19.79</v>
      </c>
      <c r="Z19" s="22">
        <v>75.61</v>
      </c>
      <c r="AA19" s="22">
        <v>81.85</v>
      </c>
      <c r="AB19" s="22">
        <v>0.42</v>
      </c>
      <c r="AC19" s="22">
        <v>12.83</v>
      </c>
      <c r="AD19" s="22">
        <v>88.73</v>
      </c>
      <c r="AE19" s="22">
        <v>38.14</v>
      </c>
      <c r="AF19" s="23">
        <v>2.2595114E7</v>
      </c>
      <c r="AG19" s="23">
        <v>1.1297557E7</v>
      </c>
      <c r="AH19" s="23">
        <v>2259511.0</v>
      </c>
      <c r="AI19" s="23">
        <v>1129756.0</v>
      </c>
      <c r="AJ19" s="23">
        <v>7908290.0</v>
      </c>
      <c r="AK19" s="23">
        <v>6778533.0</v>
      </c>
      <c r="AL19" s="18">
        <v>24.0</v>
      </c>
      <c r="AM19" s="18">
        <v>62.54</v>
      </c>
      <c r="AN19" s="18">
        <v>62.54</v>
      </c>
      <c r="AO19" s="18">
        <v>25.35</v>
      </c>
      <c r="AP19" s="18">
        <v>24.22</v>
      </c>
      <c r="AQ19" s="23">
        <v>50.0</v>
      </c>
      <c r="AR19" s="23">
        <v>10.0</v>
      </c>
      <c r="AS19" s="23">
        <v>5.0</v>
      </c>
      <c r="AT19" s="23">
        <v>35.0</v>
      </c>
      <c r="AU19" s="23">
        <v>30.0</v>
      </c>
    </row>
    <row r="20">
      <c r="A20" s="15">
        <v>45805.0</v>
      </c>
      <c r="B20" s="15">
        <v>45812.0</v>
      </c>
      <c r="C20" s="16">
        <v>24578.0</v>
      </c>
      <c r="D20" s="16">
        <v>24545.0</v>
      </c>
      <c r="E20" s="27">
        <f>+0.13%</f>
        <v>0.0013</v>
      </c>
      <c r="F20" s="16" t="s">
        <v>54</v>
      </c>
      <c r="G20" s="16" t="s">
        <v>78</v>
      </c>
      <c r="H20" s="18" t="s">
        <v>90</v>
      </c>
      <c r="I20" s="16" t="s">
        <v>49</v>
      </c>
      <c r="J20" s="18">
        <v>10.0</v>
      </c>
      <c r="K20" s="19">
        <v>140.0</v>
      </c>
      <c r="L20" s="19">
        <v>203.0</v>
      </c>
      <c r="M20" s="19">
        <v>160.0</v>
      </c>
      <c r="N20" s="20">
        <v>140.0</v>
      </c>
      <c r="O20" s="19">
        <v>0.0</v>
      </c>
      <c r="P20" s="20">
        <v>147.0</v>
      </c>
      <c r="Q20" s="19">
        <v>5.0</v>
      </c>
      <c r="R20" s="20">
        <v>189.72</v>
      </c>
      <c r="S20" s="19">
        <v>35.51</v>
      </c>
      <c r="T20" s="21">
        <v>72.97</v>
      </c>
      <c r="U20" s="21">
        <v>135.31</v>
      </c>
      <c r="V20" s="21">
        <v>94.54</v>
      </c>
      <c r="W20" s="21">
        <v>20.89</v>
      </c>
      <c r="X20" s="22">
        <v>143.55</v>
      </c>
      <c r="Y20" s="22">
        <v>14.7</v>
      </c>
      <c r="Z20" s="22">
        <v>28.77</v>
      </c>
      <c r="AA20" s="22">
        <v>15.92</v>
      </c>
      <c r="AB20" s="22">
        <v>1.4</v>
      </c>
      <c r="AC20" s="22">
        <v>4.58</v>
      </c>
      <c r="AD20" s="22">
        <v>28.77</v>
      </c>
      <c r="AE20" s="22">
        <v>8.76</v>
      </c>
      <c r="AF20" s="23">
        <v>1.57142E7</v>
      </c>
      <c r="AG20" s="23">
        <v>7857000.0</v>
      </c>
      <c r="AH20" s="23">
        <v>1571400.0</v>
      </c>
      <c r="AI20" s="23">
        <v>785800.0</v>
      </c>
      <c r="AJ20" s="23">
        <v>5500000.0</v>
      </c>
      <c r="AK20" s="23">
        <v>4714200.0</v>
      </c>
      <c r="AL20" s="18">
        <v>100.0</v>
      </c>
      <c r="AM20" s="18">
        <v>33.81</v>
      </c>
      <c r="AN20" s="18">
        <v>33.81</v>
      </c>
      <c r="AO20" s="18">
        <v>5.54</v>
      </c>
      <c r="AP20" s="18">
        <v>25.25</v>
      </c>
      <c r="AQ20" s="23">
        <v>50.0</v>
      </c>
      <c r="AR20" s="23">
        <v>10.0</v>
      </c>
      <c r="AS20" s="23">
        <v>5.0</v>
      </c>
      <c r="AT20" s="23">
        <v>35.0</v>
      </c>
      <c r="AU20" s="23">
        <v>30.0</v>
      </c>
    </row>
    <row r="21">
      <c r="A21" s="15">
        <v>45804.0</v>
      </c>
      <c r="B21" s="15">
        <v>45811.0</v>
      </c>
      <c r="C21" s="16">
        <v>24661.0</v>
      </c>
      <c r="D21" s="16">
        <v>24717.0</v>
      </c>
      <c r="E21" s="16" t="s">
        <v>91</v>
      </c>
      <c r="F21" s="16" t="s">
        <v>61</v>
      </c>
      <c r="G21" s="16" t="s">
        <v>50</v>
      </c>
      <c r="H21" s="18" t="s">
        <v>92</v>
      </c>
      <c r="I21" s="16" t="s">
        <v>49</v>
      </c>
      <c r="J21" s="18">
        <v>10.0</v>
      </c>
      <c r="K21" s="19">
        <v>105.0</v>
      </c>
      <c r="L21" s="19">
        <v>123.0</v>
      </c>
      <c r="M21" s="19">
        <v>117.0</v>
      </c>
      <c r="N21" s="20">
        <v>120.0</v>
      </c>
      <c r="O21" s="19">
        <v>14.29</v>
      </c>
      <c r="P21" s="20">
        <v>126.25</v>
      </c>
      <c r="Q21" s="19">
        <v>20.24</v>
      </c>
      <c r="R21" s="20">
        <v>239.61</v>
      </c>
      <c r="S21" s="19">
        <v>128.2</v>
      </c>
      <c r="T21" s="21">
        <v>102.67</v>
      </c>
      <c r="U21" s="21">
        <v>249.8</v>
      </c>
      <c r="V21" s="21">
        <v>166.78</v>
      </c>
      <c r="W21" s="21">
        <v>39.48</v>
      </c>
      <c r="X21" s="22">
        <v>107.24</v>
      </c>
      <c r="Y21" s="22">
        <v>14.2</v>
      </c>
      <c r="Z21" s="22">
        <v>31.41</v>
      </c>
      <c r="AA21" s="22">
        <v>32.41</v>
      </c>
      <c r="AB21" s="22">
        <v>0.51</v>
      </c>
      <c r="AC21" s="22">
        <v>8.85</v>
      </c>
      <c r="AD21" s="22">
        <v>32.09</v>
      </c>
      <c r="AE21" s="22">
        <v>5.34</v>
      </c>
      <c r="AF21" s="23">
        <v>1.12E7</v>
      </c>
      <c r="AG21" s="23">
        <v>8000000.0</v>
      </c>
      <c r="AH21" s="23">
        <v>1600000.0</v>
      </c>
      <c r="AI21" s="23">
        <v>800000.0</v>
      </c>
      <c r="AJ21" s="23">
        <v>5600000.0</v>
      </c>
      <c r="AK21" s="23">
        <v>4800000.0</v>
      </c>
      <c r="AL21" s="18">
        <v>142.0</v>
      </c>
      <c r="AM21" s="18">
        <v>19.75</v>
      </c>
      <c r="AN21" s="18">
        <v>19.75</v>
      </c>
      <c r="AO21" s="18">
        <v>5.01</v>
      </c>
      <c r="AP21" s="18">
        <v>20.97</v>
      </c>
      <c r="AQ21" s="23">
        <v>71.43</v>
      </c>
      <c r="AR21" s="23">
        <v>14.29</v>
      </c>
      <c r="AS21" s="23">
        <v>7.14</v>
      </c>
      <c r="AT21" s="23">
        <v>50.0</v>
      </c>
      <c r="AU21" s="23">
        <v>42.86</v>
      </c>
    </row>
    <row r="22">
      <c r="A22" s="15">
        <v>45803.0</v>
      </c>
      <c r="B22" s="15">
        <v>45810.0</v>
      </c>
      <c r="C22" s="16">
        <v>24581.0</v>
      </c>
      <c r="D22" s="16">
        <v>24751.0</v>
      </c>
      <c r="E22" s="16" t="s">
        <v>93</v>
      </c>
      <c r="F22" s="16" t="s">
        <v>54</v>
      </c>
      <c r="G22" s="16" t="s">
        <v>94</v>
      </c>
      <c r="H22" s="18" t="s">
        <v>95</v>
      </c>
      <c r="I22" s="16" t="s">
        <v>49</v>
      </c>
      <c r="J22" s="18">
        <v>10.0</v>
      </c>
      <c r="K22" s="19">
        <v>235.0</v>
      </c>
      <c r="L22" s="19">
        <v>-11.0</v>
      </c>
      <c r="M22" s="19">
        <v>234.0</v>
      </c>
      <c r="N22" s="20">
        <v>220.0</v>
      </c>
      <c r="O22" s="19">
        <v>-6.38</v>
      </c>
      <c r="P22" s="20">
        <v>242.0</v>
      </c>
      <c r="Q22" s="19">
        <v>2.98</v>
      </c>
      <c r="R22" s="20">
        <v>241.87</v>
      </c>
      <c r="S22" s="19">
        <v>2.92</v>
      </c>
      <c r="T22" s="21">
        <v>3.47</v>
      </c>
      <c r="U22" s="21">
        <v>0.6</v>
      </c>
      <c r="V22" s="21">
        <v>0.56</v>
      </c>
      <c r="W22" s="21">
        <v>0.81</v>
      </c>
      <c r="X22" s="22">
        <v>2037.61</v>
      </c>
      <c r="Y22" s="22">
        <v>71.0</v>
      </c>
      <c r="Z22" s="22">
        <v>8.68</v>
      </c>
      <c r="AA22" s="22">
        <v>8.39</v>
      </c>
      <c r="AB22" s="22">
        <v>2.59</v>
      </c>
      <c r="AC22" s="22">
        <v>15.18</v>
      </c>
      <c r="AD22" s="22">
        <v>7.51</v>
      </c>
      <c r="AE22" s="22">
        <v>17.71</v>
      </c>
      <c r="AF22" s="23">
        <v>6.5531915E7</v>
      </c>
      <c r="AG22" s="23">
        <v>3.5744682E7</v>
      </c>
      <c r="AH22" s="23">
        <v>1.1914893E7</v>
      </c>
      <c r="AI22" s="23">
        <v>5957447.0</v>
      </c>
      <c r="AJ22" s="23">
        <v>1.1914893E7</v>
      </c>
      <c r="AK22" s="23">
        <v>5.3617021E7</v>
      </c>
      <c r="AL22" s="18">
        <v>63.0</v>
      </c>
      <c r="AM22" s="18">
        <v>268.51</v>
      </c>
      <c r="AN22" s="18">
        <v>268.51</v>
      </c>
      <c r="AO22" s="18">
        <v>1.03</v>
      </c>
      <c r="AP22" s="18">
        <v>227.36</v>
      </c>
      <c r="AQ22" s="23">
        <v>136.36</v>
      </c>
      <c r="AR22" s="23">
        <v>18.18</v>
      </c>
      <c r="AS22" s="23">
        <v>9.09</v>
      </c>
      <c r="AT22" s="23">
        <v>18.18</v>
      </c>
      <c r="AU22" s="23">
        <v>81.82</v>
      </c>
    </row>
    <row r="23">
      <c r="A23" s="15">
        <v>45803.0</v>
      </c>
      <c r="B23" s="15">
        <v>45810.0</v>
      </c>
      <c r="C23" s="16">
        <v>24581.0</v>
      </c>
      <c r="D23" s="16">
        <v>24751.0</v>
      </c>
      <c r="E23" s="16" t="s">
        <v>93</v>
      </c>
      <c r="F23" s="16" t="s">
        <v>54</v>
      </c>
      <c r="G23" s="16" t="s">
        <v>55</v>
      </c>
      <c r="H23" s="18" t="s">
        <v>96</v>
      </c>
      <c r="I23" s="16" t="s">
        <v>49</v>
      </c>
      <c r="J23" s="18">
        <v>10.0</v>
      </c>
      <c r="K23" s="19">
        <v>435.0</v>
      </c>
      <c r="L23" s="19">
        <v>21.0</v>
      </c>
      <c r="M23" s="19">
        <v>437.0</v>
      </c>
      <c r="N23" s="20">
        <v>406.0</v>
      </c>
      <c r="O23" s="19">
        <v>-6.67</v>
      </c>
      <c r="P23" s="20">
        <v>435.55</v>
      </c>
      <c r="Q23" s="19">
        <v>0.13</v>
      </c>
      <c r="R23" s="20">
        <v>418.4</v>
      </c>
      <c r="S23" s="19">
        <v>-3.82</v>
      </c>
      <c r="T23" s="21">
        <v>7.82</v>
      </c>
      <c r="U23" s="21">
        <v>1.21</v>
      </c>
      <c r="V23" s="21">
        <v>0.82</v>
      </c>
      <c r="W23" s="21">
        <v>0.87</v>
      </c>
      <c r="X23" s="22">
        <v>3604.99</v>
      </c>
      <c r="Y23" s="22">
        <v>49.78</v>
      </c>
      <c r="Z23" s="22">
        <v>1.3</v>
      </c>
      <c r="AA23" s="22">
        <v>7.5</v>
      </c>
      <c r="AB23" s="22">
        <v>1.1</v>
      </c>
      <c r="AC23" s="22">
        <v>3.7</v>
      </c>
      <c r="AD23" s="22">
        <v>1.32</v>
      </c>
      <c r="AE23" s="22">
        <v>2.92</v>
      </c>
      <c r="AF23" s="23">
        <v>4.4252873E7</v>
      </c>
      <c r="AG23" s="23">
        <v>6.0344828E7</v>
      </c>
      <c r="AH23" s="23">
        <v>8045976.0</v>
      </c>
      <c r="AI23" s="23">
        <v>4022989.0</v>
      </c>
      <c r="AJ23" s="23">
        <v>8045976.0</v>
      </c>
      <c r="AK23" s="23">
        <v>3.6206896E7</v>
      </c>
      <c r="AL23" s="18">
        <v>34.0</v>
      </c>
      <c r="AM23" s="18">
        <v>160.63</v>
      </c>
      <c r="AN23" s="18">
        <v>160.63</v>
      </c>
      <c r="AO23" s="18">
        <v>2.04</v>
      </c>
      <c r="AP23" s="18">
        <v>213.09</v>
      </c>
      <c r="AQ23" s="23">
        <v>136.36</v>
      </c>
      <c r="AR23" s="23">
        <v>18.18</v>
      </c>
      <c r="AS23" s="23">
        <v>9.09</v>
      </c>
      <c r="AT23" s="23">
        <v>18.18</v>
      </c>
      <c r="AU23" s="23">
        <v>81.82</v>
      </c>
    </row>
    <row r="24">
      <c r="A24" s="15">
        <v>45798.0</v>
      </c>
      <c r="B24" s="15">
        <v>45805.0</v>
      </c>
      <c r="C24" s="16">
        <v>24761.0</v>
      </c>
      <c r="D24" s="16">
        <v>24824.0</v>
      </c>
      <c r="E24" s="16" t="s">
        <v>97</v>
      </c>
      <c r="F24" s="16" t="s">
        <v>61</v>
      </c>
      <c r="G24" s="16" t="s">
        <v>98</v>
      </c>
      <c r="H24" s="18" t="s">
        <v>99</v>
      </c>
      <c r="I24" s="16" t="s">
        <v>49</v>
      </c>
      <c r="J24" s="18">
        <v>5.0</v>
      </c>
      <c r="K24" s="19">
        <v>90.0</v>
      </c>
      <c r="L24" s="19">
        <v>214.0</v>
      </c>
      <c r="M24" s="19">
        <v>111.0</v>
      </c>
      <c r="N24" s="20">
        <v>100.0</v>
      </c>
      <c r="O24" s="19">
        <v>11.11</v>
      </c>
      <c r="P24" s="20">
        <v>97.41</v>
      </c>
      <c r="Q24" s="19">
        <v>8.23</v>
      </c>
      <c r="R24" s="20">
        <v>131.79</v>
      </c>
      <c r="S24" s="19">
        <v>46.43</v>
      </c>
      <c r="T24" s="21">
        <v>112.63</v>
      </c>
      <c r="U24" s="21">
        <v>48.0</v>
      </c>
      <c r="V24" s="21">
        <v>25.76</v>
      </c>
      <c r="W24" s="21">
        <v>4.52</v>
      </c>
      <c r="X24" s="22">
        <v>2331.92</v>
      </c>
      <c r="Y24" s="29">
        <v>13.68</v>
      </c>
      <c r="Z24" s="22">
        <v>14.08</v>
      </c>
      <c r="AA24" s="22">
        <v>14.83</v>
      </c>
      <c r="AB24" s="22">
        <v>0.97</v>
      </c>
      <c r="AC24" s="22">
        <v>4.36</v>
      </c>
      <c r="AD24" s="22">
        <v>13.33</v>
      </c>
      <c r="AE24" s="22">
        <v>2.5</v>
      </c>
      <c r="AF24" s="28">
        <v>1.67E8</v>
      </c>
      <c r="AG24" s="28">
        <v>1.19E8</v>
      </c>
      <c r="AH24" s="23">
        <v>2.3888889E7</v>
      </c>
      <c r="AI24" s="23">
        <v>1.1944445E7</v>
      </c>
      <c r="AJ24" s="23">
        <v>8.3611111E7</v>
      </c>
      <c r="AK24" s="23">
        <v>7.1666665E7</v>
      </c>
      <c r="AL24" s="18">
        <v>166.0</v>
      </c>
      <c r="AM24" s="18">
        <v>16.61</v>
      </c>
      <c r="AN24" s="18">
        <v>16.61</v>
      </c>
      <c r="AO24" s="18">
        <v>3.68</v>
      </c>
      <c r="AP24" s="18">
        <v>24.47</v>
      </c>
      <c r="AQ24" s="23">
        <v>71.43</v>
      </c>
      <c r="AR24" s="23">
        <v>14.29</v>
      </c>
      <c r="AS24" s="23">
        <v>7.14</v>
      </c>
      <c r="AT24" s="23">
        <v>50.0</v>
      </c>
      <c r="AU24" s="23">
        <v>42.86</v>
      </c>
    </row>
    <row r="25">
      <c r="A25" s="15">
        <v>45797.0</v>
      </c>
      <c r="B25" s="15">
        <v>45804.0</v>
      </c>
      <c r="C25" s="16">
        <v>24777.0</v>
      </c>
      <c r="D25" s="16">
        <v>25001.0</v>
      </c>
      <c r="E25" s="16" t="s">
        <v>100</v>
      </c>
      <c r="F25" s="16" t="s">
        <v>54</v>
      </c>
      <c r="G25" s="16" t="s">
        <v>47</v>
      </c>
      <c r="H25" s="18" t="s">
        <v>101</v>
      </c>
      <c r="I25" s="16" t="s">
        <v>49</v>
      </c>
      <c r="J25" s="18">
        <v>10.0</v>
      </c>
      <c r="K25" s="19">
        <v>216.0</v>
      </c>
      <c r="L25" s="19">
        <v>433.0</v>
      </c>
      <c r="M25" s="19">
        <v>259.0</v>
      </c>
      <c r="N25" s="20">
        <v>243.0</v>
      </c>
      <c r="O25" s="19">
        <v>12.5</v>
      </c>
      <c r="P25" s="20">
        <v>255.15</v>
      </c>
      <c r="Q25" s="19">
        <v>18.13</v>
      </c>
      <c r="R25" s="20">
        <v>225.44</v>
      </c>
      <c r="S25" s="19">
        <v>4.37</v>
      </c>
      <c r="T25" s="21">
        <v>85.53</v>
      </c>
      <c r="U25" s="21">
        <v>239.74</v>
      </c>
      <c r="V25" s="21">
        <v>232.75</v>
      </c>
      <c r="W25" s="21">
        <v>200.5</v>
      </c>
      <c r="X25" s="22">
        <v>76.55</v>
      </c>
      <c r="Y25" s="29">
        <v>20.0</v>
      </c>
      <c r="Z25" s="22">
        <v>49.45</v>
      </c>
      <c r="AA25" s="22">
        <v>27.42</v>
      </c>
      <c r="AB25" s="22">
        <v>1.48</v>
      </c>
      <c r="AC25" s="22">
        <v>11.85</v>
      </c>
      <c r="AD25" s="22">
        <v>49.77</v>
      </c>
      <c r="AE25" s="22">
        <v>9.09</v>
      </c>
      <c r="AF25" s="23">
        <v>3689457.0</v>
      </c>
      <c r="AG25" s="23">
        <v>5031000.0</v>
      </c>
      <c r="AH25" s="23">
        <v>670800.0</v>
      </c>
      <c r="AI25" s="23">
        <v>335400.0</v>
      </c>
      <c r="AJ25" s="23">
        <v>670800.0</v>
      </c>
      <c r="AK25" s="23">
        <v>3018543.0</v>
      </c>
      <c r="AL25" s="18">
        <v>69.0</v>
      </c>
      <c r="AM25" s="18">
        <v>18.26</v>
      </c>
      <c r="AN25" s="18">
        <v>18.26</v>
      </c>
      <c r="AO25" s="18">
        <v>14.66</v>
      </c>
      <c r="AP25" s="18">
        <v>14.73</v>
      </c>
      <c r="AQ25" s="23">
        <v>136.36</v>
      </c>
      <c r="AR25" s="23">
        <v>18.18</v>
      </c>
      <c r="AS25" s="23">
        <v>9.09</v>
      </c>
      <c r="AT25" s="23">
        <v>18.18</v>
      </c>
      <c r="AU25" s="23">
        <v>81.82</v>
      </c>
    </row>
    <row r="26">
      <c r="A26" s="15">
        <v>45775.0</v>
      </c>
      <c r="B26" s="15">
        <v>45783.0</v>
      </c>
      <c r="C26" s="16">
        <v>24389.0</v>
      </c>
      <c r="D26" s="16">
        <v>24466.0</v>
      </c>
      <c r="E26" s="16" t="s">
        <v>102</v>
      </c>
      <c r="F26" s="16" t="s">
        <v>54</v>
      </c>
      <c r="G26" s="16" t="s">
        <v>98</v>
      </c>
      <c r="H26" s="18" t="s">
        <v>103</v>
      </c>
      <c r="I26" s="16" t="s">
        <v>69</v>
      </c>
      <c r="J26" s="18">
        <v>1.0</v>
      </c>
      <c r="K26" s="19">
        <v>321.0</v>
      </c>
      <c r="L26" s="19">
        <v>121.0</v>
      </c>
      <c r="M26" s="19">
        <v>333.0</v>
      </c>
      <c r="N26" s="20">
        <v>328.0</v>
      </c>
      <c r="O26" s="19">
        <v>2.18</v>
      </c>
      <c r="P26" s="20">
        <v>302.5</v>
      </c>
      <c r="Q26" s="19">
        <v>-5.76</v>
      </c>
      <c r="R26" s="20">
        <v>344.75</v>
      </c>
      <c r="S26" s="19">
        <v>7.4</v>
      </c>
      <c r="T26" s="21">
        <v>1.76</v>
      </c>
      <c r="U26" s="21">
        <v>0.74</v>
      </c>
      <c r="V26" s="21">
        <v>0.6</v>
      </c>
      <c r="W26" s="21">
        <v>1.89</v>
      </c>
      <c r="X26" s="22">
        <v>108.0</v>
      </c>
      <c r="Y26" s="29">
        <v>-26.0</v>
      </c>
      <c r="Z26" s="22">
        <v>-156.0</v>
      </c>
      <c r="AA26" s="22">
        <v>-75.0</v>
      </c>
      <c r="AB26" s="22">
        <v>1.3</v>
      </c>
      <c r="AC26" s="22">
        <v>-37.0</v>
      </c>
      <c r="AD26" s="22">
        <v>-194.0</v>
      </c>
      <c r="AE26" s="22">
        <v>4.01</v>
      </c>
      <c r="AF26" s="23">
        <v>9.2867927E7</v>
      </c>
      <c r="AG26" s="23">
        <v>6.957596E7</v>
      </c>
      <c r="AH26" s="23">
        <v>9276794.0</v>
      </c>
      <c r="AI26" s="23">
        <v>4638379.0</v>
      </c>
      <c r="AJ26" s="23">
        <v>9276794.0</v>
      </c>
      <c r="AK26" s="23">
        <v>4.1745576E7</v>
      </c>
      <c r="AL26" s="18">
        <v>46.0</v>
      </c>
      <c r="AM26" s="18">
        <v>-47.0</v>
      </c>
      <c r="AN26" s="18">
        <v>-8.8</v>
      </c>
      <c r="AO26" s="18">
        <v>-32.0</v>
      </c>
      <c r="AP26" s="18">
        <v>-15.52</v>
      </c>
      <c r="AQ26" s="23">
        <v>74.92</v>
      </c>
      <c r="AR26" s="23">
        <v>9.99</v>
      </c>
      <c r="AS26" s="23">
        <v>4.99</v>
      </c>
      <c r="AT26" s="23">
        <v>9.99</v>
      </c>
      <c r="AU26" s="23">
        <v>44.95</v>
      </c>
    </row>
    <row r="27">
      <c r="A27" s="15">
        <v>45702.0</v>
      </c>
      <c r="B27" s="15">
        <v>45712.0</v>
      </c>
      <c r="C27" s="16">
        <v>22594.0</v>
      </c>
      <c r="D27" s="16">
        <v>22800.0</v>
      </c>
      <c r="E27" s="16" t="s">
        <v>100</v>
      </c>
      <c r="F27" s="16" t="s">
        <v>54</v>
      </c>
      <c r="G27" s="16" t="s">
        <v>78</v>
      </c>
      <c r="H27" s="18" t="s">
        <v>104</v>
      </c>
      <c r="I27" s="16" t="s">
        <v>49</v>
      </c>
      <c r="J27" s="18">
        <v>10.0</v>
      </c>
      <c r="K27" s="19">
        <v>425.0</v>
      </c>
      <c r="L27" s="19">
        <v>51.0</v>
      </c>
      <c r="M27" s="19">
        <v>430.0</v>
      </c>
      <c r="N27" s="20">
        <v>430.0</v>
      </c>
      <c r="O27" s="19">
        <v>1.18</v>
      </c>
      <c r="P27" s="20">
        <v>387.9</v>
      </c>
      <c r="Q27" s="19">
        <v>-8.73</v>
      </c>
      <c r="R27" s="20">
        <v>789.55</v>
      </c>
      <c r="S27" s="19">
        <v>85.78</v>
      </c>
      <c r="T27" s="21">
        <v>1.03</v>
      </c>
      <c r="U27" s="21">
        <v>1.78</v>
      </c>
      <c r="V27" s="21">
        <v>0.79</v>
      </c>
      <c r="W27" s="21">
        <v>1.82</v>
      </c>
      <c r="X27" s="22">
        <v>238.63</v>
      </c>
      <c r="Y27" s="29">
        <v>35.5</v>
      </c>
      <c r="Z27" s="22">
        <v>15.6</v>
      </c>
      <c r="AA27" s="22">
        <v>19.2</v>
      </c>
      <c r="AB27" s="22">
        <v>0.2</v>
      </c>
      <c r="AC27" s="22">
        <v>16.74</v>
      </c>
      <c r="AD27" s="22">
        <v>29.15</v>
      </c>
      <c r="AE27" s="22">
        <v>16.11</v>
      </c>
      <c r="AF27" s="23">
        <v>2.02046E7</v>
      </c>
      <c r="AG27" s="23">
        <v>1.515345E7</v>
      </c>
      <c r="AH27" s="23">
        <v>2020460.0</v>
      </c>
      <c r="AI27" s="23">
        <v>1010230.0</v>
      </c>
      <c r="AJ27" s="23">
        <v>2020460.0</v>
      </c>
      <c r="AK27" s="23">
        <v>9092070.0</v>
      </c>
      <c r="AL27" s="18">
        <v>26.0</v>
      </c>
      <c r="AM27" s="18">
        <v>55.28</v>
      </c>
      <c r="AN27" s="18">
        <v>55.28</v>
      </c>
      <c r="AO27" s="18">
        <v>12.93</v>
      </c>
      <c r="AP27" s="18">
        <v>32.86</v>
      </c>
      <c r="AQ27" s="23">
        <v>75.0</v>
      </c>
      <c r="AR27" s="23">
        <v>10.0</v>
      </c>
      <c r="AS27" s="23">
        <v>5.0</v>
      </c>
      <c r="AT27" s="23">
        <v>10.0</v>
      </c>
      <c r="AU27" s="23">
        <v>45.0</v>
      </c>
    </row>
    <row r="28">
      <c r="A28" s="15">
        <v>45700.0</v>
      </c>
      <c r="B28" s="15">
        <v>45707.0</v>
      </c>
      <c r="C28" s="16">
        <v>22983.0</v>
      </c>
      <c r="D28" s="16">
        <v>22945.0</v>
      </c>
      <c r="E28" s="27">
        <f>+0.17%</f>
        <v>0.0017</v>
      </c>
      <c r="F28" s="16" t="s">
        <v>70</v>
      </c>
      <c r="G28" s="16" t="s">
        <v>50</v>
      </c>
      <c r="H28" s="18" t="s">
        <v>105</v>
      </c>
      <c r="I28" s="16" t="s">
        <v>77</v>
      </c>
      <c r="J28" s="18">
        <v>1.0</v>
      </c>
      <c r="K28" s="19">
        <v>708.0</v>
      </c>
      <c r="L28" s="19">
        <v>1.0</v>
      </c>
      <c r="M28" s="19">
        <v>708.0</v>
      </c>
      <c r="N28" s="20">
        <v>745.5</v>
      </c>
      <c r="O28" s="19">
        <v>5.3</v>
      </c>
      <c r="P28" s="20">
        <v>763.85</v>
      </c>
      <c r="Q28" s="19">
        <v>7.89</v>
      </c>
      <c r="R28" s="20">
        <v>719.25</v>
      </c>
      <c r="S28" s="19">
        <v>1.59</v>
      </c>
      <c r="T28" s="21">
        <v>9.55</v>
      </c>
      <c r="U28" s="21">
        <v>0.24</v>
      </c>
      <c r="V28" s="21">
        <v>0.16</v>
      </c>
      <c r="W28" s="21">
        <v>0.11</v>
      </c>
      <c r="X28" s="22">
        <v>42309.0</v>
      </c>
      <c r="Y28" s="29">
        <v>15.3</v>
      </c>
      <c r="Z28" s="22">
        <v>23.6</v>
      </c>
      <c r="AA28" s="22">
        <v>24.4</v>
      </c>
      <c r="AB28" s="22">
        <v>0.1</v>
      </c>
      <c r="AC28" s="22">
        <v>9.6</v>
      </c>
      <c r="AD28" s="22">
        <v>23.6</v>
      </c>
      <c r="AE28" s="22">
        <v>10.15</v>
      </c>
      <c r="AF28" s="23">
        <v>8.7025526E7</v>
      </c>
      <c r="AG28" s="23">
        <v>6.1158191E7</v>
      </c>
      <c r="AH28" s="23">
        <v>1.2231639E7</v>
      </c>
      <c r="AI28" s="23">
        <v>6115819.0</v>
      </c>
      <c r="AJ28" s="23">
        <v>4.2810735E7</v>
      </c>
      <c r="AK28" s="23">
        <v>3.6694914E7</v>
      </c>
      <c r="AL28" s="18">
        <v>21.0</v>
      </c>
      <c r="AM28" s="18">
        <v>16.41</v>
      </c>
      <c r="AN28" s="18">
        <v>37.0</v>
      </c>
      <c r="AO28" s="18">
        <v>16.41</v>
      </c>
      <c r="AP28" s="18">
        <v>41.1</v>
      </c>
      <c r="AQ28" s="23">
        <v>70.28</v>
      </c>
      <c r="AR28" s="23">
        <v>14.06</v>
      </c>
      <c r="AS28" s="23">
        <v>7.03</v>
      </c>
      <c r="AT28" s="23">
        <v>49.19</v>
      </c>
      <c r="AU28" s="23">
        <v>42.17</v>
      </c>
    </row>
    <row r="29">
      <c r="A29" s="15">
        <v>45698.0</v>
      </c>
      <c r="B29" s="15">
        <v>45705.0</v>
      </c>
      <c r="C29" s="16">
        <v>22759.0</v>
      </c>
      <c r="D29" s="16">
        <v>22959.0</v>
      </c>
      <c r="E29" s="16" t="s">
        <v>106</v>
      </c>
      <c r="F29" s="16" t="s">
        <v>54</v>
      </c>
      <c r="G29" s="16" t="s">
        <v>78</v>
      </c>
      <c r="H29" s="18" t="s">
        <v>107</v>
      </c>
      <c r="I29" s="18" t="s">
        <v>69</v>
      </c>
      <c r="J29" s="18">
        <v>1.0</v>
      </c>
      <c r="K29" s="19">
        <v>629.0</v>
      </c>
      <c r="L29" s="19">
        <v>-31.0</v>
      </c>
      <c r="M29" s="19">
        <v>626.0</v>
      </c>
      <c r="N29" s="20">
        <v>576.0</v>
      </c>
      <c r="O29" s="19">
        <v>-8.43</v>
      </c>
      <c r="P29" s="20">
        <v>595.6</v>
      </c>
      <c r="Q29" s="19">
        <v>-5.31</v>
      </c>
      <c r="R29" s="20">
        <v>673.05</v>
      </c>
      <c r="S29" s="19">
        <v>7.0</v>
      </c>
      <c r="T29" s="21">
        <v>13.04</v>
      </c>
      <c r="U29" s="21">
        <v>7.67</v>
      </c>
      <c r="V29" s="21">
        <v>3.58</v>
      </c>
      <c r="W29" s="21">
        <v>1.94</v>
      </c>
      <c r="X29" s="22">
        <v>995.84</v>
      </c>
      <c r="Y29" s="29">
        <v>15.3</v>
      </c>
      <c r="Z29" s="22">
        <v>24.53</v>
      </c>
      <c r="AA29" s="22">
        <v>32.82</v>
      </c>
      <c r="AB29" s="22">
        <v>0.01</v>
      </c>
      <c r="AC29" s="22">
        <v>12.65</v>
      </c>
      <c r="AD29" s="22">
        <v>19.39</v>
      </c>
      <c r="AE29" s="22">
        <v>7.84</v>
      </c>
      <c r="AF29" s="23">
        <v>1.4149997E7</v>
      </c>
      <c r="AG29" s="23">
        <v>1.0050749E7</v>
      </c>
      <c r="AH29" s="23">
        <v>2010150.0</v>
      </c>
      <c r="AI29" s="23">
        <v>1005075.0</v>
      </c>
      <c r="AJ29" s="23">
        <v>7035525.0</v>
      </c>
      <c r="AK29" s="23">
        <v>6030449.0</v>
      </c>
      <c r="AL29" s="18">
        <v>23.0</v>
      </c>
      <c r="AM29" s="18">
        <v>31.96</v>
      </c>
      <c r="AN29" s="18">
        <v>31.96</v>
      </c>
      <c r="AO29" s="18">
        <v>17.66</v>
      </c>
      <c r="AP29" s="18">
        <v>35.62</v>
      </c>
      <c r="AQ29" s="23">
        <v>71.03</v>
      </c>
      <c r="AR29" s="23">
        <v>14.21</v>
      </c>
      <c r="AS29" s="23">
        <v>7.1</v>
      </c>
      <c r="AT29" s="23">
        <v>49.72</v>
      </c>
      <c r="AU29" s="23">
        <v>42.62</v>
      </c>
    </row>
    <row r="30">
      <c r="A30" s="15">
        <v>45686.0</v>
      </c>
      <c r="B30" s="15">
        <v>45692.0</v>
      </c>
      <c r="C30" s="16">
        <v>23511.0</v>
      </c>
      <c r="D30" s="16">
        <v>23361.0</v>
      </c>
      <c r="E30" s="27">
        <f>+0.64%</f>
        <v>0.0064</v>
      </c>
      <c r="F30" s="16" t="s">
        <v>70</v>
      </c>
      <c r="G30" s="16" t="s">
        <v>62</v>
      </c>
      <c r="H30" s="18" t="s">
        <v>108</v>
      </c>
      <c r="I30" s="18" t="s">
        <v>69</v>
      </c>
      <c r="J30" s="18">
        <v>1.0</v>
      </c>
      <c r="K30" s="19">
        <v>402.0</v>
      </c>
      <c r="L30" s="19">
        <v>-41.0</v>
      </c>
      <c r="M30" s="19">
        <v>398.0</v>
      </c>
      <c r="N30" s="20">
        <v>402.0</v>
      </c>
      <c r="O30" s="19">
        <v>0.0</v>
      </c>
      <c r="P30" s="20">
        <v>401.65</v>
      </c>
      <c r="Q30" s="19">
        <v>-0.09</v>
      </c>
      <c r="R30" s="20">
        <v>445.25</v>
      </c>
      <c r="S30" s="19">
        <v>10.76</v>
      </c>
      <c r="T30" s="21">
        <v>4.41</v>
      </c>
      <c r="U30" s="21">
        <v>0.29</v>
      </c>
      <c r="V30" s="21">
        <v>0.54</v>
      </c>
      <c r="W30" s="21">
        <v>0.42</v>
      </c>
      <c r="X30" s="22">
        <v>1502.67</v>
      </c>
      <c r="Y30" s="29">
        <v>29.19</v>
      </c>
      <c r="Z30" s="22">
        <v>9.33</v>
      </c>
      <c r="AA30" s="22">
        <v>14.61</v>
      </c>
      <c r="AB30" s="22">
        <v>0.5</v>
      </c>
      <c r="AC30" s="22">
        <v>6.9</v>
      </c>
      <c r="AD30" s="22">
        <v>6.21</v>
      </c>
      <c r="AE30" s="22">
        <v>7.96</v>
      </c>
      <c r="AF30" s="23">
        <v>7.530497E7</v>
      </c>
      <c r="AG30" s="23">
        <v>3.6297998E7</v>
      </c>
      <c r="AH30" s="23">
        <v>7259600.0</v>
      </c>
      <c r="AI30" s="23">
        <v>3629800.0</v>
      </c>
      <c r="AJ30" s="23">
        <v>2.5408599E7</v>
      </c>
      <c r="AK30" s="23">
        <v>2.1778798E7</v>
      </c>
      <c r="AL30" s="18">
        <v>35.0</v>
      </c>
      <c r="AM30" s="18">
        <v>130.44</v>
      </c>
      <c r="AN30" s="18">
        <v>130.44</v>
      </c>
      <c r="AO30" s="18">
        <v>2.51</v>
      </c>
      <c r="AP30" s="18">
        <v>160.48</v>
      </c>
      <c r="AQ30" s="23">
        <v>48.2</v>
      </c>
      <c r="AR30" s="23">
        <v>9.64</v>
      </c>
      <c r="AS30" s="23">
        <v>4.82</v>
      </c>
      <c r="AT30" s="23">
        <v>33.74</v>
      </c>
      <c r="AU30" s="23">
        <v>28.92</v>
      </c>
    </row>
    <row r="31">
      <c r="A31" s="15">
        <v>45679.0</v>
      </c>
      <c r="B31" s="15">
        <v>45686.0</v>
      </c>
      <c r="C31" s="16">
        <v>23070.0</v>
      </c>
      <c r="D31" s="16">
        <v>22957.0</v>
      </c>
      <c r="E31" s="27">
        <f>+0.49%</f>
        <v>0.0049</v>
      </c>
      <c r="F31" s="16" t="s">
        <v>61</v>
      </c>
      <c r="G31" s="16" t="s">
        <v>78</v>
      </c>
      <c r="H31" s="18" t="s">
        <v>109</v>
      </c>
      <c r="I31" s="16" t="s">
        <v>49</v>
      </c>
      <c r="J31" s="18">
        <v>10.0</v>
      </c>
      <c r="K31" s="19">
        <v>294.0</v>
      </c>
      <c r="L31" s="19">
        <v>734.0</v>
      </c>
      <c r="M31" s="19">
        <v>367.0</v>
      </c>
      <c r="N31" s="20">
        <v>325.0</v>
      </c>
      <c r="O31" s="19">
        <v>10.54</v>
      </c>
      <c r="P31" s="20">
        <v>346.45</v>
      </c>
      <c r="Q31" s="19">
        <v>17.84</v>
      </c>
      <c r="R31" s="20">
        <v>320.95</v>
      </c>
      <c r="S31" s="19">
        <v>9.17</v>
      </c>
      <c r="T31" s="21">
        <v>236.94</v>
      </c>
      <c r="U31" s="21">
        <v>556.49</v>
      </c>
      <c r="V31" s="21">
        <v>408.23</v>
      </c>
      <c r="W31" s="21">
        <v>90.38</v>
      </c>
      <c r="X31" s="22">
        <v>188.46</v>
      </c>
      <c r="Y31" s="29">
        <v>33.17</v>
      </c>
      <c r="Z31" s="22">
        <v>36.36</v>
      </c>
      <c r="AA31" s="22">
        <v>76.99</v>
      </c>
      <c r="AB31" s="22">
        <v>0.01</v>
      </c>
      <c r="AC31" s="22">
        <v>25.03</v>
      </c>
      <c r="AD31" s="22">
        <v>36.36</v>
      </c>
      <c r="AE31" s="22">
        <v>5.01</v>
      </c>
      <c r="AF31" s="23">
        <v>5250000.0</v>
      </c>
      <c r="AG31" s="23">
        <v>3750000.0</v>
      </c>
      <c r="AH31" s="23">
        <v>750000.0</v>
      </c>
      <c r="AI31" s="23">
        <v>375000.0</v>
      </c>
      <c r="AJ31" s="23">
        <v>2625000.0</v>
      </c>
      <c r="AK31" s="23">
        <v>2250000.0</v>
      </c>
      <c r="AL31" s="18">
        <v>50.0</v>
      </c>
      <c r="AM31" s="18">
        <v>9.45</v>
      </c>
      <c r="AN31" s="18">
        <v>9.45</v>
      </c>
      <c r="AO31" s="18">
        <v>18.13</v>
      </c>
      <c r="AP31" s="18">
        <v>16.22</v>
      </c>
      <c r="AQ31" s="23">
        <v>71.43</v>
      </c>
      <c r="AR31" s="23">
        <v>14.29</v>
      </c>
      <c r="AS31" s="23">
        <v>7.14</v>
      </c>
      <c r="AT31" s="23">
        <v>50.0</v>
      </c>
      <c r="AU31" s="23">
        <v>42.86</v>
      </c>
    </row>
    <row r="32">
      <c r="A32" s="15">
        <v>45673.0</v>
      </c>
      <c r="B32" s="15">
        <v>45680.0</v>
      </c>
      <c r="C32" s="16">
        <v>23215.0</v>
      </c>
      <c r="D32" s="16">
        <v>23156.0</v>
      </c>
      <c r="E32" s="27">
        <f>+0.25%</f>
        <v>0.0025</v>
      </c>
      <c r="F32" s="16" t="s">
        <v>61</v>
      </c>
      <c r="G32" s="16" t="s">
        <v>81</v>
      </c>
      <c r="H32" s="18" t="s">
        <v>110</v>
      </c>
      <c r="I32" s="16" t="s">
        <v>49</v>
      </c>
      <c r="J32" s="18">
        <v>10.0</v>
      </c>
      <c r="K32" s="19">
        <v>90.0</v>
      </c>
      <c r="L32" s="19">
        <v>354.0</v>
      </c>
      <c r="M32" s="19">
        <v>125.0</v>
      </c>
      <c r="N32" s="20">
        <v>120.0</v>
      </c>
      <c r="O32" s="19">
        <v>33.33</v>
      </c>
      <c r="P32" s="20">
        <v>126.0</v>
      </c>
      <c r="Q32" s="19">
        <v>40.0</v>
      </c>
      <c r="R32" s="20">
        <v>121.9</v>
      </c>
      <c r="S32" s="19">
        <v>35.44</v>
      </c>
      <c r="T32" s="21">
        <v>172.93</v>
      </c>
      <c r="U32" s="21">
        <v>472.89</v>
      </c>
      <c r="V32" s="21">
        <v>321.29</v>
      </c>
      <c r="W32" s="21">
        <v>96.81</v>
      </c>
      <c r="X32" s="22">
        <v>134.53</v>
      </c>
      <c r="Y32" s="29">
        <v>17.5</v>
      </c>
      <c r="Z32" s="22">
        <v>12.54</v>
      </c>
      <c r="AA32" s="22">
        <v>13.96</v>
      </c>
      <c r="AB32" s="22">
        <v>0.55</v>
      </c>
      <c r="AC32" s="22">
        <v>6.26</v>
      </c>
      <c r="AD32" s="22">
        <v>12.54</v>
      </c>
      <c r="AE32" s="22">
        <v>4.69</v>
      </c>
      <c r="AF32" s="23">
        <v>1.5512978E7</v>
      </c>
      <c r="AG32" s="23">
        <v>1.1080697E7</v>
      </c>
      <c r="AH32" s="23">
        <v>2216140.0</v>
      </c>
      <c r="AI32" s="23">
        <v>1108070.0</v>
      </c>
      <c r="AJ32" s="23">
        <v>7756489.0</v>
      </c>
      <c r="AK32" s="23">
        <v>6648418.0</v>
      </c>
      <c r="AL32" s="18">
        <v>165.0</v>
      </c>
      <c r="AM32" s="18">
        <v>37.41</v>
      </c>
      <c r="AN32" s="18">
        <v>37.41</v>
      </c>
      <c r="AO32" s="18">
        <v>4.18</v>
      </c>
      <c r="AP32" s="18">
        <v>21.55</v>
      </c>
      <c r="AQ32" s="23">
        <v>71.43</v>
      </c>
      <c r="AR32" s="23">
        <v>14.29</v>
      </c>
      <c r="AS32" s="23">
        <v>7.14</v>
      </c>
      <c r="AT32" s="23">
        <v>50.0</v>
      </c>
      <c r="AU32" s="23">
        <v>42.86</v>
      </c>
    </row>
    <row r="33">
      <c r="A33" s="15">
        <v>45670.0</v>
      </c>
      <c r="B33" s="15">
        <v>45677.0</v>
      </c>
      <c r="C33" s="16">
        <v>23227.0</v>
      </c>
      <c r="D33" s="16">
        <v>23202.0</v>
      </c>
      <c r="E33" s="27">
        <f>+0.11%</f>
        <v>0.0011</v>
      </c>
      <c r="F33" s="16" t="s">
        <v>61</v>
      </c>
      <c r="G33" s="16" t="s">
        <v>62</v>
      </c>
      <c r="H33" s="18" t="s">
        <v>111</v>
      </c>
      <c r="I33" s="16" t="s">
        <v>49</v>
      </c>
      <c r="J33" s="18">
        <v>2.0</v>
      </c>
      <c r="K33" s="19">
        <v>428.0</v>
      </c>
      <c r="L33" s="19">
        <v>1454.0</v>
      </c>
      <c r="M33" s="19">
        <v>573.0</v>
      </c>
      <c r="N33" s="20">
        <v>542.0</v>
      </c>
      <c r="O33" s="19">
        <v>26.64</v>
      </c>
      <c r="P33" s="20">
        <v>550.65</v>
      </c>
      <c r="Q33" s="19">
        <v>28.66</v>
      </c>
      <c r="R33" s="20">
        <v>425.8</v>
      </c>
      <c r="S33" s="19">
        <v>-0.51</v>
      </c>
      <c r="T33" s="21">
        <v>110.38</v>
      </c>
      <c r="U33" s="21">
        <v>167.68</v>
      </c>
      <c r="V33" s="21">
        <v>107.7</v>
      </c>
      <c r="W33" s="21">
        <v>75.1</v>
      </c>
      <c r="X33" s="22">
        <v>67.09</v>
      </c>
      <c r="Y33" s="29">
        <v>17.5</v>
      </c>
      <c r="Z33" s="22">
        <v>78.78</v>
      </c>
      <c r="AA33" s="22">
        <v>19.97</v>
      </c>
      <c r="AB33" s="22">
        <v>0.94</v>
      </c>
      <c r="AC33" s="22">
        <v>13.03</v>
      </c>
      <c r="AD33" s="22">
        <v>78.78</v>
      </c>
      <c r="AE33" s="22">
        <v>49.59</v>
      </c>
      <c r="AF33" s="23">
        <v>8970371.0</v>
      </c>
      <c r="AG33" s="23">
        <v>4892931.0</v>
      </c>
      <c r="AH33" s="23">
        <v>1630976.0</v>
      </c>
      <c r="AI33" s="23">
        <v>815488.0</v>
      </c>
      <c r="AJ33" s="23">
        <v>1630976.0</v>
      </c>
      <c r="AK33" s="23">
        <v>7339395.0</v>
      </c>
      <c r="AL33" s="18">
        <v>33.0</v>
      </c>
      <c r="AM33" s="18">
        <v>87.77</v>
      </c>
      <c r="AN33" s="18">
        <v>87.77</v>
      </c>
      <c r="AO33" s="18">
        <v>8.27</v>
      </c>
      <c r="AP33" s="18">
        <v>51.73</v>
      </c>
      <c r="AQ33" s="23">
        <v>54.55</v>
      </c>
      <c r="AR33" s="23">
        <v>18.18</v>
      </c>
      <c r="AS33" s="23">
        <v>9.09</v>
      </c>
      <c r="AT33" s="23">
        <v>18.18</v>
      </c>
      <c r="AU33" s="23">
        <v>81.82</v>
      </c>
    </row>
    <row r="34">
      <c r="A34" s="15">
        <v>45664.0</v>
      </c>
      <c r="B34" s="15">
        <v>45671.0</v>
      </c>
      <c r="C34" s="16">
        <v>23154.0</v>
      </c>
      <c r="D34" s="16">
        <v>23710.0</v>
      </c>
      <c r="E34" s="16" t="s">
        <v>112</v>
      </c>
      <c r="F34" s="16" t="s">
        <v>54</v>
      </c>
      <c r="G34" s="16" t="s">
        <v>78</v>
      </c>
      <c r="H34" s="18" t="s">
        <v>113</v>
      </c>
      <c r="I34" s="16" t="s">
        <v>49</v>
      </c>
      <c r="J34" s="18">
        <v>10.0</v>
      </c>
      <c r="K34" s="19">
        <v>290.0</v>
      </c>
      <c r="L34" s="19">
        <v>1204.0</v>
      </c>
      <c r="M34" s="19">
        <v>410.0</v>
      </c>
      <c r="N34" s="20">
        <v>370.0</v>
      </c>
      <c r="O34" s="19">
        <v>27.59</v>
      </c>
      <c r="P34" s="20">
        <v>448.75</v>
      </c>
      <c r="Q34" s="19">
        <v>54.74</v>
      </c>
      <c r="R34" s="20">
        <v>460.6</v>
      </c>
      <c r="S34" s="19">
        <v>58.83</v>
      </c>
      <c r="T34" s="21">
        <v>139.77</v>
      </c>
      <c r="U34" s="21">
        <v>274.25</v>
      </c>
      <c r="V34" s="21">
        <v>255.57</v>
      </c>
      <c r="W34" s="21">
        <v>256.46</v>
      </c>
      <c r="X34" s="22">
        <v>44.11</v>
      </c>
      <c r="Y34" s="29">
        <v>24.19</v>
      </c>
      <c r="Z34" s="22">
        <v>33.41</v>
      </c>
      <c r="AA34" s="22">
        <v>26.12</v>
      </c>
      <c r="AB34" s="22">
        <v>1.86</v>
      </c>
      <c r="AC34" s="22">
        <v>9.68</v>
      </c>
      <c r="AD34" s="22">
        <v>33.41</v>
      </c>
      <c r="AE34" s="22">
        <v>19.73</v>
      </c>
      <c r="AF34" s="23">
        <v>5500000.0</v>
      </c>
      <c r="AG34" s="23">
        <v>7500000.0</v>
      </c>
      <c r="AH34" s="23">
        <v>1000000.0</v>
      </c>
      <c r="AI34" s="23">
        <v>500000.0</v>
      </c>
      <c r="AJ34" s="23">
        <v>1000000.0</v>
      </c>
      <c r="AK34" s="23">
        <v>4500000.0</v>
      </c>
      <c r="AL34" s="18">
        <v>50.0</v>
      </c>
      <c r="AM34" s="18">
        <v>59.13</v>
      </c>
      <c r="AN34" s="18">
        <v>59.13</v>
      </c>
      <c r="AO34" s="18">
        <v>-6.05</v>
      </c>
      <c r="AP34" s="18">
        <v>-47.91</v>
      </c>
      <c r="AQ34" s="23">
        <v>136.36</v>
      </c>
      <c r="AR34" s="23">
        <v>18.18</v>
      </c>
      <c r="AS34" s="23">
        <v>9.09</v>
      </c>
      <c r="AT34" s="23">
        <v>18.18</v>
      </c>
      <c r="AU34" s="23">
        <v>81.82</v>
      </c>
    </row>
    <row r="35">
      <c r="A35" s="15">
        <v>45663.0</v>
      </c>
      <c r="B35" s="15">
        <v>45670.0</v>
      </c>
      <c r="C35" s="16">
        <v>23275.0</v>
      </c>
      <c r="D35" s="16">
        <v>23437.0</v>
      </c>
      <c r="E35" s="16" t="s">
        <v>93</v>
      </c>
      <c r="F35" s="16" t="s">
        <v>54</v>
      </c>
      <c r="G35" s="16" t="s">
        <v>81</v>
      </c>
      <c r="H35" s="18" t="s">
        <v>114</v>
      </c>
      <c r="I35" s="16" t="s">
        <v>49</v>
      </c>
      <c r="J35" s="18">
        <v>10.0</v>
      </c>
      <c r="K35" s="19">
        <v>140.0</v>
      </c>
      <c r="L35" s="19">
        <v>504.0</v>
      </c>
      <c r="M35" s="19">
        <v>190.0</v>
      </c>
      <c r="N35" s="20">
        <v>172.0</v>
      </c>
      <c r="O35" s="19">
        <v>22.86</v>
      </c>
      <c r="P35" s="20">
        <v>163.35</v>
      </c>
      <c r="Q35" s="19">
        <v>16.68</v>
      </c>
      <c r="R35" s="20">
        <v>184.87</v>
      </c>
      <c r="S35" s="19">
        <v>32.05</v>
      </c>
      <c r="T35" s="21">
        <v>327.76</v>
      </c>
      <c r="U35" s="21">
        <v>302.21</v>
      </c>
      <c r="V35" s="21">
        <v>221.21</v>
      </c>
      <c r="W35" s="21">
        <v>65.71</v>
      </c>
      <c r="X35" s="22">
        <v>447.8</v>
      </c>
      <c r="Y35" s="29">
        <v>19.1</v>
      </c>
      <c r="Z35" s="22">
        <v>20.74</v>
      </c>
      <c r="AA35" s="22">
        <v>25.49</v>
      </c>
      <c r="AB35" s="22">
        <v>0.32</v>
      </c>
      <c r="AC35" s="22">
        <v>10.92</v>
      </c>
      <c r="AD35" s="22">
        <v>20.74</v>
      </c>
      <c r="AE35" s="22">
        <v>5.7</v>
      </c>
      <c r="AF35" s="23">
        <v>2.9288569E7</v>
      </c>
      <c r="AG35" s="23">
        <v>1.4643884E7</v>
      </c>
      <c r="AH35" s="23">
        <v>2928937.0</v>
      </c>
      <c r="AI35" s="23">
        <v>1464469.0</v>
      </c>
      <c r="AJ35" s="23">
        <v>1.0251279E7</v>
      </c>
      <c r="AK35" s="23">
        <v>8786009.0</v>
      </c>
      <c r="AL35" s="18">
        <v>107.0</v>
      </c>
      <c r="AM35" s="18">
        <v>43.04</v>
      </c>
      <c r="AN35" s="18">
        <v>43.04</v>
      </c>
      <c r="AO35" s="18">
        <v>3.64</v>
      </c>
      <c r="AP35" s="18">
        <v>38.5</v>
      </c>
      <c r="AQ35" s="23">
        <v>50.0</v>
      </c>
      <c r="AR35" s="23">
        <v>10.0</v>
      </c>
      <c r="AS35" s="23">
        <v>5.0</v>
      </c>
      <c r="AT35" s="23">
        <v>35.0</v>
      </c>
      <c r="AU35" s="23">
        <v>30.0</v>
      </c>
    </row>
    <row r="36">
      <c r="A36" s="15">
        <v>45659.0</v>
      </c>
      <c r="B36" s="15">
        <v>45664.0</v>
      </c>
      <c r="C36" s="16">
        <v>23757.0</v>
      </c>
      <c r="D36" s="16">
        <v>23620.0</v>
      </c>
      <c r="E36" s="27">
        <f>+0.58%</f>
        <v>0.0058</v>
      </c>
      <c r="F36" s="16" t="s">
        <v>70</v>
      </c>
      <c r="G36" s="16" t="s">
        <v>73</v>
      </c>
      <c r="H36" s="18" t="s">
        <v>115</v>
      </c>
      <c r="I36" s="16" t="s">
        <v>49</v>
      </c>
      <c r="J36" s="18">
        <v>10.0</v>
      </c>
      <c r="K36" s="19">
        <v>215.0</v>
      </c>
      <c r="L36" s="19">
        <v>764.0</v>
      </c>
      <c r="M36" s="19">
        <v>291.0</v>
      </c>
      <c r="N36" s="20">
        <v>256.0</v>
      </c>
      <c r="O36" s="19">
        <v>19.07</v>
      </c>
      <c r="P36" s="20">
        <v>278.0</v>
      </c>
      <c r="Q36" s="19">
        <v>29.3</v>
      </c>
      <c r="R36" s="20">
        <v>202.79</v>
      </c>
      <c r="S36" s="19">
        <v>-5.68</v>
      </c>
      <c r="T36" s="18">
        <v>242.4</v>
      </c>
      <c r="U36" s="18">
        <v>548.13</v>
      </c>
      <c r="V36" s="18">
        <v>408.98</v>
      </c>
      <c r="W36" s="18">
        <v>101.79</v>
      </c>
      <c r="X36" s="22">
        <v>342.0</v>
      </c>
      <c r="Y36" s="22">
        <v>16.21</v>
      </c>
      <c r="Z36" s="22">
        <v>5.13</v>
      </c>
      <c r="AA36" s="22">
        <v>8.96</v>
      </c>
      <c r="AB36" s="22">
        <v>0.85</v>
      </c>
      <c r="AC36" s="22">
        <v>4.16</v>
      </c>
      <c r="AD36" s="22">
        <v>4.92</v>
      </c>
      <c r="AE36" s="22">
        <v>2.55</v>
      </c>
      <c r="AF36" s="30">
        <v>1.21E7</v>
      </c>
      <c r="AG36" s="30">
        <v>6050000.0</v>
      </c>
      <c r="AH36" s="30">
        <v>1210000.0</v>
      </c>
      <c r="AI36" s="30">
        <v>605000.0</v>
      </c>
      <c r="AJ36" s="30">
        <v>4235000.0</v>
      </c>
      <c r="AK36" s="30">
        <v>3630000.0</v>
      </c>
      <c r="AL36" s="18">
        <v>69.0</v>
      </c>
      <c r="AM36" s="18">
        <v>3.95</v>
      </c>
      <c r="AN36" s="18">
        <v>54.39</v>
      </c>
      <c r="AO36" s="18">
        <v>2.04</v>
      </c>
      <c r="AP36" s="18">
        <v>105.25</v>
      </c>
      <c r="AQ36" s="30">
        <v>50.0</v>
      </c>
      <c r="AR36" s="30">
        <v>10.0</v>
      </c>
      <c r="AS36" s="30">
        <v>5.0</v>
      </c>
      <c r="AT36" s="30">
        <v>35.0</v>
      </c>
      <c r="AU36" s="30">
        <v>30.0</v>
      </c>
    </row>
    <row r="37">
      <c r="A37" s="31">
        <v>45649.0</v>
      </c>
      <c r="B37" s="31">
        <v>45657.0</v>
      </c>
      <c r="C37" s="32">
        <v>23523.4</v>
      </c>
      <c r="D37" s="33">
        <v>23658.65</v>
      </c>
      <c r="E37" s="32">
        <v>-0.57</v>
      </c>
      <c r="F37" s="32" t="s">
        <v>54</v>
      </c>
      <c r="G37" s="34" t="s">
        <v>47</v>
      </c>
      <c r="H37" s="21" t="s">
        <v>116</v>
      </c>
      <c r="I37" s="18" t="s">
        <v>69</v>
      </c>
      <c r="J37" s="21">
        <v>5.0</v>
      </c>
      <c r="K37" s="21">
        <v>785.0</v>
      </c>
      <c r="L37" s="35">
        <v>6255.0</v>
      </c>
      <c r="M37" s="35">
        <v>1410.0</v>
      </c>
      <c r="N37" s="21">
        <v>1460.0</v>
      </c>
      <c r="O37" s="35">
        <v>85.99</v>
      </c>
      <c r="P37" s="21">
        <v>1376.25</v>
      </c>
      <c r="Q37" s="35">
        <v>75.32</v>
      </c>
      <c r="R37" s="21">
        <v>1157.0</v>
      </c>
      <c r="S37" s="35">
        <v>47.39</v>
      </c>
      <c r="T37" s="21">
        <v>334.68</v>
      </c>
      <c r="U37" s="21">
        <v>302.3</v>
      </c>
      <c r="V37" s="21">
        <v>228.05</v>
      </c>
      <c r="W37" s="21">
        <v>59.19</v>
      </c>
      <c r="X37" s="21">
        <v>390.1</v>
      </c>
      <c r="Y37" s="35">
        <v>40.46</v>
      </c>
      <c r="Z37" s="21">
        <v>53.53</v>
      </c>
      <c r="AA37" s="21">
        <v>54.36</v>
      </c>
      <c r="AB37" s="21">
        <v>0.32</v>
      </c>
      <c r="AC37" s="21">
        <v>27.85</v>
      </c>
      <c r="AD37" s="21">
        <v>53.53</v>
      </c>
      <c r="AE37" s="21">
        <v>31.77</v>
      </c>
      <c r="AF37" s="30">
        <v>6369426.0</v>
      </c>
      <c r="AG37" s="30">
        <v>3175158.0</v>
      </c>
      <c r="AH37" s="30">
        <v>635032.0</v>
      </c>
      <c r="AI37" s="30">
        <v>317516.0</v>
      </c>
      <c r="AJ37" s="30">
        <v>2222612.0</v>
      </c>
      <c r="AK37" s="30">
        <v>1905094.0</v>
      </c>
      <c r="AL37" s="21">
        <v>19.0</v>
      </c>
      <c r="AM37" s="21">
        <v>12.19</v>
      </c>
      <c r="AN37" s="21">
        <v>64.37</v>
      </c>
      <c r="AO37" s="21">
        <v>15.21</v>
      </c>
      <c r="AP37" s="21">
        <v>51.61</v>
      </c>
      <c r="AQ37" s="30">
        <v>49.85</v>
      </c>
      <c r="AR37" s="30">
        <v>9.97</v>
      </c>
      <c r="AS37" s="30">
        <v>4.99</v>
      </c>
      <c r="AT37" s="30">
        <v>34.9</v>
      </c>
      <c r="AU37" s="30">
        <v>29.91</v>
      </c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</row>
    <row r="38">
      <c r="A38" s="31">
        <v>45646.0</v>
      </c>
      <c r="B38" s="31">
        <v>45656.0</v>
      </c>
      <c r="C38" s="32">
        <v>23752.6</v>
      </c>
      <c r="D38" s="33">
        <v>23832.45</v>
      </c>
      <c r="E38" s="32">
        <v>-0.34</v>
      </c>
      <c r="F38" s="32" t="s">
        <v>54</v>
      </c>
      <c r="G38" s="34" t="s">
        <v>47</v>
      </c>
      <c r="H38" s="21" t="s">
        <v>117</v>
      </c>
      <c r="I38" s="16" t="s">
        <v>49</v>
      </c>
      <c r="J38" s="21">
        <v>10.0</v>
      </c>
      <c r="K38" s="21">
        <v>704.0</v>
      </c>
      <c r="L38" s="35">
        <v>1.0</v>
      </c>
      <c r="M38" s="35">
        <v>704.0</v>
      </c>
      <c r="N38" s="21">
        <v>651.0</v>
      </c>
      <c r="O38" s="35">
        <v>-7.53</v>
      </c>
      <c r="P38" s="21">
        <v>636.3</v>
      </c>
      <c r="Q38" s="35">
        <v>-9.62</v>
      </c>
      <c r="R38" s="21">
        <v>480.95</v>
      </c>
      <c r="S38" s="35">
        <v>-31.68</v>
      </c>
      <c r="T38" s="21">
        <v>2.33</v>
      </c>
      <c r="U38" s="21">
        <v>0.45</v>
      </c>
      <c r="V38" s="21">
        <v>1.01</v>
      </c>
      <c r="W38" s="21">
        <v>0.75</v>
      </c>
      <c r="X38" s="21">
        <v>419.44</v>
      </c>
      <c r="Y38" s="35">
        <v>8.38</v>
      </c>
      <c r="Z38" s="21">
        <v>17.69</v>
      </c>
      <c r="AA38" s="21">
        <v>19.35</v>
      </c>
      <c r="AB38" s="21">
        <v>0.58</v>
      </c>
      <c r="AC38" s="21">
        <v>3.5</v>
      </c>
      <c r="AD38" s="21">
        <v>16.92</v>
      </c>
      <c r="AE38" s="35">
        <v>9.6</v>
      </c>
      <c r="AF38" s="30">
        <v>1.7755681E7</v>
      </c>
      <c r="AG38" s="30">
        <v>8857839.0</v>
      </c>
      <c r="AH38" s="30">
        <v>1775569.0</v>
      </c>
      <c r="AI38" s="30">
        <v>887784.0</v>
      </c>
      <c r="AJ38" s="30">
        <v>6214489.0</v>
      </c>
      <c r="AK38" s="30">
        <v>5326703.0</v>
      </c>
      <c r="AL38" s="21">
        <v>21.0</v>
      </c>
      <c r="AM38" s="21">
        <v>11.0</v>
      </c>
      <c r="AN38" s="21">
        <v>63.97</v>
      </c>
      <c r="AO38" s="21">
        <v>17.5</v>
      </c>
      <c r="AP38" s="21">
        <v>40.24</v>
      </c>
      <c r="AQ38" s="30">
        <v>50.0</v>
      </c>
      <c r="AR38" s="30">
        <v>10.0</v>
      </c>
      <c r="AS38" s="30">
        <v>5.0</v>
      </c>
      <c r="AT38" s="30">
        <v>35.0</v>
      </c>
      <c r="AU38" s="30">
        <v>30.0</v>
      </c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</row>
    <row r="39">
      <c r="A39" s="31">
        <v>45646.0</v>
      </c>
      <c r="B39" s="31">
        <v>45656.0</v>
      </c>
      <c r="C39" s="32">
        <v>23752.6</v>
      </c>
      <c r="D39" s="33">
        <v>23832.45</v>
      </c>
      <c r="E39" s="32">
        <v>-0.34</v>
      </c>
      <c r="F39" s="32" t="s">
        <v>54</v>
      </c>
      <c r="G39" s="34" t="s">
        <v>62</v>
      </c>
      <c r="H39" s="21" t="s">
        <v>118</v>
      </c>
      <c r="I39" s="16" t="s">
        <v>49</v>
      </c>
      <c r="J39" s="21">
        <v>10.0</v>
      </c>
      <c r="K39" s="21">
        <v>391.0</v>
      </c>
      <c r="L39" s="35">
        <v>2845.0</v>
      </c>
      <c r="M39" s="35">
        <v>675.0</v>
      </c>
      <c r="N39" s="21">
        <v>600.0</v>
      </c>
      <c r="O39" s="35">
        <v>53.45</v>
      </c>
      <c r="P39" s="21">
        <v>557.8</v>
      </c>
      <c r="Q39" s="35">
        <v>42.66</v>
      </c>
      <c r="R39" s="21">
        <v>688.9</v>
      </c>
      <c r="S39" s="35">
        <v>76.19</v>
      </c>
      <c r="T39" s="21">
        <v>97.84</v>
      </c>
      <c r="U39" s="21">
        <v>95.25</v>
      </c>
      <c r="V39" s="21">
        <v>111.35</v>
      </c>
      <c r="W39" s="21">
        <v>93.16</v>
      </c>
      <c r="X39" s="21">
        <v>319.06</v>
      </c>
      <c r="Y39" s="35">
        <v>20.7</v>
      </c>
      <c r="Z39" s="21">
        <v>23.6</v>
      </c>
      <c r="AA39" s="21">
        <v>11.73</v>
      </c>
      <c r="AB39" s="21">
        <v>1.07</v>
      </c>
      <c r="AC39" s="21">
        <v>15.25</v>
      </c>
      <c r="AD39" s="21">
        <v>23.6</v>
      </c>
      <c r="AE39" s="21">
        <v>5.84</v>
      </c>
      <c r="AF39" s="30">
        <v>1.4887723E7</v>
      </c>
      <c r="AG39" s="30">
        <v>1.1109543E7</v>
      </c>
      <c r="AH39" s="30">
        <v>1481272.0</v>
      </c>
      <c r="AI39" s="30">
        <v>740636.0</v>
      </c>
      <c r="AJ39" s="30">
        <v>1481272.0</v>
      </c>
      <c r="AK39" s="30">
        <v>6665725.0</v>
      </c>
      <c r="AL39" s="21">
        <v>38.0</v>
      </c>
      <c r="AM39" s="21">
        <v>9.83</v>
      </c>
      <c r="AN39" s="21">
        <v>39.77</v>
      </c>
      <c r="AO39" s="21">
        <v>13.86</v>
      </c>
      <c r="AP39" s="21">
        <v>28.21</v>
      </c>
      <c r="AQ39" s="30">
        <v>74.62</v>
      </c>
      <c r="AR39" s="30">
        <v>9.95</v>
      </c>
      <c r="AS39" s="30">
        <v>4.97</v>
      </c>
      <c r="AT39" s="30">
        <v>9.95</v>
      </c>
      <c r="AU39" s="30">
        <v>44.77</v>
      </c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36"/>
    </row>
    <row r="40">
      <c r="A40" s="31">
        <v>45646.0</v>
      </c>
      <c r="B40" s="31">
        <v>45656.0</v>
      </c>
      <c r="C40" s="32">
        <v>23752.6</v>
      </c>
      <c r="D40" s="33">
        <v>23832.45</v>
      </c>
      <c r="E40" s="32">
        <v>-0.34</v>
      </c>
      <c r="F40" s="32" t="s">
        <v>54</v>
      </c>
      <c r="G40" s="34" t="s">
        <v>55</v>
      </c>
      <c r="H40" s="21" t="s">
        <v>119</v>
      </c>
      <c r="I40" s="18" t="s">
        <v>69</v>
      </c>
      <c r="J40" s="21">
        <v>1.0</v>
      </c>
      <c r="K40" s="21">
        <v>643.0</v>
      </c>
      <c r="L40" s="35">
        <v>803.0</v>
      </c>
      <c r="M40" s="35">
        <v>723.0</v>
      </c>
      <c r="N40" s="21">
        <v>716.0</v>
      </c>
      <c r="O40" s="35">
        <v>11.35</v>
      </c>
      <c r="P40" s="21">
        <v>704.55</v>
      </c>
      <c r="Q40" s="35">
        <v>9.57</v>
      </c>
      <c r="R40" s="21">
        <v>782.45</v>
      </c>
      <c r="S40" s="35">
        <v>21.69</v>
      </c>
      <c r="T40" s="21">
        <v>9.58</v>
      </c>
      <c r="U40" s="21">
        <v>15.86</v>
      </c>
      <c r="V40" s="21">
        <v>12.08</v>
      </c>
      <c r="W40" s="21">
        <v>6.19</v>
      </c>
      <c r="X40" s="21">
        <v>3665.83</v>
      </c>
      <c r="Y40" s="35">
        <v>60.75</v>
      </c>
      <c r="Z40" s="35">
        <v>67.3</v>
      </c>
      <c r="AA40" s="35">
        <v>32.6</v>
      </c>
      <c r="AB40" s="35">
        <v>1.4</v>
      </c>
      <c r="AC40" s="35">
        <v>8.71</v>
      </c>
      <c r="AD40" s="21">
        <v>-1.82</v>
      </c>
      <c r="AE40" s="21">
        <v>3.66</v>
      </c>
      <c r="AF40" s="30">
        <v>2.488412E7</v>
      </c>
      <c r="AG40" s="30">
        <v>1.8650856E7</v>
      </c>
      <c r="AH40" s="30">
        <v>2486781.0</v>
      </c>
      <c r="AI40" s="30">
        <v>1243390.0</v>
      </c>
      <c r="AJ40" s="30">
        <v>2486780.0</v>
      </c>
      <c r="AK40" s="30">
        <v>1.1190513E7</v>
      </c>
      <c r="AL40" s="21">
        <v>23.0</v>
      </c>
      <c r="AM40" s="21">
        <v>-3.2</v>
      </c>
      <c r="AN40" s="21">
        <v>-201.01</v>
      </c>
      <c r="AO40" s="21">
        <v>-11.8</v>
      </c>
      <c r="AP40" s="21">
        <v>-54.48</v>
      </c>
      <c r="AQ40" s="30">
        <v>74.95</v>
      </c>
      <c r="AR40" s="30">
        <v>9.99</v>
      </c>
      <c r="AS40" s="30">
        <v>5.0</v>
      </c>
      <c r="AT40" s="30">
        <v>9.99</v>
      </c>
      <c r="AU40" s="30">
        <v>44.97</v>
      </c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36"/>
    </row>
    <row r="41">
      <c r="A41" s="31">
        <v>45645.0</v>
      </c>
      <c r="B41" s="31">
        <v>45653.0</v>
      </c>
      <c r="C41" s="32">
        <v>23913.85</v>
      </c>
      <c r="D41" s="33">
        <v>23760.3</v>
      </c>
      <c r="E41" s="32">
        <v>0.65</v>
      </c>
      <c r="F41" s="32" t="s">
        <v>54</v>
      </c>
      <c r="G41" s="34" t="s">
        <v>55</v>
      </c>
      <c r="H41" s="21" t="s">
        <v>120</v>
      </c>
      <c r="I41" s="16" t="s">
        <v>49</v>
      </c>
      <c r="J41" s="21">
        <v>5.0</v>
      </c>
      <c r="K41" s="21">
        <v>701.0</v>
      </c>
      <c r="L41" s="35">
        <v>1383.0</v>
      </c>
      <c r="M41" s="35">
        <v>839.0</v>
      </c>
      <c r="N41" s="21">
        <v>826.0</v>
      </c>
      <c r="O41" s="35">
        <v>17.83</v>
      </c>
      <c r="P41" s="21">
        <v>828.45</v>
      </c>
      <c r="Q41" s="35">
        <v>18.18</v>
      </c>
      <c r="R41" s="21">
        <v>623.35</v>
      </c>
      <c r="S41" s="35">
        <v>-11.08</v>
      </c>
      <c r="T41" s="21">
        <v>17.32</v>
      </c>
      <c r="U41" s="21">
        <v>14.09</v>
      </c>
      <c r="V41" s="21">
        <v>14.41</v>
      </c>
      <c r="W41" s="21">
        <v>5.56</v>
      </c>
      <c r="X41" s="21">
        <v>320.82</v>
      </c>
      <c r="Y41" s="35">
        <v>16.3</v>
      </c>
      <c r="Z41" s="21">
        <v>13.73</v>
      </c>
      <c r="AA41" s="21">
        <v>14.07</v>
      </c>
      <c r="AB41" s="21">
        <v>0.47</v>
      </c>
      <c r="AC41" s="21">
        <v>8.34</v>
      </c>
      <c r="AD41" s="21">
        <v>12.92</v>
      </c>
      <c r="AE41" s="21">
        <v>3.96</v>
      </c>
      <c r="AF41" s="30">
        <v>7137321.0</v>
      </c>
      <c r="AG41" s="30">
        <v>3568659.0</v>
      </c>
      <c r="AH41" s="30">
        <v>713732.0</v>
      </c>
      <c r="AI41" s="30">
        <v>356867.0</v>
      </c>
      <c r="AJ41" s="30">
        <v>2498063.0</v>
      </c>
      <c r="AK41" s="30">
        <v>2141195.0</v>
      </c>
      <c r="AL41" s="21">
        <v>21.0</v>
      </c>
      <c r="AM41" s="21">
        <v>22.77</v>
      </c>
      <c r="AN41" s="21">
        <v>30.79</v>
      </c>
      <c r="AO41" s="21">
        <v>0.6</v>
      </c>
      <c r="AP41" s="21">
        <v>1171.52</v>
      </c>
      <c r="AQ41" s="30">
        <v>50.0</v>
      </c>
      <c r="AR41" s="30">
        <v>10.0</v>
      </c>
      <c r="AS41" s="30">
        <v>5.0</v>
      </c>
      <c r="AT41" s="30">
        <v>35.0</v>
      </c>
      <c r="AU41" s="30">
        <v>30.0</v>
      </c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  <c r="BL41" s="36"/>
      <c r="BM41" s="36"/>
      <c r="BN41" s="36"/>
      <c r="BO41" s="36"/>
      <c r="BP41" s="36"/>
      <c r="BQ41" s="36"/>
    </row>
    <row r="42">
      <c r="A42" s="31">
        <v>45645.0</v>
      </c>
      <c r="B42" s="31">
        <v>45653.0</v>
      </c>
      <c r="C42" s="32">
        <v>23913.85</v>
      </c>
      <c r="D42" s="33">
        <v>23760.3</v>
      </c>
      <c r="E42" s="32">
        <v>0.65</v>
      </c>
      <c r="F42" s="32" t="s">
        <v>54</v>
      </c>
      <c r="G42" s="34" t="s">
        <v>47</v>
      </c>
      <c r="H42" s="21" t="s">
        <v>121</v>
      </c>
      <c r="I42" s="16" t="s">
        <v>122</v>
      </c>
      <c r="J42" s="21">
        <v>10.0</v>
      </c>
      <c r="K42" s="21">
        <v>321.0</v>
      </c>
      <c r="L42" s="35">
        <v>874.0</v>
      </c>
      <c r="M42" s="35">
        <v>408.0</v>
      </c>
      <c r="N42" s="21">
        <v>422.3</v>
      </c>
      <c r="O42" s="35">
        <v>31.56</v>
      </c>
      <c r="P42" s="21">
        <v>389.0</v>
      </c>
      <c r="Q42" s="35">
        <v>21.18</v>
      </c>
      <c r="R42" s="21">
        <v>513.85</v>
      </c>
      <c r="S42" s="35">
        <v>60.08</v>
      </c>
      <c r="T42" s="21">
        <v>79.59</v>
      </c>
      <c r="U42" s="21">
        <v>48.47</v>
      </c>
      <c r="V42" s="21">
        <v>36.22</v>
      </c>
      <c r="W42" s="21">
        <v>9.31</v>
      </c>
      <c r="X42" s="21">
        <v>1324.06</v>
      </c>
      <c r="Y42" s="35">
        <v>7.66</v>
      </c>
      <c r="Z42" s="21">
        <v>11.09</v>
      </c>
      <c r="AA42" s="21">
        <v>11.8</v>
      </c>
      <c r="AB42" s="21">
        <v>0.17</v>
      </c>
      <c r="AC42" s="35">
        <v>4.5</v>
      </c>
      <c r="AD42" s="21">
        <v>10.42</v>
      </c>
      <c r="AE42" s="21">
        <v>1.81</v>
      </c>
      <c r="AF42" s="30">
        <v>1.7133956E7</v>
      </c>
      <c r="AG42" s="30">
        <v>8566977.0</v>
      </c>
      <c r="AH42" s="30">
        <v>1713396.0</v>
      </c>
      <c r="AI42" s="30">
        <v>856698.0</v>
      </c>
      <c r="AJ42" s="30">
        <v>5996885.0</v>
      </c>
      <c r="AK42" s="30">
        <v>5140186.0</v>
      </c>
      <c r="AL42" s="21">
        <v>46.0</v>
      </c>
      <c r="AM42" s="21">
        <v>18.6</v>
      </c>
      <c r="AN42" s="21">
        <v>17.25</v>
      </c>
      <c r="AO42" s="21">
        <v>23.73</v>
      </c>
      <c r="AP42" s="21">
        <v>13.53</v>
      </c>
      <c r="AQ42" s="30">
        <v>50.0</v>
      </c>
      <c r="AR42" s="30">
        <v>10.0</v>
      </c>
      <c r="AS42" s="30">
        <v>5.0</v>
      </c>
      <c r="AT42" s="30">
        <v>35.0</v>
      </c>
      <c r="AU42" s="30">
        <v>30.0</v>
      </c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6"/>
      <c r="BK42" s="36"/>
      <c r="BL42" s="36"/>
      <c r="BM42" s="36"/>
      <c r="BN42" s="36"/>
      <c r="BO42" s="36"/>
      <c r="BP42" s="36"/>
      <c r="BQ42" s="36"/>
    </row>
    <row r="43">
      <c r="A43" s="31">
        <v>45645.0</v>
      </c>
      <c r="B43" s="31">
        <v>45653.0</v>
      </c>
      <c r="C43" s="32">
        <v>23913.85</v>
      </c>
      <c r="D43" s="33">
        <v>23760.3</v>
      </c>
      <c r="E43" s="32">
        <v>0.65</v>
      </c>
      <c r="F43" s="32" t="s">
        <v>54</v>
      </c>
      <c r="G43" s="34" t="s">
        <v>47</v>
      </c>
      <c r="H43" s="21" t="s">
        <v>123</v>
      </c>
      <c r="I43" s="35" t="s">
        <v>49</v>
      </c>
      <c r="J43" s="21">
        <v>10.0</v>
      </c>
      <c r="K43" s="21">
        <v>243.0</v>
      </c>
      <c r="L43" s="35">
        <v>2605.0</v>
      </c>
      <c r="M43" s="35">
        <v>503.0</v>
      </c>
      <c r="N43" s="21">
        <v>600.0</v>
      </c>
      <c r="O43" s="35">
        <v>146.91</v>
      </c>
      <c r="P43" s="21">
        <v>630.0</v>
      </c>
      <c r="Q43" s="35">
        <v>159.26</v>
      </c>
      <c r="R43" s="21">
        <v>523.5</v>
      </c>
      <c r="S43" s="35">
        <v>115.43</v>
      </c>
      <c r="T43" s="21">
        <v>235.88</v>
      </c>
      <c r="U43" s="21">
        <v>222.71</v>
      </c>
      <c r="V43" s="21">
        <v>377.72</v>
      </c>
      <c r="W43" s="21">
        <v>138.08</v>
      </c>
      <c r="X43" s="21">
        <v>131.88</v>
      </c>
      <c r="Y43" s="35">
        <v>21.0</v>
      </c>
      <c r="Z43" s="21">
        <v>27.76</v>
      </c>
      <c r="AA43" s="21">
        <v>31.29</v>
      </c>
      <c r="AB43" s="21">
        <v>0.09</v>
      </c>
      <c r="AC43" s="21">
        <v>15.27</v>
      </c>
      <c r="AD43" s="21">
        <v>27.39</v>
      </c>
      <c r="AE43" s="21">
        <v>4.5</v>
      </c>
      <c r="AF43" s="30">
        <v>7382340.0</v>
      </c>
      <c r="AG43" s="30">
        <v>3673670.0</v>
      </c>
      <c r="AH43" s="30">
        <v>734734.0</v>
      </c>
      <c r="AI43" s="30">
        <v>367367.0</v>
      </c>
      <c r="AJ43" s="30">
        <v>2571569.0</v>
      </c>
      <c r="AK43" s="30">
        <v>2204113.0</v>
      </c>
      <c r="AL43" s="21">
        <v>61.0</v>
      </c>
      <c r="AM43" s="21">
        <v>15.88</v>
      </c>
      <c r="AN43" s="21">
        <v>15.3</v>
      </c>
      <c r="AO43" s="21">
        <v>0.38</v>
      </c>
      <c r="AP43" s="21">
        <v>633.97</v>
      </c>
      <c r="AQ43" s="30">
        <v>49.76</v>
      </c>
      <c r="AR43" s="30">
        <v>9.95</v>
      </c>
      <c r="AS43" s="30">
        <v>4.98</v>
      </c>
      <c r="AT43" s="30">
        <v>34.83</v>
      </c>
      <c r="AU43" s="30">
        <v>29.86</v>
      </c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36"/>
      <c r="BL43" s="36"/>
      <c r="BM43" s="36"/>
      <c r="BN43" s="36"/>
      <c r="BO43" s="36"/>
      <c r="BP43" s="36"/>
      <c r="BQ43" s="36"/>
    </row>
    <row r="44">
      <c r="A44" s="31">
        <v>45645.0</v>
      </c>
      <c r="B44" s="31">
        <v>45653.0</v>
      </c>
      <c r="C44" s="32">
        <v>23913.85</v>
      </c>
      <c r="D44" s="33">
        <v>23760.3</v>
      </c>
      <c r="E44" s="32">
        <v>0.65</v>
      </c>
      <c r="F44" s="32" t="s">
        <v>54</v>
      </c>
      <c r="G44" s="34" t="s">
        <v>52</v>
      </c>
      <c r="H44" s="21" t="s">
        <v>124</v>
      </c>
      <c r="I44" s="16" t="s">
        <v>69</v>
      </c>
      <c r="J44" s="21">
        <v>2.0</v>
      </c>
      <c r="K44" s="21">
        <v>283.0</v>
      </c>
      <c r="L44" s="35">
        <v>1435.0</v>
      </c>
      <c r="M44" s="35">
        <v>426.0</v>
      </c>
      <c r="N44" s="21">
        <v>393.0</v>
      </c>
      <c r="O44" s="35">
        <v>38.87</v>
      </c>
      <c r="P44" s="21">
        <v>415.1</v>
      </c>
      <c r="Q44" s="35">
        <v>46.68</v>
      </c>
      <c r="R44" s="21">
        <v>221.1</v>
      </c>
      <c r="S44" s="35">
        <v>-21.87</v>
      </c>
      <c r="T44" s="21">
        <v>166.33</v>
      </c>
      <c r="U44" s="21">
        <v>102.21</v>
      </c>
      <c r="V44" s="21">
        <v>91.0</v>
      </c>
      <c r="W44" s="21">
        <v>26.8</v>
      </c>
      <c r="X44" s="21">
        <v>162.61</v>
      </c>
      <c r="Y44" s="35">
        <v>52.0</v>
      </c>
      <c r="Z44" s="21">
        <v>54.72</v>
      </c>
      <c r="AA44" s="35">
        <v>38.0</v>
      </c>
      <c r="AB44" s="21">
        <v>0.03</v>
      </c>
      <c r="AC44" s="21">
        <v>38.75</v>
      </c>
      <c r="AD44" s="21">
        <v>44.98</v>
      </c>
      <c r="AE44" s="21">
        <v>12.76</v>
      </c>
      <c r="AF44" s="23">
        <v>2.96909E7</v>
      </c>
      <c r="AG44" s="23">
        <v>1.4810449E7</v>
      </c>
      <c r="AH44" s="23">
        <v>2962090.0</v>
      </c>
      <c r="AI44" s="23">
        <v>1481045.0</v>
      </c>
      <c r="AJ44" s="23">
        <v>1.0367316E7</v>
      </c>
      <c r="AK44" s="23">
        <v>8886268.0</v>
      </c>
      <c r="AL44" s="21">
        <v>53.0</v>
      </c>
      <c r="AM44" s="21">
        <v>9.98</v>
      </c>
      <c r="AN44" s="21">
        <v>28.37</v>
      </c>
      <c r="AO44" s="21">
        <v>9.98</v>
      </c>
      <c r="AP44" s="21">
        <v>28.37</v>
      </c>
      <c r="AQ44" s="23">
        <v>49.88</v>
      </c>
      <c r="AR44" s="23">
        <v>9.98</v>
      </c>
      <c r="AS44" s="23">
        <v>4.99</v>
      </c>
      <c r="AT44" s="23">
        <v>34.92</v>
      </c>
      <c r="AU44" s="23">
        <v>29.93</v>
      </c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</row>
    <row r="45">
      <c r="A45" s="31">
        <v>45645.0</v>
      </c>
      <c r="B45" s="31">
        <v>45653.0</v>
      </c>
      <c r="C45" s="32">
        <v>23913.85</v>
      </c>
      <c r="D45" s="33">
        <v>23760.3</v>
      </c>
      <c r="E45" s="32">
        <v>0.65</v>
      </c>
      <c r="F45" s="32" t="s">
        <v>54</v>
      </c>
      <c r="G45" s="34" t="s">
        <v>55</v>
      </c>
      <c r="H45" s="21" t="s">
        <v>125</v>
      </c>
      <c r="I45" s="35" t="s">
        <v>49</v>
      </c>
      <c r="J45" s="21">
        <v>2.0</v>
      </c>
      <c r="K45" s="21">
        <v>432.0</v>
      </c>
      <c r="L45" s="35">
        <v>1654.0</v>
      </c>
      <c r="M45" s="35">
        <v>597.0</v>
      </c>
      <c r="N45" s="21">
        <v>590.0</v>
      </c>
      <c r="O45" s="35">
        <v>36.57</v>
      </c>
      <c r="P45" s="21">
        <v>553.55</v>
      </c>
      <c r="Q45" s="35">
        <v>28.14</v>
      </c>
      <c r="R45" s="21">
        <v>731.35</v>
      </c>
      <c r="S45" s="35">
        <v>69.29</v>
      </c>
      <c r="T45" s="21">
        <v>197.41</v>
      </c>
      <c r="U45" s="21">
        <v>79.8</v>
      </c>
      <c r="V45" s="21">
        <v>75.34</v>
      </c>
      <c r="W45" s="21">
        <v>22.62</v>
      </c>
      <c r="X45" s="21">
        <v>1140.65</v>
      </c>
      <c r="Y45" s="35">
        <v>11.7</v>
      </c>
      <c r="Z45" s="21">
        <v>24.41</v>
      </c>
      <c r="AA45" s="21">
        <v>24.33</v>
      </c>
      <c r="AB45" s="21">
        <v>0.56</v>
      </c>
      <c r="AC45" s="21">
        <v>5.65</v>
      </c>
      <c r="AD45" s="21">
        <v>21.68</v>
      </c>
      <c r="AE45" s="21">
        <v>4.7</v>
      </c>
      <c r="AF45" s="23">
        <v>1.9419258E7</v>
      </c>
      <c r="AG45" s="23">
        <v>9489721.0</v>
      </c>
      <c r="AH45" s="23">
        <v>1897945.0</v>
      </c>
      <c r="AI45" s="23">
        <v>948972.0</v>
      </c>
      <c r="AJ45" s="23">
        <v>6642806.0</v>
      </c>
      <c r="AK45" s="23">
        <v>5693832.0</v>
      </c>
      <c r="AL45" s="21">
        <v>34.0</v>
      </c>
      <c r="AM45" s="21">
        <v>18.66</v>
      </c>
      <c r="AN45" s="21">
        <v>23.15</v>
      </c>
      <c r="AO45" s="21">
        <v>15.42</v>
      </c>
      <c r="AP45" s="21">
        <v>28.02</v>
      </c>
      <c r="AQ45" s="23">
        <v>48.87</v>
      </c>
      <c r="AR45" s="23">
        <v>9.77</v>
      </c>
      <c r="AS45" s="23">
        <v>4.89</v>
      </c>
      <c r="AT45" s="23">
        <v>34.21</v>
      </c>
      <c r="AU45" s="23">
        <v>29.32</v>
      </c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6"/>
      <c r="BK45" s="36"/>
      <c r="BL45" s="36"/>
      <c r="BM45" s="36"/>
      <c r="BN45" s="36"/>
      <c r="BO45" s="36"/>
      <c r="BP45" s="36"/>
      <c r="BQ45" s="36"/>
    </row>
    <row r="46">
      <c r="A46" s="31">
        <v>45639.0</v>
      </c>
      <c r="B46" s="31">
        <v>45646.0</v>
      </c>
      <c r="C46" s="32">
        <v>23854.7</v>
      </c>
      <c r="D46" s="33">
        <v>23961.95</v>
      </c>
      <c r="E46" s="32">
        <v>-0.45</v>
      </c>
      <c r="F46" s="32" t="s">
        <v>61</v>
      </c>
      <c r="G46" s="34" t="s">
        <v>55</v>
      </c>
      <c r="H46" s="21" t="s">
        <v>126</v>
      </c>
      <c r="I46" s="35" t="s">
        <v>49</v>
      </c>
      <c r="J46" s="21">
        <v>2.0</v>
      </c>
      <c r="K46" s="21">
        <v>417.0</v>
      </c>
      <c r="L46" s="35">
        <v>1594.0</v>
      </c>
      <c r="M46" s="35">
        <v>576.0</v>
      </c>
      <c r="N46" s="21">
        <v>504.85</v>
      </c>
      <c r="O46" s="35">
        <v>21.07</v>
      </c>
      <c r="P46" s="21">
        <v>471.15</v>
      </c>
      <c r="Q46" s="35">
        <v>12.99</v>
      </c>
      <c r="R46" s="21">
        <v>394.15</v>
      </c>
      <c r="S46" s="35">
        <v>-5.48</v>
      </c>
      <c r="T46" s="21">
        <v>48.11</v>
      </c>
      <c r="U46" s="21">
        <v>29.78</v>
      </c>
      <c r="V46" s="21">
        <v>18.7</v>
      </c>
      <c r="W46" s="21">
        <v>11.77</v>
      </c>
      <c r="X46" s="21">
        <v>643.41</v>
      </c>
      <c r="Y46" s="35">
        <v>70.0</v>
      </c>
      <c r="Z46" s="21">
        <v>76.58</v>
      </c>
      <c r="AA46" s="21">
        <v>80.96</v>
      </c>
      <c r="AB46" s="35">
        <v>0.0</v>
      </c>
      <c r="AC46" s="35">
        <v>40.0</v>
      </c>
      <c r="AD46" s="21">
        <v>76.58</v>
      </c>
      <c r="AE46" s="35">
        <v>3.7</v>
      </c>
      <c r="AF46" s="28">
        <v>1.01E8</v>
      </c>
      <c r="AG46" s="23">
        <v>7.5953238E7</v>
      </c>
      <c r="AH46" s="23">
        <v>1.0127098E7</v>
      </c>
      <c r="AI46" s="23">
        <v>5063549.0</v>
      </c>
      <c r="AJ46" s="23">
        <v>1.0127098E7</v>
      </c>
      <c r="AK46" s="23">
        <v>4.5571942E7</v>
      </c>
      <c r="AL46" s="21">
        <v>35.0</v>
      </c>
      <c r="AM46" s="35">
        <v>8.22</v>
      </c>
      <c r="AN46" s="21">
        <v>50.98</v>
      </c>
      <c r="AO46" s="35">
        <v>5.11</v>
      </c>
      <c r="AP46" s="21">
        <v>82.9</v>
      </c>
      <c r="AQ46" s="23">
        <v>74.96</v>
      </c>
      <c r="AR46" s="23">
        <v>9.99</v>
      </c>
      <c r="AS46" s="23">
        <v>5.0</v>
      </c>
      <c r="AT46" s="23">
        <v>9.99</v>
      </c>
      <c r="AU46" s="23">
        <v>44.98</v>
      </c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36"/>
      <c r="BH46" s="36"/>
      <c r="BI46" s="36"/>
      <c r="BJ46" s="36"/>
      <c r="BK46" s="36"/>
      <c r="BL46" s="36"/>
      <c r="BM46" s="36"/>
      <c r="BN46" s="36"/>
      <c r="BO46" s="36"/>
      <c r="BP46" s="36"/>
      <c r="BQ46" s="36"/>
    </row>
    <row r="47">
      <c r="A47" s="31">
        <v>45638.0</v>
      </c>
      <c r="B47" s="31">
        <v>45645.0</v>
      </c>
      <c r="C47" s="32">
        <v>23956.7</v>
      </c>
      <c r="D47" s="33">
        <v>24214.7</v>
      </c>
      <c r="E47" s="32">
        <v>-1.07</v>
      </c>
      <c r="F47" s="32" t="s">
        <v>61</v>
      </c>
      <c r="G47" s="34" t="s">
        <v>62</v>
      </c>
      <c r="H47" s="21" t="s">
        <v>127</v>
      </c>
      <c r="I47" s="35" t="s">
        <v>49</v>
      </c>
      <c r="J47" s="21">
        <v>1.0</v>
      </c>
      <c r="K47" s="21">
        <v>1329.0</v>
      </c>
      <c r="L47" s="35">
        <v>4214.0</v>
      </c>
      <c r="M47" s="35">
        <v>1750.0</v>
      </c>
      <c r="N47" s="21">
        <v>1856.0</v>
      </c>
      <c r="O47" s="35">
        <v>39.65</v>
      </c>
      <c r="P47" s="21">
        <v>1887.5</v>
      </c>
      <c r="Q47" s="35">
        <v>42.02</v>
      </c>
      <c r="R47" s="21">
        <v>1587.0</v>
      </c>
      <c r="S47" s="35">
        <v>19.41</v>
      </c>
      <c r="T47" s="21">
        <v>80.64</v>
      </c>
      <c r="U47" s="21">
        <v>24.99</v>
      </c>
      <c r="V47" s="21">
        <v>19.77</v>
      </c>
      <c r="W47" s="21">
        <v>14.55</v>
      </c>
      <c r="X47" s="21">
        <v>1377.11</v>
      </c>
      <c r="Y47" s="35">
        <v>28.62</v>
      </c>
      <c r="Z47" s="21">
        <v>32.0</v>
      </c>
      <c r="AA47" s="21">
        <v>31.56</v>
      </c>
      <c r="AB47" s="21">
        <v>-0.06</v>
      </c>
      <c r="AC47" s="21">
        <v>20.38</v>
      </c>
      <c r="AD47" s="21">
        <v>32.0</v>
      </c>
      <c r="AE47" s="21">
        <v>19.07</v>
      </c>
      <c r="AF47" s="23">
        <v>1.879551E7</v>
      </c>
      <c r="AG47" s="23">
        <v>1.4047884E7</v>
      </c>
      <c r="AH47" s="23">
        <v>1873051.0</v>
      </c>
      <c r="AI47" s="23">
        <v>936525.0</v>
      </c>
      <c r="AJ47" s="23">
        <v>1873050.0</v>
      </c>
      <c r="AK47" s="23">
        <v>8428730.0</v>
      </c>
      <c r="AL47" s="21">
        <v>11.0</v>
      </c>
      <c r="AM47" s="21">
        <v>21.59</v>
      </c>
      <c r="AN47" s="21">
        <v>61.55</v>
      </c>
      <c r="AO47" s="21">
        <v>24.31</v>
      </c>
      <c r="AP47" s="21">
        <v>54.66</v>
      </c>
      <c r="AQ47" s="23">
        <v>74.74</v>
      </c>
      <c r="AR47" s="23">
        <v>9.97</v>
      </c>
      <c r="AS47" s="23">
        <v>4.98</v>
      </c>
      <c r="AT47" s="23">
        <v>9.97</v>
      </c>
      <c r="AU47" s="23">
        <v>44.84</v>
      </c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 s="36"/>
      <c r="BJ47" s="36"/>
      <c r="BK47" s="36"/>
      <c r="BL47" s="36"/>
      <c r="BM47" s="36"/>
      <c r="BN47" s="36"/>
      <c r="BO47" s="36"/>
      <c r="BP47" s="36"/>
      <c r="BQ47" s="36"/>
    </row>
    <row r="48">
      <c r="A48" s="31">
        <v>45637.0</v>
      </c>
      <c r="B48" s="31">
        <v>45644.0</v>
      </c>
      <c r="C48" s="32">
        <v>24252.25</v>
      </c>
      <c r="D48" s="33">
        <v>24319.35</v>
      </c>
      <c r="E48" s="32">
        <v>-0.28</v>
      </c>
      <c r="F48" s="32" t="s">
        <v>61</v>
      </c>
      <c r="G48" s="34" t="s">
        <v>50</v>
      </c>
      <c r="H48" s="21" t="s">
        <v>128</v>
      </c>
      <c r="I48" s="35" t="s">
        <v>49</v>
      </c>
      <c r="J48" s="21">
        <v>2.0</v>
      </c>
      <c r="K48" s="21">
        <v>279.0</v>
      </c>
      <c r="L48" s="35">
        <v>1605.0</v>
      </c>
      <c r="M48" s="35">
        <v>439.0</v>
      </c>
      <c r="N48" s="21">
        <v>440.0</v>
      </c>
      <c r="O48" s="35">
        <v>57.71</v>
      </c>
      <c r="P48" s="21">
        <v>530.3</v>
      </c>
      <c r="Q48" s="35">
        <v>90.07</v>
      </c>
      <c r="R48" s="21">
        <v>245.57</v>
      </c>
      <c r="S48" s="35">
        <v>-11.98</v>
      </c>
      <c r="T48" s="21">
        <v>125.82</v>
      </c>
      <c r="U48" s="21">
        <v>109.7</v>
      </c>
      <c r="V48" s="21">
        <v>124.71</v>
      </c>
      <c r="W48" s="21">
        <v>141.78</v>
      </c>
      <c r="X48" s="21">
        <v>162.59</v>
      </c>
      <c r="Y48" s="35">
        <v>4.25</v>
      </c>
      <c r="Z48" s="35">
        <v>8.66</v>
      </c>
      <c r="AA48" s="35">
        <v>-4.8</v>
      </c>
      <c r="AB48" s="21">
        <v>0.73</v>
      </c>
      <c r="AC48" s="35">
        <v>1.6</v>
      </c>
      <c r="AD48" s="21">
        <v>8.66</v>
      </c>
      <c r="AE48" s="21">
        <v>9.81</v>
      </c>
      <c r="AF48" s="23">
        <v>2.0501792E7</v>
      </c>
      <c r="AG48" s="23">
        <v>1.5376345E7</v>
      </c>
      <c r="AH48" s="23">
        <v>2050179.0</v>
      </c>
      <c r="AI48" s="23">
        <v>1025089.0</v>
      </c>
      <c r="AJ48" s="23">
        <v>2050179.0</v>
      </c>
      <c r="AK48" s="23">
        <v>9225807.0</v>
      </c>
      <c r="AL48" s="21">
        <v>53.0</v>
      </c>
      <c r="AM48" s="21">
        <v>2.46</v>
      </c>
      <c r="AN48" s="21">
        <v>113.32</v>
      </c>
      <c r="AO48" s="21">
        <v>-3.22</v>
      </c>
      <c r="AP48" s="21">
        <v>-86.75</v>
      </c>
      <c r="AQ48" s="23">
        <v>75.0</v>
      </c>
      <c r="AR48" s="23">
        <v>10.0</v>
      </c>
      <c r="AS48" s="23">
        <v>5.0</v>
      </c>
      <c r="AT48" s="23">
        <v>10.0</v>
      </c>
      <c r="AU48" s="23">
        <v>45.0</v>
      </c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36"/>
      <c r="BK48" s="36"/>
      <c r="BL48" s="36"/>
      <c r="BM48" s="36"/>
      <c r="BN48" s="36"/>
      <c r="BO48" s="36"/>
      <c r="BP48" s="36"/>
      <c r="BQ48" s="36"/>
    </row>
    <row r="49">
      <c r="A49" s="31">
        <v>45637.0</v>
      </c>
      <c r="B49" s="31">
        <v>45644.0</v>
      </c>
      <c r="C49" s="32">
        <v>24252.25</v>
      </c>
      <c r="D49" s="33">
        <v>24319.35</v>
      </c>
      <c r="E49" s="32">
        <v>-0.28</v>
      </c>
      <c r="F49" s="32" t="s">
        <v>61</v>
      </c>
      <c r="G49" s="34" t="s">
        <v>62</v>
      </c>
      <c r="H49" s="21" t="s">
        <v>129</v>
      </c>
      <c r="I49" s="35" t="s">
        <v>69</v>
      </c>
      <c r="J49" s="21">
        <v>1.0</v>
      </c>
      <c r="K49" s="21">
        <v>549.0</v>
      </c>
      <c r="L49" s="35">
        <v>723.0</v>
      </c>
      <c r="M49" s="35">
        <v>621.0</v>
      </c>
      <c r="N49" s="21">
        <v>650.0</v>
      </c>
      <c r="O49" s="35">
        <v>18.4</v>
      </c>
      <c r="P49" s="21">
        <v>765.3</v>
      </c>
      <c r="Q49" s="35">
        <v>39.4</v>
      </c>
      <c r="R49" s="21">
        <v>808.45</v>
      </c>
      <c r="S49" s="35">
        <v>47.26</v>
      </c>
      <c r="T49" s="21">
        <v>29.78</v>
      </c>
      <c r="U49" s="21">
        <v>6.1</v>
      </c>
      <c r="V49" s="21">
        <v>2.78</v>
      </c>
      <c r="W49" s="21">
        <v>1.39</v>
      </c>
      <c r="X49" s="21">
        <v>1044.75</v>
      </c>
      <c r="Y49" s="35">
        <v>20.48</v>
      </c>
      <c r="Z49" s="21">
        <v>11.79</v>
      </c>
      <c r="AA49" s="21">
        <v>15.96</v>
      </c>
      <c r="AB49" s="35">
        <v>0.75</v>
      </c>
      <c r="AC49" s="21">
        <v>5.65</v>
      </c>
      <c r="AD49" s="21">
        <v>8.13</v>
      </c>
      <c r="AE49" s="21">
        <v>10.18</v>
      </c>
      <c r="AF49" s="23">
        <v>5.5421123E7</v>
      </c>
      <c r="AG49" s="23">
        <v>2.771056E7</v>
      </c>
      <c r="AH49" s="23">
        <v>5542113.0</v>
      </c>
      <c r="AI49" s="23">
        <v>2771056.0</v>
      </c>
      <c r="AJ49" s="23">
        <v>1.9397394E7</v>
      </c>
      <c r="AK49" s="23">
        <v>1.6626336E7</v>
      </c>
      <c r="AL49" s="21">
        <v>27.0</v>
      </c>
      <c r="AM49" s="21">
        <v>4.34</v>
      </c>
      <c r="AN49" s="21">
        <v>126.42</v>
      </c>
      <c r="AO49" s="21">
        <v>2.69</v>
      </c>
      <c r="AP49" s="21">
        <v>203.82</v>
      </c>
      <c r="AQ49" s="23">
        <v>50.0</v>
      </c>
      <c r="AR49" s="23">
        <v>10.0</v>
      </c>
      <c r="AS49" s="23">
        <v>5.0</v>
      </c>
      <c r="AT49" s="23">
        <v>35.0</v>
      </c>
      <c r="AU49" s="23">
        <v>30.0</v>
      </c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6"/>
      <c r="BK49" s="36"/>
      <c r="BL49" s="36"/>
      <c r="BM49" s="36"/>
      <c r="BN49" s="36"/>
      <c r="BO49" s="36"/>
      <c r="BP49" s="36"/>
      <c r="BQ49" s="36"/>
    </row>
    <row r="50">
      <c r="A50" s="31">
        <v>45637.0</v>
      </c>
      <c r="B50" s="31">
        <v>45644.0</v>
      </c>
      <c r="C50" s="32">
        <v>24252.25</v>
      </c>
      <c r="D50" s="33">
        <v>24319.35</v>
      </c>
      <c r="E50" s="32">
        <v>-0.28</v>
      </c>
      <c r="F50" s="32" t="s">
        <v>61</v>
      </c>
      <c r="G50" s="34" t="s">
        <v>55</v>
      </c>
      <c r="H50" s="21" t="s">
        <v>130</v>
      </c>
      <c r="I50" s="35" t="s">
        <v>69</v>
      </c>
      <c r="J50" s="21">
        <v>10.0</v>
      </c>
      <c r="K50" s="21">
        <v>78.0</v>
      </c>
      <c r="L50" s="35">
        <v>224.0</v>
      </c>
      <c r="M50" s="35">
        <v>100.0</v>
      </c>
      <c r="N50" s="21">
        <v>104.0</v>
      </c>
      <c r="O50" s="35">
        <v>33.33</v>
      </c>
      <c r="P50" s="21">
        <v>111.95</v>
      </c>
      <c r="Q50" s="35">
        <v>43.53</v>
      </c>
      <c r="R50" s="21">
        <v>139.54</v>
      </c>
      <c r="S50" s="35">
        <v>78.9</v>
      </c>
      <c r="T50" s="21">
        <v>85.11</v>
      </c>
      <c r="U50" s="21">
        <v>17.34</v>
      </c>
      <c r="V50" s="21">
        <v>10.37</v>
      </c>
      <c r="W50" s="21">
        <v>2.43</v>
      </c>
      <c r="X50" s="21">
        <v>5923.74</v>
      </c>
      <c r="Y50" s="35">
        <v>14.0</v>
      </c>
      <c r="Z50" s="35">
        <v>9.0</v>
      </c>
      <c r="AA50" s="21">
        <v>68.76</v>
      </c>
      <c r="AB50" s="35">
        <v>0.19</v>
      </c>
      <c r="AC50" s="21">
        <v>5.18</v>
      </c>
      <c r="AD50" s="21">
        <v>8.18</v>
      </c>
      <c r="AE50" s="21">
        <v>6.23</v>
      </c>
      <c r="AF50" s="28">
        <v>1.03E9</v>
      </c>
      <c r="AG50" s="28">
        <v>5.13E8</v>
      </c>
      <c r="AH50" s="28">
        <v>1.03E8</v>
      </c>
      <c r="AI50" s="23">
        <v>5.1282051E7</v>
      </c>
      <c r="AJ50" s="28">
        <v>3.59E8</v>
      </c>
      <c r="AK50" s="28">
        <v>3.08E8</v>
      </c>
      <c r="AL50" s="21">
        <v>190.0</v>
      </c>
      <c r="AM50" s="21">
        <v>1.02</v>
      </c>
      <c r="AN50" s="21">
        <v>76.13</v>
      </c>
      <c r="AO50" s="21">
        <v>1.13</v>
      </c>
      <c r="AP50" s="21">
        <v>69.19</v>
      </c>
      <c r="AQ50" s="23">
        <v>50.0</v>
      </c>
      <c r="AR50" s="23">
        <v>10.0</v>
      </c>
      <c r="AS50" s="23">
        <v>5.0</v>
      </c>
      <c r="AT50" s="23">
        <v>35.0</v>
      </c>
      <c r="AU50" s="23">
        <v>30.0</v>
      </c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6"/>
      <c r="BK50" s="36"/>
      <c r="BL50" s="36"/>
      <c r="BM50" s="36"/>
      <c r="BN50" s="36"/>
      <c r="BO50" s="36"/>
      <c r="BP50" s="36"/>
      <c r="BQ50" s="36"/>
    </row>
    <row r="51">
      <c r="A51" s="31">
        <v>45625.0</v>
      </c>
      <c r="B51" s="31">
        <v>45632.0</v>
      </c>
      <c r="C51" s="32">
        <v>24694.7</v>
      </c>
      <c r="D51" s="33">
        <v>24701.55</v>
      </c>
      <c r="E51" s="32">
        <v>-0.03</v>
      </c>
      <c r="F51" s="32" t="s">
        <v>70</v>
      </c>
      <c r="G51" s="34" t="s">
        <v>62</v>
      </c>
      <c r="H51" s="21" t="s">
        <v>131</v>
      </c>
      <c r="I51" s="35" t="s">
        <v>49</v>
      </c>
      <c r="J51" s="21">
        <v>2.0</v>
      </c>
      <c r="K51" s="21">
        <v>352.0</v>
      </c>
      <c r="L51" s="35">
        <v>131.0</v>
      </c>
      <c r="M51" s="35">
        <v>454.0</v>
      </c>
      <c r="N51" s="21">
        <v>438.0</v>
      </c>
      <c r="O51" s="35">
        <v>-0.68</v>
      </c>
      <c r="P51" s="21">
        <v>441.0</v>
      </c>
      <c r="Q51" s="35">
        <v>0.0</v>
      </c>
      <c r="R51" s="21">
        <v>300.95</v>
      </c>
      <c r="S51" s="35">
        <v>-31.76</v>
      </c>
      <c r="T51" s="21">
        <v>2.76</v>
      </c>
      <c r="U51" s="21">
        <v>0.56</v>
      </c>
      <c r="V51" s="21">
        <v>1.68</v>
      </c>
      <c r="W51" s="21">
        <v>1.76</v>
      </c>
      <c r="X51" s="21">
        <v>233.84</v>
      </c>
      <c r="Y51" s="35">
        <v>33.65</v>
      </c>
      <c r="Z51" s="21">
        <v>-11.16</v>
      </c>
      <c r="AA51" s="21">
        <v>-2.35</v>
      </c>
      <c r="AB51" s="21">
        <v>3.01</v>
      </c>
      <c r="AC51" s="21">
        <v>-4.97</v>
      </c>
      <c r="AD51" s="21">
        <v>-11.16</v>
      </c>
      <c r="AE51" s="21">
        <v>6.31</v>
      </c>
      <c r="AF51" s="23">
        <v>1.918933E7</v>
      </c>
      <c r="AG51" s="23">
        <v>9594664.0</v>
      </c>
      <c r="AH51" s="23">
        <v>1918934.0</v>
      </c>
      <c r="AI51" s="23">
        <v>959466.0</v>
      </c>
      <c r="AJ51" s="23">
        <v>6716266.0</v>
      </c>
      <c r="AK51" s="23">
        <v>5756797.0</v>
      </c>
      <c r="AL51" s="21">
        <v>42.0</v>
      </c>
      <c r="AM51" s="21">
        <v>2.93</v>
      </c>
      <c r="AN51" s="21">
        <v>120.04</v>
      </c>
      <c r="AO51" s="21">
        <v>-20.4</v>
      </c>
      <c r="AP51" s="21">
        <v>-17.25</v>
      </c>
      <c r="AQ51" s="23">
        <v>50.0</v>
      </c>
      <c r="AR51" s="23">
        <v>10.0</v>
      </c>
      <c r="AS51" s="23">
        <v>5.0</v>
      </c>
      <c r="AT51" s="23">
        <v>35.0</v>
      </c>
      <c r="AU51" s="23">
        <v>30.0</v>
      </c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  <c r="BK51" s="36"/>
      <c r="BL51" s="36"/>
      <c r="BM51" s="36"/>
      <c r="BN51" s="36"/>
      <c r="BO51" s="36"/>
      <c r="BP51" s="36"/>
      <c r="BQ51" s="36"/>
    </row>
    <row r="52">
      <c r="A52" s="31">
        <v>45618.0</v>
      </c>
      <c r="B52" s="31">
        <v>45625.0</v>
      </c>
      <c r="C52" s="32">
        <v>24046.2</v>
      </c>
      <c r="D52" s="33">
        <v>23957.45</v>
      </c>
      <c r="E52" s="32">
        <v>0.37</v>
      </c>
      <c r="F52" s="32" t="s">
        <v>61</v>
      </c>
      <c r="G52" s="34" t="s">
        <v>55</v>
      </c>
      <c r="H52" s="21" t="s">
        <v>132</v>
      </c>
      <c r="I52" s="35" t="s">
        <v>49</v>
      </c>
      <c r="J52" s="21">
        <v>10.0</v>
      </c>
      <c r="K52" s="21">
        <v>203.0</v>
      </c>
      <c r="L52" s="35">
        <v>574.0</v>
      </c>
      <c r="M52" s="35">
        <v>205.0</v>
      </c>
      <c r="N52" s="21">
        <v>220.0</v>
      </c>
      <c r="O52" s="35">
        <v>48.65</v>
      </c>
      <c r="P52" s="21">
        <v>207.07</v>
      </c>
      <c r="Q52" s="35">
        <v>39.91</v>
      </c>
      <c r="R52" s="21">
        <v>252.89</v>
      </c>
      <c r="S52" s="35">
        <v>70.87</v>
      </c>
      <c r="T52" s="21">
        <v>13.91</v>
      </c>
      <c r="U52" s="21">
        <v>77.86</v>
      </c>
      <c r="V52" s="21">
        <v>91.69</v>
      </c>
      <c r="W52" s="21">
        <v>39.79</v>
      </c>
      <c r="X52" s="21">
        <v>155.81</v>
      </c>
      <c r="Y52" s="35">
        <v>23.2</v>
      </c>
      <c r="Z52" s="21">
        <v>8.48</v>
      </c>
      <c r="AA52" s="21">
        <v>8.97</v>
      </c>
      <c r="AB52" s="21">
        <v>0.91</v>
      </c>
      <c r="AC52" s="21">
        <v>13.52</v>
      </c>
      <c r="AD52" s="21">
        <v>9.57</v>
      </c>
      <c r="AE52" s="21">
        <v>4.68</v>
      </c>
      <c r="AF52" s="23">
        <v>4.3948E7</v>
      </c>
      <c r="AG52" s="23">
        <v>2.1924E7</v>
      </c>
      <c r="AH52" s="23">
        <v>4384800.0</v>
      </c>
      <c r="AI52" s="23">
        <v>2192400.0</v>
      </c>
      <c r="AJ52" s="23">
        <v>1.53468E7</v>
      </c>
      <c r="AK52" s="23">
        <v>1.31544E7</v>
      </c>
      <c r="AL52" s="21">
        <v>73.0</v>
      </c>
      <c r="AM52" s="21">
        <v>16.84</v>
      </c>
      <c r="AN52" s="21">
        <v>12.06</v>
      </c>
      <c r="AO52" s="21">
        <v>12.2</v>
      </c>
      <c r="AP52" s="21">
        <v>16.63</v>
      </c>
      <c r="AQ52" s="23">
        <v>49.89</v>
      </c>
      <c r="AR52" s="23">
        <v>9.98</v>
      </c>
      <c r="AS52" s="23">
        <v>4.99</v>
      </c>
      <c r="AT52" s="23">
        <v>34.92</v>
      </c>
      <c r="AU52" s="23">
        <v>29.93</v>
      </c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6"/>
      <c r="BK52" s="36"/>
      <c r="BL52" s="36"/>
      <c r="BM52" s="36"/>
      <c r="BN52" s="36"/>
      <c r="BO52" s="36"/>
      <c r="BP52" s="36"/>
      <c r="BQ52" s="36"/>
    </row>
    <row r="53">
      <c r="A53" s="31">
        <v>45615.0</v>
      </c>
      <c r="B53" s="31">
        <v>45623.0</v>
      </c>
      <c r="C53" s="32">
        <v>24197.85</v>
      </c>
      <c r="D53" s="33">
        <v>24192.95</v>
      </c>
      <c r="E53" s="32">
        <v>0.02</v>
      </c>
      <c r="F53" s="32" t="s">
        <v>70</v>
      </c>
      <c r="G53" s="34" t="s">
        <v>94</v>
      </c>
      <c r="H53" s="21" t="s">
        <v>133</v>
      </c>
      <c r="I53" s="35" t="s">
        <v>49</v>
      </c>
      <c r="J53" s="21">
        <v>10.0</v>
      </c>
      <c r="K53" s="21">
        <v>1503.0</v>
      </c>
      <c r="L53" s="35">
        <v>11.0</v>
      </c>
      <c r="M53" s="35">
        <v>109.0</v>
      </c>
      <c r="N53" s="21">
        <v>111.5</v>
      </c>
      <c r="O53" s="35">
        <v>3.24</v>
      </c>
      <c r="P53" s="21">
        <v>122.1</v>
      </c>
      <c r="Q53" s="35">
        <v>13.06</v>
      </c>
      <c r="R53" s="21">
        <v>104.27</v>
      </c>
      <c r="S53" s="35">
        <v>-3.45</v>
      </c>
      <c r="T53" s="21">
        <v>215.03</v>
      </c>
      <c r="U53" s="21">
        <v>71.32</v>
      </c>
      <c r="V53" s="21">
        <v>53.1</v>
      </c>
      <c r="W53" s="21">
        <v>11.27</v>
      </c>
      <c r="X53" s="21">
        <v>4471.71</v>
      </c>
      <c r="Y53" s="35">
        <v>88.9</v>
      </c>
      <c r="Z53" s="21">
        <v>8.79</v>
      </c>
      <c r="AA53" s="21">
        <v>9.45</v>
      </c>
      <c r="AB53" s="21">
        <v>0.06</v>
      </c>
      <c r="AC53" s="21">
        <v>11.47</v>
      </c>
      <c r="AD53" s="21">
        <v>8.81</v>
      </c>
      <c r="AE53" s="21">
        <v>8.84</v>
      </c>
      <c r="AF53" s="28">
        <v>9.27E8</v>
      </c>
      <c r="AG53" s="28">
        <v>6.11E8</v>
      </c>
      <c r="AH53" s="23">
        <v>8.1481481E7</v>
      </c>
      <c r="AI53" s="23">
        <v>4.0740741E7</v>
      </c>
      <c r="AJ53" s="23">
        <v>8.1481481E7</v>
      </c>
      <c r="AK53" s="28">
        <v>3.67E8</v>
      </c>
      <c r="AL53" s="21">
        <v>9.0</v>
      </c>
      <c r="AM53" s="21">
        <v>48.69</v>
      </c>
      <c r="AN53" s="21">
        <v>30.87</v>
      </c>
      <c r="AO53" s="21">
        <v>56.16</v>
      </c>
      <c r="AP53" s="21">
        <v>26.76</v>
      </c>
      <c r="AQ53" s="23">
        <v>65.94</v>
      </c>
      <c r="AR53" s="23">
        <v>8.79</v>
      </c>
      <c r="AS53" s="23">
        <v>4.4</v>
      </c>
      <c r="AT53" s="23">
        <v>8.79</v>
      </c>
      <c r="AU53" s="23">
        <v>39.56</v>
      </c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6"/>
      <c r="BK53" s="36"/>
      <c r="BL53" s="36"/>
      <c r="BM53" s="36"/>
      <c r="BN53" s="36"/>
      <c r="BO53" s="36"/>
      <c r="BP53" s="36"/>
      <c r="BQ53" s="36"/>
    </row>
    <row r="54">
      <c r="A54" s="31">
        <v>45609.0</v>
      </c>
      <c r="B54" s="31">
        <v>45618.0</v>
      </c>
      <c r="C54" s="32">
        <v>23494.75</v>
      </c>
      <c r="D54" s="33">
        <v>23346.75</v>
      </c>
      <c r="E54" s="32">
        <v>0.63</v>
      </c>
      <c r="F54" s="32" t="s">
        <v>54</v>
      </c>
      <c r="G54" s="34" t="s">
        <v>55</v>
      </c>
      <c r="H54" s="21" t="s">
        <v>134</v>
      </c>
      <c r="I54" s="35" t="s">
        <v>49</v>
      </c>
      <c r="J54" s="21">
        <v>1.0</v>
      </c>
      <c r="K54" s="21">
        <v>1960.0</v>
      </c>
      <c r="L54" s="35">
        <v>1.0</v>
      </c>
      <c r="M54" s="35">
        <v>273.0</v>
      </c>
      <c r="N54" s="21">
        <v>280.9</v>
      </c>
      <c r="O54" s="35">
        <v>2.89</v>
      </c>
      <c r="P54" s="21">
        <v>260.2</v>
      </c>
      <c r="Q54" s="35">
        <v>-4.69</v>
      </c>
      <c r="R54" s="21">
        <v>466.05</v>
      </c>
      <c r="S54" s="35">
        <v>70.71</v>
      </c>
      <c r="T54" s="21">
        <v>6.97</v>
      </c>
      <c r="U54" s="21">
        <v>0.58</v>
      </c>
      <c r="V54" s="21">
        <v>0.65</v>
      </c>
      <c r="W54" s="21">
        <v>0.5</v>
      </c>
      <c r="X54" s="21">
        <v>12148.71</v>
      </c>
      <c r="Y54" s="35">
        <v>53.4</v>
      </c>
      <c r="Z54" s="35" t="s">
        <v>57</v>
      </c>
      <c r="AA54" s="21">
        <v>13.69</v>
      </c>
      <c r="AB54" s="35">
        <v>0.56</v>
      </c>
      <c r="AC54" s="35">
        <v>-56.0</v>
      </c>
      <c r="AD54" s="21">
        <v>12.26</v>
      </c>
      <c r="AE54" s="21">
        <v>14.93</v>
      </c>
      <c r="AF54" s="23">
        <v>4.0834701E7</v>
      </c>
      <c r="AG54" s="23">
        <v>3.0606526E7</v>
      </c>
      <c r="AH54" s="23">
        <v>4080870.0</v>
      </c>
      <c r="AI54" s="23">
        <v>2040435.0</v>
      </c>
      <c r="AJ54" s="23">
        <v>4080870.0</v>
      </c>
      <c r="AK54" s="23">
        <v>1.8363915E7</v>
      </c>
      <c r="AL54" s="21">
        <v>7.0</v>
      </c>
      <c r="AM54" s="21">
        <v>74.58</v>
      </c>
      <c r="AN54" s="21">
        <v>26.28</v>
      </c>
      <c r="AO54" s="21">
        <v>73.33</v>
      </c>
      <c r="AP54" s="21">
        <v>26.73</v>
      </c>
      <c r="AQ54" s="23">
        <v>74.95</v>
      </c>
      <c r="AR54" s="23">
        <v>9.99</v>
      </c>
      <c r="AS54" s="23">
        <v>5.0</v>
      </c>
      <c r="AT54" s="23">
        <v>9.99</v>
      </c>
      <c r="AU54" s="23">
        <v>44.97</v>
      </c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 s="36"/>
      <c r="BJ54" s="36"/>
      <c r="BK54" s="36"/>
      <c r="BL54" s="36"/>
      <c r="BM54" s="36"/>
      <c r="BN54" s="36"/>
      <c r="BO54" s="36"/>
      <c r="BP54" s="36"/>
      <c r="BQ54" s="36"/>
    </row>
    <row r="55">
      <c r="A55" s="31">
        <v>45603.0</v>
      </c>
      <c r="B55" s="31">
        <v>45610.0</v>
      </c>
      <c r="C55" s="32">
        <v>23641.1</v>
      </c>
      <c r="D55" s="33">
        <v>23602.9</v>
      </c>
      <c r="E55" s="32">
        <v>0.16</v>
      </c>
      <c r="F55" s="32" t="s">
        <v>54</v>
      </c>
      <c r="G55" s="34" t="s">
        <v>52</v>
      </c>
      <c r="H55" s="21" t="s">
        <v>135</v>
      </c>
      <c r="I55" s="35" t="s">
        <v>69</v>
      </c>
      <c r="J55" s="21">
        <v>10.0</v>
      </c>
      <c r="K55" s="21">
        <v>95.0</v>
      </c>
      <c r="L55" s="35">
        <v>11.0</v>
      </c>
      <c r="M55" s="35">
        <v>75.0</v>
      </c>
      <c r="N55" s="21">
        <v>78.14</v>
      </c>
      <c r="O55" s="35">
        <v>5.59</v>
      </c>
      <c r="P55" s="21">
        <v>74.0</v>
      </c>
      <c r="Q55" s="35">
        <v>0.0</v>
      </c>
      <c r="R55" s="21">
        <v>87.55</v>
      </c>
      <c r="S55" s="35">
        <v>18.31</v>
      </c>
      <c r="T55" s="21">
        <v>1.24</v>
      </c>
      <c r="U55" s="21">
        <v>7.93</v>
      </c>
      <c r="V55" s="21">
        <v>11.23</v>
      </c>
      <c r="W55" s="21">
        <v>10.81</v>
      </c>
      <c r="X55" s="21">
        <v>122.51</v>
      </c>
      <c r="Y55" s="35">
        <v>4.7</v>
      </c>
      <c r="Z55" s="21">
        <v>36.14</v>
      </c>
      <c r="AA55" s="21">
        <v>46.69</v>
      </c>
      <c r="AB55" s="35">
        <v>0.12</v>
      </c>
      <c r="AC55" s="21">
        <v>23.63</v>
      </c>
      <c r="AD55" s="21">
        <v>30.62</v>
      </c>
      <c r="AE55" s="21">
        <v>5.97</v>
      </c>
      <c r="AF55" s="28">
        <v>2.97E8</v>
      </c>
      <c r="AG55" s="28">
        <v>2.23E8</v>
      </c>
      <c r="AH55" s="23">
        <v>2.9729729E7</v>
      </c>
      <c r="AI55" s="23">
        <v>1.4864865E7</v>
      </c>
      <c r="AJ55" s="23">
        <v>2.9729729E7</v>
      </c>
      <c r="AK55" s="28">
        <v>1.34E8</v>
      </c>
      <c r="AL55" s="21">
        <v>157.0</v>
      </c>
      <c r="AM55" s="21">
        <v>4.87</v>
      </c>
      <c r="AN55" s="21">
        <v>19.49</v>
      </c>
      <c r="AO55" s="21">
        <v>4.52</v>
      </c>
      <c r="AP55" s="21">
        <v>21.03</v>
      </c>
      <c r="AQ55" s="23">
        <v>75.0</v>
      </c>
      <c r="AR55" s="23">
        <v>10.0</v>
      </c>
      <c r="AS55" s="23">
        <v>5.0</v>
      </c>
      <c r="AT55" s="23">
        <v>10.0</v>
      </c>
      <c r="AU55" s="23">
        <v>45.0</v>
      </c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 s="36"/>
      <c r="BJ55" s="36"/>
      <c r="BK55" s="36"/>
      <c r="BL55" s="36"/>
      <c r="BM55" s="36"/>
      <c r="BN55" s="36"/>
      <c r="BO55" s="36"/>
      <c r="BP55" s="36"/>
      <c r="BQ55" s="36"/>
    </row>
    <row r="56">
      <c r="A56" s="31">
        <v>45602.0</v>
      </c>
      <c r="B56" s="31">
        <v>45609.0</v>
      </c>
      <c r="C56" s="32">
        <v>23784.9</v>
      </c>
      <c r="D56" s="33">
        <v>23842.95</v>
      </c>
      <c r="E56" s="32">
        <v>-0.24</v>
      </c>
      <c r="F56" s="32" t="s">
        <v>54</v>
      </c>
      <c r="G56" s="34" t="s">
        <v>94</v>
      </c>
      <c r="H56" s="21" t="s">
        <v>136</v>
      </c>
      <c r="I56" s="35" t="s">
        <v>49</v>
      </c>
      <c r="J56" s="21">
        <v>2.0</v>
      </c>
      <c r="K56" s="21">
        <v>168.0</v>
      </c>
      <c r="L56" s="35">
        <v>-41.0</v>
      </c>
      <c r="M56" s="35">
        <v>285.0</v>
      </c>
      <c r="N56" s="21">
        <v>251.0</v>
      </c>
      <c r="O56" s="35">
        <v>-13.15</v>
      </c>
      <c r="P56" s="21">
        <v>253.5</v>
      </c>
      <c r="Q56" s="35">
        <v>-12.28</v>
      </c>
      <c r="R56" s="21">
        <v>278.25</v>
      </c>
      <c r="S56" s="35">
        <v>-3.72</v>
      </c>
      <c r="T56" s="21">
        <v>95.74</v>
      </c>
      <c r="U56" s="21">
        <v>203.34</v>
      </c>
      <c r="V56" s="21">
        <v>216.13</v>
      </c>
      <c r="W56" s="21">
        <v>85.61</v>
      </c>
      <c r="X56" s="21">
        <v>190.7</v>
      </c>
      <c r="Y56" s="35">
        <v>82.6</v>
      </c>
      <c r="Z56" s="21">
        <v>18.52</v>
      </c>
      <c r="AA56" s="21">
        <v>20.63</v>
      </c>
      <c r="AB56" s="21">
        <v>0.18</v>
      </c>
      <c r="AC56" s="21">
        <v>10.79</v>
      </c>
      <c r="AD56" s="21">
        <v>18.52</v>
      </c>
      <c r="AE56" s="21">
        <v>2.47</v>
      </c>
      <c r="AF56" s="28">
        <v>1.0E8</v>
      </c>
      <c r="AG56" s="23">
        <v>7.5000001E7</v>
      </c>
      <c r="AH56" s="23">
        <v>9999999.0</v>
      </c>
      <c r="AI56" s="23">
        <v>5000000.0</v>
      </c>
      <c r="AJ56" s="23">
        <v>9999999.0</v>
      </c>
      <c r="AK56" s="23">
        <v>4.5E7</v>
      </c>
      <c r="AL56" s="21">
        <v>88.0</v>
      </c>
      <c r="AM56" s="21">
        <v>10.99</v>
      </c>
      <c r="AN56" s="21">
        <v>15.28</v>
      </c>
      <c r="AO56" s="21">
        <v>8.23</v>
      </c>
      <c r="AP56" s="21">
        <v>20.41</v>
      </c>
      <c r="AQ56" s="23">
        <v>74.71</v>
      </c>
      <c r="AR56" s="23">
        <v>9.96</v>
      </c>
      <c r="AS56" s="23">
        <v>4.98</v>
      </c>
      <c r="AT56" s="23">
        <v>9.96</v>
      </c>
      <c r="AU56" s="23">
        <v>44.83</v>
      </c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F56" s="36"/>
      <c r="BG56" s="36"/>
      <c r="BH56" s="36"/>
      <c r="BI56" s="36"/>
      <c r="BJ56" s="36"/>
      <c r="BK56" s="36"/>
      <c r="BL56" s="36"/>
      <c r="BM56" s="36"/>
      <c r="BN56" s="36"/>
      <c r="BO56" s="36"/>
      <c r="BP56" s="36"/>
      <c r="BQ56" s="36"/>
    </row>
    <row r="57">
      <c r="A57" s="31">
        <v>45602.0</v>
      </c>
      <c r="B57" s="31">
        <v>45609.0</v>
      </c>
      <c r="C57" s="32">
        <v>23784.9</v>
      </c>
      <c r="D57" s="33">
        <v>23842.95</v>
      </c>
      <c r="E57" s="32">
        <v>-0.24</v>
      </c>
      <c r="F57" s="32" t="s">
        <v>54</v>
      </c>
      <c r="G57" s="34" t="s">
        <v>55</v>
      </c>
      <c r="H57" s="21" t="s">
        <v>137</v>
      </c>
      <c r="I57" s="35" t="s">
        <v>77</v>
      </c>
      <c r="J57" s="21">
        <v>1.0</v>
      </c>
      <c r="K57" s="21">
        <v>220.0</v>
      </c>
      <c r="L57" s="35">
        <v>1.0</v>
      </c>
      <c r="M57" s="35">
        <v>390.0</v>
      </c>
      <c r="N57" s="21">
        <v>420.0</v>
      </c>
      <c r="O57" s="35">
        <v>7.69</v>
      </c>
      <c r="P57" s="21">
        <v>456.0</v>
      </c>
      <c r="Q57" s="35">
        <v>16.92</v>
      </c>
      <c r="R57" s="21">
        <v>403.75</v>
      </c>
      <c r="S57" s="35">
        <v>3.53</v>
      </c>
      <c r="T57" s="21">
        <v>253.04</v>
      </c>
      <c r="U57" s="21">
        <v>445.31</v>
      </c>
      <c r="V57" s="21">
        <v>401.01</v>
      </c>
      <c r="W57" s="21">
        <v>96.74</v>
      </c>
      <c r="X57" s="21">
        <v>131.65</v>
      </c>
      <c r="Y57" s="35">
        <v>-16.0</v>
      </c>
      <c r="Z57" s="21">
        <v>40.86</v>
      </c>
      <c r="AA57" s="21">
        <v>31.21</v>
      </c>
      <c r="AB57" s="21">
        <v>0.45</v>
      </c>
      <c r="AC57" s="21">
        <v>12.67</v>
      </c>
      <c r="AD57" s="21">
        <v>29.68</v>
      </c>
      <c r="AE57" s="35" t="s">
        <v>57</v>
      </c>
      <c r="AF57" s="28">
        <v>2.9E8</v>
      </c>
      <c r="AG57" s="28">
        <v>2.17E8</v>
      </c>
      <c r="AH57" s="23">
        <v>2.8974492E7</v>
      </c>
      <c r="AI57" s="23">
        <v>1.4487245E7</v>
      </c>
      <c r="AJ57" s="23">
        <v>2.8974491E7</v>
      </c>
      <c r="AK57" s="28">
        <v>1.3E8</v>
      </c>
      <c r="AL57" s="21">
        <v>65.0</v>
      </c>
      <c r="AM57" s="21">
        <v>8.88</v>
      </c>
      <c r="AN57" s="21">
        <v>24.78</v>
      </c>
      <c r="AO57" s="21">
        <v>6.56</v>
      </c>
      <c r="AP57" s="21">
        <v>33.52</v>
      </c>
      <c r="AQ57" s="23">
        <v>74.81</v>
      </c>
      <c r="AR57" s="23">
        <v>9.97</v>
      </c>
      <c r="AS57" s="23">
        <v>4.99</v>
      </c>
      <c r="AT57" s="23">
        <v>9.97</v>
      </c>
      <c r="AU57" s="23">
        <v>44.88</v>
      </c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  <c r="BK57" s="36"/>
      <c r="BL57" s="36"/>
      <c r="BM57" s="36"/>
      <c r="BN57" s="36"/>
      <c r="BO57" s="36"/>
      <c r="BP57" s="36"/>
      <c r="BQ57" s="36"/>
    </row>
    <row r="58">
      <c r="A58" s="31">
        <v>45601.0</v>
      </c>
      <c r="B58" s="31">
        <v>45608.0</v>
      </c>
      <c r="C58" s="32">
        <v>24206.8</v>
      </c>
      <c r="D58" s="33">
        <v>24122.1</v>
      </c>
      <c r="E58" s="32">
        <v>0.35</v>
      </c>
      <c r="F58" s="32" t="s">
        <v>54</v>
      </c>
      <c r="G58" s="34" t="s">
        <v>62</v>
      </c>
      <c r="H58" s="21" t="s">
        <v>138</v>
      </c>
      <c r="I58" s="35" t="s">
        <v>49</v>
      </c>
      <c r="J58" s="21">
        <v>10.0</v>
      </c>
      <c r="K58" s="21">
        <v>120.0</v>
      </c>
      <c r="L58" s="35">
        <v>0.301</v>
      </c>
      <c r="M58" s="35">
        <v>30.3</v>
      </c>
      <c r="N58" s="21">
        <v>31.06</v>
      </c>
      <c r="O58" s="35">
        <v>3.53</v>
      </c>
      <c r="P58" s="21">
        <v>29.36</v>
      </c>
      <c r="Q58" s="35">
        <v>-2.13</v>
      </c>
      <c r="R58" s="21">
        <v>46.62</v>
      </c>
      <c r="S58" s="35">
        <v>55.4</v>
      </c>
      <c r="T58" s="21">
        <v>148.55</v>
      </c>
      <c r="U58" s="21">
        <v>546.56</v>
      </c>
      <c r="V58" s="21">
        <v>441.73</v>
      </c>
      <c r="W58" s="21">
        <v>143.95</v>
      </c>
      <c r="X58" s="21">
        <v>200.61</v>
      </c>
      <c r="Y58" s="37">
        <v>23.48</v>
      </c>
      <c r="Z58" s="21">
        <v>21.36</v>
      </c>
      <c r="AA58" s="21">
        <v>19.39</v>
      </c>
      <c r="AB58" s="21">
        <v>3.75</v>
      </c>
      <c r="AC58" s="37">
        <v>4.8</v>
      </c>
      <c r="AD58" s="21">
        <v>15.66</v>
      </c>
      <c r="AE58" s="21">
        <v>2.25</v>
      </c>
      <c r="AF58" s="28">
        <v>7.02E8</v>
      </c>
      <c r="AG58" s="28">
        <v>5.25E8</v>
      </c>
      <c r="AH58" s="23">
        <v>7.0029926E7</v>
      </c>
      <c r="AI58" s="23">
        <v>3.5014963E7</v>
      </c>
      <c r="AJ58" s="23">
        <v>7.0029926E7</v>
      </c>
      <c r="AK58" s="28">
        <v>3.15E8</v>
      </c>
      <c r="AL58" s="21">
        <v>125.0</v>
      </c>
      <c r="AM58" s="21">
        <v>8.34</v>
      </c>
      <c r="AN58" s="21">
        <v>14.39</v>
      </c>
      <c r="AO58" s="21">
        <v>6.25</v>
      </c>
      <c r="AP58" s="21">
        <v>19.19</v>
      </c>
      <c r="AQ58" s="23">
        <v>74.8</v>
      </c>
      <c r="AR58" s="23">
        <v>9.97</v>
      </c>
      <c r="AS58" s="23">
        <v>4.99</v>
      </c>
      <c r="AT58" s="23">
        <v>9.97</v>
      </c>
      <c r="AU58" s="23">
        <v>44.88</v>
      </c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  <c r="BH58" s="36"/>
      <c r="BI58" s="36"/>
      <c r="BJ58" s="36"/>
      <c r="BK58" s="36"/>
      <c r="BL58" s="36"/>
      <c r="BM58" s="36"/>
      <c r="BN58" s="36"/>
      <c r="BO58" s="36"/>
      <c r="BP58" s="36"/>
      <c r="BQ58" s="36"/>
    </row>
    <row r="59">
      <c r="A59" s="31">
        <v>45590.0</v>
      </c>
      <c r="B59" s="31">
        <v>45600.0</v>
      </c>
      <c r="C59" s="38">
        <v>24046.15</v>
      </c>
      <c r="D59" s="38">
        <v>23995.35</v>
      </c>
      <c r="E59" s="39">
        <v>0.21</v>
      </c>
      <c r="F59" s="39" t="s">
        <v>54</v>
      </c>
      <c r="G59" s="34" t="s">
        <v>78</v>
      </c>
      <c r="H59" s="21" t="s">
        <v>139</v>
      </c>
      <c r="I59" s="35" t="s">
        <v>69</v>
      </c>
      <c r="J59" s="21">
        <v>10.0</v>
      </c>
      <c r="K59" s="21">
        <v>263.0</v>
      </c>
      <c r="L59" s="35">
        <v>151.0</v>
      </c>
      <c r="M59" s="35">
        <v>478.0</v>
      </c>
      <c r="N59" s="21">
        <v>426.0</v>
      </c>
      <c r="O59" s="35">
        <v>-7.99</v>
      </c>
      <c r="P59" s="21">
        <v>474.55</v>
      </c>
      <c r="Q59" s="35">
        <v>2.49</v>
      </c>
      <c r="R59" s="21">
        <v>399.25</v>
      </c>
      <c r="S59" s="35">
        <v>-13.77</v>
      </c>
      <c r="T59" s="21">
        <v>242.73</v>
      </c>
      <c r="U59" s="21">
        <v>160.48</v>
      </c>
      <c r="V59" s="21">
        <v>121.79</v>
      </c>
      <c r="W59" s="21">
        <v>32.01</v>
      </c>
      <c r="X59" s="35">
        <v>3662.0</v>
      </c>
      <c r="Y59" s="35">
        <v>10.87</v>
      </c>
      <c r="Z59" s="35">
        <v>13.0</v>
      </c>
      <c r="AA59" s="35">
        <v>20.0</v>
      </c>
      <c r="AB59" s="21">
        <v>3.9</v>
      </c>
      <c r="AC59" s="35">
        <v>3.25</v>
      </c>
      <c r="AD59" s="21">
        <v>13.32</v>
      </c>
      <c r="AE59" s="21">
        <v>1.49</v>
      </c>
      <c r="AF59" s="28">
        <v>1.17E8</v>
      </c>
      <c r="AG59" s="23">
        <v>5.8369329E7</v>
      </c>
      <c r="AH59" s="23">
        <v>1.1673867E7</v>
      </c>
      <c r="AI59" s="23">
        <v>5836933.0</v>
      </c>
      <c r="AJ59" s="23">
        <v>4.0858532E7</v>
      </c>
      <c r="AK59" s="23">
        <v>3.5021597E7</v>
      </c>
      <c r="AL59" s="21">
        <v>57.0</v>
      </c>
      <c r="AM59" s="21">
        <v>22.32</v>
      </c>
      <c r="AN59" s="21">
        <v>11.78</v>
      </c>
      <c r="AO59" s="21">
        <v>19.69</v>
      </c>
      <c r="AP59" s="21">
        <v>13.36</v>
      </c>
      <c r="AQ59" s="23">
        <v>49.75</v>
      </c>
      <c r="AR59" s="23">
        <v>9.95</v>
      </c>
      <c r="AS59" s="23">
        <v>4.97</v>
      </c>
      <c r="AT59" s="23">
        <v>34.82</v>
      </c>
      <c r="AU59" s="23">
        <v>29.85</v>
      </c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 s="36"/>
      <c r="BN59" s="36"/>
      <c r="BO59" s="36"/>
      <c r="BP59" s="36"/>
      <c r="BQ59" s="36"/>
    </row>
    <row r="60">
      <c r="A60" s="31">
        <v>45588.0</v>
      </c>
      <c r="B60" s="31">
        <v>45595.0</v>
      </c>
      <c r="C60" s="32">
        <v>24398.1</v>
      </c>
      <c r="D60" s="33">
        <v>24454.0</v>
      </c>
      <c r="E60" s="32">
        <v>-0.23</v>
      </c>
      <c r="F60" s="32" t="s">
        <v>54</v>
      </c>
      <c r="G60" s="34" t="s">
        <v>81</v>
      </c>
      <c r="H60" s="21" t="s">
        <v>140</v>
      </c>
      <c r="I60" s="35" t="s">
        <v>69</v>
      </c>
      <c r="J60" s="21">
        <v>10.0</v>
      </c>
      <c r="K60" s="21">
        <v>128.0</v>
      </c>
      <c r="L60" s="35">
        <v>51.0</v>
      </c>
      <c r="M60" s="35">
        <v>357.0</v>
      </c>
      <c r="N60" s="21">
        <v>308.0</v>
      </c>
      <c r="O60" s="35">
        <v>-12.5</v>
      </c>
      <c r="P60" s="21">
        <v>343.2</v>
      </c>
      <c r="Q60" s="35">
        <v>-2.5</v>
      </c>
      <c r="R60" s="21">
        <v>312.16</v>
      </c>
      <c r="S60" s="35">
        <v>-11.32</v>
      </c>
      <c r="T60" s="21">
        <v>172.6</v>
      </c>
      <c r="U60" s="21">
        <v>169.95</v>
      </c>
      <c r="V60" s="21">
        <v>176.76</v>
      </c>
      <c r="W60" s="21">
        <v>53.78</v>
      </c>
      <c r="X60" s="21">
        <v>323.4</v>
      </c>
      <c r="Y60" s="35">
        <v>8.77</v>
      </c>
      <c r="Z60" s="21">
        <v>46.9</v>
      </c>
      <c r="AA60" s="21">
        <v>47.34</v>
      </c>
      <c r="AB60" s="21">
        <v>0.21</v>
      </c>
      <c r="AC60" s="21">
        <v>19.35</v>
      </c>
      <c r="AD60" s="21">
        <v>46.9</v>
      </c>
      <c r="AE60" s="21">
        <v>6.02</v>
      </c>
      <c r="AF60" s="23">
        <v>1.5759937E7</v>
      </c>
      <c r="AG60" s="23">
        <v>7879968.0</v>
      </c>
      <c r="AH60" s="23">
        <v>1575994.0</v>
      </c>
      <c r="AI60" s="23">
        <v>787997.0</v>
      </c>
      <c r="AJ60" s="23">
        <v>5515978.0</v>
      </c>
      <c r="AK60" s="23">
        <v>4727980.0</v>
      </c>
      <c r="AL60" s="21">
        <v>110.0</v>
      </c>
      <c r="AM60" s="21">
        <v>7.99</v>
      </c>
      <c r="AN60" s="21">
        <v>16.01</v>
      </c>
      <c r="AO60" s="21">
        <v>6.61</v>
      </c>
      <c r="AP60" s="21">
        <v>19.35</v>
      </c>
      <c r="AQ60" s="23">
        <v>50.0</v>
      </c>
      <c r="AR60" s="23">
        <v>10.0</v>
      </c>
      <c r="AS60" s="23">
        <v>5.0</v>
      </c>
      <c r="AT60" s="23">
        <v>35.0</v>
      </c>
      <c r="AU60" s="23">
        <v>30.0</v>
      </c>
      <c r="AV60" s="36"/>
      <c r="AW60" s="36"/>
      <c r="AX60" s="36"/>
      <c r="AY60" s="36"/>
      <c r="AZ60" s="36"/>
      <c r="BA60" s="36"/>
      <c r="BB60" s="36"/>
      <c r="BC60" s="36"/>
      <c r="BD60" s="36"/>
      <c r="BE60" s="36"/>
      <c r="BF60" s="36"/>
      <c r="BG60" s="36"/>
      <c r="BH60" s="36"/>
      <c r="BI60" s="36"/>
      <c r="BJ60" s="36"/>
      <c r="BK60" s="36"/>
      <c r="BL60" s="36"/>
      <c r="BM60" s="36"/>
      <c r="BN60" s="36"/>
      <c r="BO60" s="36"/>
      <c r="BP60" s="36"/>
      <c r="BQ60" s="36"/>
    </row>
    <row r="61">
      <c r="A61" s="31">
        <v>45586.0</v>
      </c>
      <c r="B61" s="31">
        <v>45593.0</v>
      </c>
      <c r="C61" s="32">
        <v>24288.0</v>
      </c>
      <c r="D61" s="33">
        <v>24211.8</v>
      </c>
      <c r="E61" s="32">
        <v>0.31</v>
      </c>
      <c r="F61" s="32" t="s">
        <v>54</v>
      </c>
      <c r="G61" s="34" t="s">
        <v>78</v>
      </c>
      <c r="H61" s="21" t="s">
        <v>141</v>
      </c>
      <c r="I61" s="35" t="s">
        <v>49</v>
      </c>
      <c r="J61" s="21">
        <v>10.0</v>
      </c>
      <c r="K61" s="21">
        <v>172.0</v>
      </c>
      <c r="L61" s="35">
        <v>323.0</v>
      </c>
      <c r="M61" s="35">
        <v>235.0</v>
      </c>
      <c r="N61" s="21">
        <v>200.0</v>
      </c>
      <c r="O61" s="35">
        <v>-1.48</v>
      </c>
      <c r="P61" s="21">
        <v>161.95</v>
      </c>
      <c r="Q61" s="35">
        <v>-20.22</v>
      </c>
      <c r="R61" s="21">
        <v>138.54</v>
      </c>
      <c r="S61" s="35">
        <v>-31.75</v>
      </c>
      <c r="T61" s="21">
        <v>28.81</v>
      </c>
      <c r="U61" s="21">
        <v>41.65</v>
      </c>
      <c r="V61" s="21">
        <v>56.73</v>
      </c>
      <c r="W61" s="21">
        <v>26.92</v>
      </c>
      <c r="X61" s="21">
        <v>398.36</v>
      </c>
      <c r="Y61" s="35">
        <v>22.98</v>
      </c>
      <c r="Z61" s="21">
        <v>22.41</v>
      </c>
      <c r="AA61" s="21">
        <v>29.23</v>
      </c>
      <c r="AB61" s="21">
        <v>0.67</v>
      </c>
      <c r="AC61" s="35">
        <v>11.81</v>
      </c>
      <c r="AD61" s="21">
        <v>20.17</v>
      </c>
      <c r="AE61" s="21">
        <v>3.4</v>
      </c>
      <c r="AF61" s="23">
        <v>1.281E7</v>
      </c>
      <c r="AG61" s="23">
        <v>6405000.0</v>
      </c>
      <c r="AH61" s="23">
        <v>1281000.0</v>
      </c>
      <c r="AI61" s="23">
        <v>640500.0</v>
      </c>
      <c r="AJ61" s="23">
        <v>4483500.0</v>
      </c>
      <c r="AK61" s="23">
        <v>3842939.0</v>
      </c>
      <c r="AL61" s="21">
        <v>87.0</v>
      </c>
      <c r="AM61" s="21">
        <v>10.21</v>
      </c>
      <c r="AN61" s="21">
        <v>16.85</v>
      </c>
      <c r="AO61" s="21">
        <v>7.88</v>
      </c>
      <c r="AP61" s="21">
        <v>21.83</v>
      </c>
      <c r="AQ61" s="23">
        <v>50.0</v>
      </c>
      <c r="AR61" s="23">
        <v>10.0</v>
      </c>
      <c r="AS61" s="23">
        <v>5.0</v>
      </c>
      <c r="AT61" s="23">
        <v>35.0</v>
      </c>
      <c r="AU61" s="23">
        <v>30.0</v>
      </c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</row>
    <row r="62">
      <c r="A62" s="31">
        <v>45586.0</v>
      </c>
      <c r="B62" s="31">
        <v>45593.0</v>
      </c>
      <c r="C62" s="32">
        <v>24288.0</v>
      </c>
      <c r="D62" s="33">
        <v>24211.8</v>
      </c>
      <c r="E62" s="32">
        <v>0.31</v>
      </c>
      <c r="F62" s="32" t="s">
        <v>54</v>
      </c>
      <c r="G62" s="34" t="s">
        <v>94</v>
      </c>
      <c r="H62" s="21" t="s">
        <v>142</v>
      </c>
      <c r="I62" s="35" t="s">
        <v>69</v>
      </c>
      <c r="J62" s="21">
        <v>10.0</v>
      </c>
      <c r="K62" s="21">
        <v>480.0</v>
      </c>
      <c r="L62" s="35">
        <v>12955.0</v>
      </c>
      <c r="M62" s="35">
        <v>2798.0</v>
      </c>
      <c r="N62" s="21">
        <v>2500.0</v>
      </c>
      <c r="O62" s="35">
        <v>66.33</v>
      </c>
      <c r="P62" s="21">
        <v>2338.9</v>
      </c>
      <c r="Q62" s="35">
        <v>55.62</v>
      </c>
      <c r="R62" s="21">
        <v>2992.4</v>
      </c>
      <c r="S62" s="35">
        <v>99.1</v>
      </c>
      <c r="T62" s="21">
        <v>136.85</v>
      </c>
      <c r="U62" s="21">
        <v>59.11</v>
      </c>
      <c r="V62" s="21">
        <v>50.03</v>
      </c>
      <c r="W62" s="21">
        <v>16.58</v>
      </c>
      <c r="X62" s="21">
        <v>534.38</v>
      </c>
      <c r="Y62" s="35">
        <v>15.56</v>
      </c>
      <c r="Z62" s="21">
        <v>28.88</v>
      </c>
      <c r="AA62" s="21">
        <v>27.31</v>
      </c>
      <c r="AB62" s="21">
        <v>0.74</v>
      </c>
      <c r="AC62" s="21">
        <v>2.53</v>
      </c>
      <c r="AD62" s="21">
        <v>28.88</v>
      </c>
      <c r="AE62" s="21">
        <v>10.6</v>
      </c>
      <c r="AF62" s="23">
        <v>2.8752095E7</v>
      </c>
      <c r="AG62" s="23">
        <v>1.4159812E7</v>
      </c>
      <c r="AH62" s="23">
        <v>2831963.0</v>
      </c>
      <c r="AI62" s="23">
        <v>1415982.0</v>
      </c>
      <c r="AJ62" s="23">
        <v>9911870.0</v>
      </c>
      <c r="AK62" s="23">
        <v>8495887.0</v>
      </c>
      <c r="AL62" s="21">
        <v>31.0</v>
      </c>
      <c r="AM62" s="21">
        <v>13.08</v>
      </c>
      <c r="AN62" s="21">
        <v>36.7</v>
      </c>
      <c r="AO62" s="21">
        <v>11.37</v>
      </c>
      <c r="AP62" s="21">
        <v>42.2</v>
      </c>
      <c r="AQ62" s="23">
        <v>49.25</v>
      </c>
      <c r="AR62" s="23">
        <v>9.85</v>
      </c>
      <c r="AS62" s="23">
        <v>4.92</v>
      </c>
      <c r="AT62" s="23">
        <v>34.47</v>
      </c>
      <c r="AU62" s="23">
        <v>29.55</v>
      </c>
      <c r="AV62" s="36"/>
      <c r="AW62" s="36"/>
      <c r="AX62" s="36"/>
      <c r="AY62" s="36"/>
      <c r="AZ62" s="36"/>
      <c r="BA62" s="36"/>
      <c r="BB62" s="36"/>
      <c r="BC62" s="36"/>
      <c r="BD62" s="36"/>
      <c r="BE62" s="36"/>
      <c r="BF62" s="36"/>
      <c r="BG62" s="36"/>
      <c r="BH62" s="36"/>
      <c r="BI62" s="36"/>
      <c r="BJ62" s="36"/>
      <c r="BK62" s="36"/>
      <c r="BL62" s="36"/>
      <c r="BM62" s="36"/>
      <c r="BN62" s="36"/>
      <c r="BO62" s="36"/>
      <c r="BP62" s="36"/>
      <c r="BQ62" s="36"/>
    </row>
    <row r="63">
      <c r="A63" s="31">
        <v>45580.0</v>
      </c>
      <c r="B63" s="31">
        <v>45587.0</v>
      </c>
      <c r="C63" s="32">
        <v>24878.9</v>
      </c>
      <c r="D63" s="33">
        <v>24739.45</v>
      </c>
      <c r="E63" s="32">
        <v>0.56</v>
      </c>
      <c r="F63" s="32" t="s">
        <v>54</v>
      </c>
      <c r="G63" s="34" t="s">
        <v>98</v>
      </c>
      <c r="H63" s="21" t="s">
        <v>143</v>
      </c>
      <c r="I63" s="35" t="s">
        <v>77</v>
      </c>
      <c r="J63" s="21">
        <v>10.0</v>
      </c>
      <c r="K63" s="21">
        <v>240.0</v>
      </c>
      <c r="L63" s="35">
        <v>621.0</v>
      </c>
      <c r="M63" s="35">
        <v>2022.0</v>
      </c>
      <c r="N63" s="21">
        <v>1934.0</v>
      </c>
      <c r="O63" s="35">
        <v>-1.33</v>
      </c>
      <c r="P63" s="21">
        <v>1820.4</v>
      </c>
      <c r="Q63" s="35">
        <v>-7.12</v>
      </c>
      <c r="R63" s="21">
        <v>2151.8</v>
      </c>
      <c r="S63" s="35">
        <v>9.79</v>
      </c>
      <c r="T63" s="21">
        <v>24.55</v>
      </c>
      <c r="U63" s="21">
        <v>23.21</v>
      </c>
      <c r="V63" s="21">
        <v>23.77</v>
      </c>
      <c r="W63" s="21">
        <v>11.26</v>
      </c>
      <c r="X63" s="21">
        <v>146.81</v>
      </c>
      <c r="Y63" s="35">
        <v>13.0</v>
      </c>
      <c r="Z63" s="21">
        <v>30.57</v>
      </c>
      <c r="AA63" s="21">
        <v>28.15</v>
      </c>
      <c r="AB63" s="21">
        <v>0.8</v>
      </c>
      <c r="AC63" s="21">
        <v>7.22</v>
      </c>
      <c r="AD63" s="21">
        <v>30.57</v>
      </c>
      <c r="AE63" s="21">
        <v>8.84</v>
      </c>
      <c r="AF63" s="28">
        <v>1.42E8</v>
      </c>
      <c r="AG63" s="23">
        <v>7.070815E7</v>
      </c>
      <c r="AH63" s="23">
        <v>1.414163E7</v>
      </c>
      <c r="AI63" s="23">
        <v>7070815.0</v>
      </c>
      <c r="AJ63" s="23">
        <v>4.9495705E7</v>
      </c>
      <c r="AK63" s="23">
        <v>4.242489E7</v>
      </c>
      <c r="AL63" s="21">
        <v>62.0</v>
      </c>
      <c r="AM63" s="21">
        <v>8.3</v>
      </c>
      <c r="AN63" s="21">
        <v>28.93</v>
      </c>
      <c r="AO63" s="21">
        <v>6.96</v>
      </c>
      <c r="AP63" s="21">
        <v>34.5</v>
      </c>
      <c r="AQ63" s="23">
        <v>49.73</v>
      </c>
      <c r="AR63" s="23">
        <v>9.95</v>
      </c>
      <c r="AS63" s="23">
        <v>4.97</v>
      </c>
      <c r="AT63" s="23">
        <v>34.81</v>
      </c>
      <c r="AU63" s="23">
        <v>29.84</v>
      </c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6"/>
      <c r="BQ63" s="36"/>
    </row>
    <row r="64">
      <c r="A64" s="31">
        <v>45573.0</v>
      </c>
      <c r="B64" s="31">
        <v>45580.0</v>
      </c>
      <c r="C64" s="32">
        <v>25082.15</v>
      </c>
      <c r="D64" s="33">
        <v>25142.3</v>
      </c>
      <c r="E64" s="32">
        <v>-0.24</v>
      </c>
      <c r="F64" s="32" t="s">
        <v>54</v>
      </c>
      <c r="G64" s="34" t="s">
        <v>78</v>
      </c>
      <c r="H64" s="21" t="s">
        <v>144</v>
      </c>
      <c r="I64" s="35" t="s">
        <v>49</v>
      </c>
      <c r="J64" s="21">
        <v>5.0</v>
      </c>
      <c r="K64" s="21">
        <v>226.0</v>
      </c>
      <c r="L64" s="35">
        <v>1.0</v>
      </c>
      <c r="M64" s="35">
        <v>95.0</v>
      </c>
      <c r="N64" s="21">
        <v>105.0</v>
      </c>
      <c r="O64" s="35">
        <v>10.53</v>
      </c>
      <c r="P64" s="21">
        <v>106.83</v>
      </c>
      <c r="Q64" s="35">
        <v>12.45</v>
      </c>
      <c r="R64" s="21">
        <v>185.86</v>
      </c>
      <c r="S64" s="35">
        <v>95.64</v>
      </c>
      <c r="T64" s="21">
        <v>26.72</v>
      </c>
      <c r="U64" s="21">
        <v>26.39</v>
      </c>
      <c r="V64" s="21">
        <v>33.63</v>
      </c>
      <c r="W64" s="21">
        <v>22.45</v>
      </c>
      <c r="X64" s="21">
        <v>100.53</v>
      </c>
      <c r="Y64" s="35">
        <v>32.0</v>
      </c>
      <c r="Z64" s="21">
        <v>25.87</v>
      </c>
      <c r="AA64" s="21">
        <v>36.08</v>
      </c>
      <c r="AB64" s="21">
        <v>0.78</v>
      </c>
      <c r="AC64" s="21">
        <v>11.45</v>
      </c>
      <c r="AD64" s="21">
        <v>25.87</v>
      </c>
      <c r="AE64" s="21">
        <v>6.14</v>
      </c>
      <c r="AF64" s="23">
        <v>2.78E7</v>
      </c>
      <c r="AG64" s="23">
        <v>1.39E7</v>
      </c>
      <c r="AH64" s="23">
        <v>2780000.0</v>
      </c>
      <c r="AI64" s="23">
        <v>1390000.0</v>
      </c>
      <c r="AJ64" s="23">
        <v>9730000.0</v>
      </c>
      <c r="AK64" s="23">
        <v>8340000.0</v>
      </c>
      <c r="AL64" s="21">
        <v>66.0</v>
      </c>
      <c r="AM64" s="21">
        <v>8.48</v>
      </c>
      <c r="AN64" s="21">
        <v>26.64</v>
      </c>
      <c r="AO64" s="21">
        <v>6.58</v>
      </c>
      <c r="AP64" s="21">
        <v>34.33</v>
      </c>
      <c r="AQ64" s="23">
        <v>50.0</v>
      </c>
      <c r="AR64" s="23">
        <v>10.0</v>
      </c>
      <c r="AS64" s="23">
        <v>5.0</v>
      </c>
      <c r="AT64" s="23">
        <v>35.0</v>
      </c>
      <c r="AU64" s="23">
        <v>30.0</v>
      </c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  <c r="BH64" s="36"/>
      <c r="BI64" s="36"/>
      <c r="BJ64" s="36"/>
      <c r="BK64" s="36"/>
      <c r="BL64" s="36"/>
      <c r="BM64" s="36"/>
      <c r="BN64" s="36"/>
      <c r="BO64" s="36"/>
      <c r="BP64" s="36"/>
      <c r="BQ64" s="36"/>
    </row>
    <row r="65">
      <c r="A65" s="31">
        <v>45561.0</v>
      </c>
      <c r="B65" s="31">
        <v>45569.0</v>
      </c>
      <c r="C65" s="32">
        <v>25290.6</v>
      </c>
      <c r="D65" s="33">
        <v>25266.0</v>
      </c>
      <c r="E65" s="32">
        <v>0.1</v>
      </c>
      <c r="F65" s="32" t="s">
        <v>61</v>
      </c>
      <c r="G65" s="34" t="s">
        <v>78</v>
      </c>
      <c r="H65" s="21" t="s">
        <v>145</v>
      </c>
      <c r="I65" s="35" t="s">
        <v>49</v>
      </c>
      <c r="J65" s="21">
        <v>10.0</v>
      </c>
      <c r="K65" s="21">
        <v>70.0</v>
      </c>
      <c r="L65" s="35">
        <v>584.0</v>
      </c>
      <c r="M65" s="35">
        <v>226.0</v>
      </c>
      <c r="N65" s="21">
        <v>193.5</v>
      </c>
      <c r="O65" s="35">
        <v>15.18</v>
      </c>
      <c r="P65" s="21">
        <v>203.17</v>
      </c>
      <c r="Q65" s="35">
        <v>20.93</v>
      </c>
      <c r="R65" s="21">
        <v>332.2</v>
      </c>
      <c r="S65" s="35">
        <v>97.74</v>
      </c>
      <c r="T65" s="21">
        <v>222.05</v>
      </c>
      <c r="U65" s="21">
        <v>50.53</v>
      </c>
      <c r="V65" s="21">
        <v>30.88</v>
      </c>
      <c r="W65" s="21">
        <v>7.41</v>
      </c>
      <c r="X65" s="21">
        <v>14719.91</v>
      </c>
      <c r="Y65" s="35">
        <v>17.04</v>
      </c>
      <c r="Z65" s="35">
        <v>18.52</v>
      </c>
      <c r="AA65" s="35">
        <v>20.6</v>
      </c>
      <c r="AB65" s="21">
        <v>5.7</v>
      </c>
      <c r="AC65" s="35">
        <v>10.79</v>
      </c>
      <c r="AD65" s="21">
        <v>3.6</v>
      </c>
      <c r="AE65" s="21">
        <v>3.72</v>
      </c>
      <c r="AF65" s="23">
        <v>9405000.0</v>
      </c>
      <c r="AG65" s="23">
        <v>4677500.0</v>
      </c>
      <c r="AH65" s="23">
        <v>935500.0</v>
      </c>
      <c r="AI65" s="23">
        <v>467750.0</v>
      </c>
      <c r="AJ65" s="23">
        <v>3274250.0</v>
      </c>
      <c r="AK65" s="23">
        <v>2806500.0</v>
      </c>
      <c r="AL65" s="21">
        <v>214.0</v>
      </c>
      <c r="AM65" s="21">
        <v>2.21</v>
      </c>
      <c r="AN65" s="21">
        <v>31.62</v>
      </c>
      <c r="AO65" s="21">
        <v>2.32</v>
      </c>
      <c r="AP65" s="21">
        <v>30.2</v>
      </c>
      <c r="AQ65" s="23">
        <v>49.73</v>
      </c>
      <c r="AR65" s="23">
        <v>9.95</v>
      </c>
      <c r="AS65" s="23">
        <v>4.97</v>
      </c>
      <c r="AT65" s="23">
        <v>34.81</v>
      </c>
      <c r="AU65" s="23">
        <v>29.84</v>
      </c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  <c r="BK65" s="36"/>
      <c r="BL65" s="36"/>
      <c r="BM65" s="36"/>
      <c r="BN65" s="36"/>
      <c r="BO65" s="36"/>
      <c r="BP65" s="36"/>
      <c r="BQ65" s="36"/>
    </row>
    <row r="66">
      <c r="A66" s="31">
        <v>45560.0</v>
      </c>
      <c r="B66" s="31">
        <v>45568.0</v>
      </c>
      <c r="C66" s="32">
        <v>25562.5</v>
      </c>
      <c r="D66" s="33">
        <v>25812.55</v>
      </c>
      <c r="E66" s="32">
        <v>-0.97</v>
      </c>
      <c r="F66" s="32" t="s">
        <v>61</v>
      </c>
      <c r="G66" s="34" t="s">
        <v>47</v>
      </c>
      <c r="H66" s="21" t="s">
        <v>146</v>
      </c>
      <c r="I66" s="35" t="s">
        <v>49</v>
      </c>
      <c r="J66" s="21">
        <v>10.0</v>
      </c>
      <c r="K66" s="21">
        <v>83.0</v>
      </c>
      <c r="L66" s="35">
        <v>2355.0</v>
      </c>
      <c r="M66" s="35">
        <v>455.0</v>
      </c>
      <c r="N66" s="21">
        <v>480.0</v>
      </c>
      <c r="O66" s="35">
        <v>118.18</v>
      </c>
      <c r="P66" s="21">
        <v>478.79</v>
      </c>
      <c r="Q66" s="35">
        <v>117.63</v>
      </c>
      <c r="R66" s="21">
        <v>850.25</v>
      </c>
      <c r="S66" s="35">
        <v>286.48</v>
      </c>
      <c r="T66" s="21">
        <v>150.87</v>
      </c>
      <c r="U66" s="21">
        <v>225.47</v>
      </c>
      <c r="V66" s="21">
        <v>179.41</v>
      </c>
      <c r="W66" s="21">
        <v>73.22</v>
      </c>
      <c r="X66" s="21">
        <v>173.07</v>
      </c>
      <c r="Y66" s="35">
        <v>18.96</v>
      </c>
      <c r="Z66" s="21">
        <v>20.84</v>
      </c>
      <c r="AA66" s="21">
        <v>16.29</v>
      </c>
      <c r="AB66" s="21">
        <v>1.41</v>
      </c>
      <c r="AC66" s="21">
        <v>6.53</v>
      </c>
      <c r="AD66" s="21">
        <v>20.84</v>
      </c>
      <c r="AE66" s="21">
        <v>3.01</v>
      </c>
      <c r="AF66" s="23">
        <v>1.5543E7</v>
      </c>
      <c r="AG66" s="23">
        <v>3107455.0</v>
      </c>
      <c r="AH66" s="23">
        <v>1591477.0</v>
      </c>
      <c r="AI66" s="23">
        <v>795738.0</v>
      </c>
      <c r="AJ66" s="23">
        <v>5498330.0</v>
      </c>
      <c r="AK66" s="23">
        <v>4550000.0</v>
      </c>
      <c r="AL66" s="21">
        <v>180.0</v>
      </c>
      <c r="AM66" s="21">
        <v>5.4</v>
      </c>
      <c r="AN66" s="21">
        <v>15.37</v>
      </c>
      <c r="AO66" s="21">
        <v>4.42</v>
      </c>
      <c r="AP66" s="21">
        <v>18.77</v>
      </c>
      <c r="AQ66" s="23">
        <v>19.99</v>
      </c>
      <c r="AR66" s="23">
        <v>10.24</v>
      </c>
      <c r="AS66" s="23">
        <v>5.12</v>
      </c>
      <c r="AT66" s="23">
        <v>35.37</v>
      </c>
      <c r="AU66" s="23">
        <v>29.27</v>
      </c>
      <c r="AV66" s="36"/>
      <c r="AW66" s="36"/>
      <c r="AX66" s="36"/>
      <c r="AY66" s="36"/>
      <c r="AZ66" s="36"/>
      <c r="BA66" s="36"/>
      <c r="BB66" s="36"/>
      <c r="BC66" s="36"/>
      <c r="BD66" s="36"/>
      <c r="BE66" s="36"/>
      <c r="BF66" s="36"/>
      <c r="BG66" s="36"/>
      <c r="BH66" s="36"/>
      <c r="BI66" s="36"/>
      <c r="BJ66" s="36"/>
      <c r="BK66" s="36"/>
      <c r="BL66" s="36"/>
      <c r="BM66" s="36"/>
      <c r="BN66" s="36"/>
      <c r="BO66" s="36"/>
      <c r="BP66" s="36"/>
      <c r="BQ66" s="36"/>
    </row>
    <row r="67">
      <c r="A67" s="31">
        <v>45558.0</v>
      </c>
      <c r="B67" s="31">
        <v>45565.0</v>
      </c>
      <c r="C67" s="32">
        <v>25966.75</v>
      </c>
      <c r="D67" s="33">
        <v>26175.0</v>
      </c>
      <c r="E67" s="32">
        <v>-0.8</v>
      </c>
      <c r="F67" s="32" t="s">
        <v>70</v>
      </c>
      <c r="G67" s="34" t="s">
        <v>52</v>
      </c>
      <c r="H67" s="21" t="s">
        <v>147</v>
      </c>
      <c r="I67" s="35" t="s">
        <v>49</v>
      </c>
      <c r="J67" s="21">
        <v>10.0</v>
      </c>
      <c r="K67" s="21">
        <v>529.0</v>
      </c>
      <c r="L67" s="35">
        <v>334.0</v>
      </c>
      <c r="M67" s="35">
        <v>153.0</v>
      </c>
      <c r="N67" s="21">
        <v>145.0</v>
      </c>
      <c r="O67" s="35">
        <v>20.83</v>
      </c>
      <c r="P67" s="21">
        <v>157.45</v>
      </c>
      <c r="Q67" s="35">
        <v>31.21</v>
      </c>
      <c r="R67" s="21">
        <v>136.09</v>
      </c>
      <c r="S67" s="35">
        <v>13.41</v>
      </c>
      <c r="T67" s="21">
        <v>232.54</v>
      </c>
      <c r="U67" s="21">
        <v>439.67</v>
      </c>
      <c r="V67" s="21">
        <v>364.54</v>
      </c>
      <c r="W67" s="21">
        <v>91.95</v>
      </c>
      <c r="X67" s="21">
        <v>104.45</v>
      </c>
      <c r="Y67" s="35">
        <v>11.0</v>
      </c>
      <c r="Z67" s="21">
        <v>23.59</v>
      </c>
      <c r="AA67" s="21">
        <v>19.91</v>
      </c>
      <c r="AB67" s="21">
        <v>0.53</v>
      </c>
      <c r="AC67" s="21">
        <v>11.89</v>
      </c>
      <c r="AD67" s="21">
        <v>21.38</v>
      </c>
      <c r="AE67" s="21">
        <v>5.12</v>
      </c>
      <c r="AF67" s="23">
        <v>1.257E7</v>
      </c>
      <c r="AG67" s="23">
        <v>6285000.0</v>
      </c>
      <c r="AH67" s="23">
        <v>1257000.0</v>
      </c>
      <c r="AI67" s="23">
        <v>628500.0</v>
      </c>
      <c r="AJ67" s="23">
        <v>4399500.0</v>
      </c>
      <c r="AK67" s="23">
        <v>3771000.0</v>
      </c>
      <c r="AL67" s="21">
        <v>28.0</v>
      </c>
      <c r="AM67" s="21">
        <v>22.09</v>
      </c>
      <c r="AN67" s="21">
        <v>23.95</v>
      </c>
      <c r="AO67" s="21">
        <v>17.63</v>
      </c>
      <c r="AP67" s="21">
        <v>30.01</v>
      </c>
      <c r="AQ67" s="23">
        <v>50.0</v>
      </c>
      <c r="AR67" s="23">
        <v>10.0</v>
      </c>
      <c r="AS67" s="23">
        <v>5.0</v>
      </c>
      <c r="AT67" s="23">
        <v>35.0</v>
      </c>
      <c r="AU67" s="23">
        <v>30.0</v>
      </c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  <c r="BK67" s="36"/>
      <c r="BL67" s="36"/>
      <c r="BM67" s="36"/>
      <c r="BN67" s="36"/>
      <c r="BO67" s="36"/>
      <c r="BP67" s="36"/>
      <c r="BQ67" s="36"/>
    </row>
    <row r="68">
      <c r="A68" s="31">
        <v>45551.0</v>
      </c>
      <c r="B68" s="31">
        <v>45559.0</v>
      </c>
      <c r="C68" s="32">
        <v>25962.05</v>
      </c>
      <c r="D68" s="33">
        <v>25930.15</v>
      </c>
      <c r="E68" s="32">
        <v>0.12</v>
      </c>
      <c r="F68" s="32" t="s">
        <v>70</v>
      </c>
      <c r="G68" s="34" t="s">
        <v>52</v>
      </c>
      <c r="H68" s="21" t="s">
        <v>148</v>
      </c>
      <c r="I68" s="35" t="s">
        <v>49</v>
      </c>
      <c r="J68" s="21">
        <v>10.0</v>
      </c>
      <c r="K68" s="21">
        <v>389.0</v>
      </c>
      <c r="L68" s="35">
        <v>1314.0</v>
      </c>
      <c r="M68" s="35">
        <v>394.0</v>
      </c>
      <c r="N68" s="21">
        <v>350.0</v>
      </c>
      <c r="O68" s="35">
        <v>33.08</v>
      </c>
      <c r="P68" s="21">
        <v>323.6</v>
      </c>
      <c r="Q68" s="35">
        <v>23.04</v>
      </c>
      <c r="R68" s="21">
        <v>234.84</v>
      </c>
      <c r="S68" s="35">
        <v>-10.71</v>
      </c>
      <c r="T68" s="21">
        <v>81.83</v>
      </c>
      <c r="U68" s="21">
        <v>69.27</v>
      </c>
      <c r="V68" s="21">
        <v>39.68</v>
      </c>
      <c r="W68" s="21">
        <v>9.07</v>
      </c>
      <c r="X68" s="21">
        <v>212.56</v>
      </c>
      <c r="Y68" s="35">
        <v>61.0</v>
      </c>
      <c r="Z68" s="21">
        <v>10.74</v>
      </c>
      <c r="AA68" s="21">
        <v>18.39</v>
      </c>
      <c r="AB68" s="21">
        <v>0.76</v>
      </c>
      <c r="AC68" s="21">
        <v>2.23</v>
      </c>
      <c r="AD68" s="21">
        <v>10.32</v>
      </c>
      <c r="AE68" s="21">
        <v>12.78</v>
      </c>
      <c r="AF68" s="23">
        <v>2.9597646E7</v>
      </c>
      <c r="AG68" s="23">
        <v>1.4503385E7</v>
      </c>
      <c r="AH68" s="23">
        <v>2900677.0</v>
      </c>
      <c r="AI68" s="23">
        <v>1450339.0</v>
      </c>
      <c r="AJ68" s="23">
        <v>1.0152371E7</v>
      </c>
      <c r="AK68" s="23">
        <v>8702031.0</v>
      </c>
      <c r="AL68" s="21">
        <v>38.0</v>
      </c>
      <c r="AM68" s="21">
        <v>3.1</v>
      </c>
      <c r="AN68" s="21">
        <v>125.54</v>
      </c>
      <c r="AO68" s="21">
        <v>2.94</v>
      </c>
      <c r="AP68" s="21">
        <v>132.28</v>
      </c>
      <c r="AQ68" s="23">
        <v>49.0</v>
      </c>
      <c r="AR68" s="23">
        <v>9.8</v>
      </c>
      <c r="AS68" s="23">
        <v>4.9</v>
      </c>
      <c r="AT68" s="23">
        <v>34.3</v>
      </c>
      <c r="AU68" s="23">
        <v>29.4</v>
      </c>
      <c r="AV68" s="36"/>
      <c r="AW68" s="36"/>
      <c r="AX68" s="36"/>
      <c r="AY68" s="36"/>
      <c r="AZ68" s="36"/>
      <c r="BA68" s="36"/>
      <c r="BB68" s="36"/>
      <c r="BC68" s="36"/>
      <c r="BD68" s="36"/>
      <c r="BE68" s="36"/>
      <c r="BF68" s="36"/>
      <c r="BG68" s="36"/>
      <c r="BH68" s="36"/>
      <c r="BI68" s="36"/>
      <c r="BJ68" s="36"/>
      <c r="BK68" s="36"/>
      <c r="BL68" s="36"/>
      <c r="BM68" s="36"/>
      <c r="BN68" s="36"/>
      <c r="BO68" s="36"/>
      <c r="BP68" s="36"/>
      <c r="BQ68" s="36"/>
    </row>
    <row r="69">
      <c r="A69" s="31">
        <v>45551.0</v>
      </c>
      <c r="B69" s="31">
        <v>45559.0</v>
      </c>
      <c r="C69" s="32">
        <v>25962.05</v>
      </c>
      <c r="D69" s="33">
        <v>25930.15</v>
      </c>
      <c r="E69" s="32">
        <v>0.12</v>
      </c>
      <c r="F69" s="32" t="s">
        <v>70</v>
      </c>
      <c r="G69" s="34" t="s">
        <v>83</v>
      </c>
      <c r="H69" s="21" t="s">
        <v>149</v>
      </c>
      <c r="I69" s="35" t="s">
        <v>49</v>
      </c>
      <c r="J69" s="21">
        <v>10.0</v>
      </c>
      <c r="K69" s="21">
        <v>334.0</v>
      </c>
      <c r="L69" s="35">
        <v>634.0</v>
      </c>
      <c r="M69" s="35">
        <v>191.0</v>
      </c>
      <c r="N69" s="21">
        <v>175.0</v>
      </c>
      <c r="O69" s="35">
        <v>36.72</v>
      </c>
      <c r="P69" s="21">
        <v>165.86</v>
      </c>
      <c r="Q69" s="35">
        <v>29.58</v>
      </c>
      <c r="R69" s="21">
        <v>190.17</v>
      </c>
      <c r="S69" s="35">
        <v>48.57</v>
      </c>
      <c r="T69" s="21">
        <v>136.85</v>
      </c>
      <c r="U69" s="21">
        <v>74.66</v>
      </c>
      <c r="V69" s="21">
        <v>64.19</v>
      </c>
      <c r="W69" s="21">
        <v>19.66</v>
      </c>
      <c r="X69" s="21">
        <v>177.41</v>
      </c>
      <c r="Y69" s="35">
        <v>26.7</v>
      </c>
      <c r="Z69" s="21">
        <v>42.75</v>
      </c>
      <c r="AA69" s="21">
        <v>42.88</v>
      </c>
      <c r="AB69" s="21">
        <v>0.12</v>
      </c>
      <c r="AC69" s="21">
        <v>11.0</v>
      </c>
      <c r="AD69" s="21">
        <v>42.75</v>
      </c>
      <c r="AE69" s="21">
        <v>11.3</v>
      </c>
      <c r="AF69" s="23">
        <v>3.2037601E7</v>
      </c>
      <c r="AG69" s="23">
        <v>1.59375E7</v>
      </c>
      <c r="AH69" s="23">
        <v>3187500.0</v>
      </c>
      <c r="AI69" s="23">
        <v>1593750.0</v>
      </c>
      <c r="AJ69" s="23">
        <v>1.115625E7</v>
      </c>
      <c r="AK69" s="23">
        <v>9562500.0</v>
      </c>
      <c r="AL69" s="21">
        <v>44.0</v>
      </c>
      <c r="AM69" s="21">
        <v>10.42</v>
      </c>
      <c r="AN69" s="21">
        <v>32.05</v>
      </c>
      <c r="AO69" s="21">
        <v>10.42</v>
      </c>
      <c r="AP69" s="21">
        <v>32.05</v>
      </c>
      <c r="AQ69" s="23">
        <v>49.75</v>
      </c>
      <c r="AR69" s="23">
        <v>9.95</v>
      </c>
      <c r="AS69" s="23">
        <v>4.97</v>
      </c>
      <c r="AT69" s="23">
        <v>34.82</v>
      </c>
      <c r="AU69" s="23">
        <v>29.85</v>
      </c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36"/>
      <c r="BL69" s="36"/>
      <c r="BM69" s="36"/>
      <c r="BN69" s="36"/>
      <c r="BO69" s="36"/>
      <c r="BP69" s="36"/>
      <c r="BQ69" s="36"/>
    </row>
    <row r="70">
      <c r="A70" s="31">
        <v>45548.0</v>
      </c>
      <c r="B70" s="31">
        <v>45559.0</v>
      </c>
      <c r="C70" s="32">
        <v>25962.05</v>
      </c>
      <c r="D70" s="33">
        <v>25930.15</v>
      </c>
      <c r="E70" s="32">
        <v>0.12</v>
      </c>
      <c r="F70" s="32" t="s">
        <v>70</v>
      </c>
      <c r="G70" s="34" t="s">
        <v>55</v>
      </c>
      <c r="H70" s="21" t="s">
        <v>150</v>
      </c>
      <c r="I70" s="35" t="s">
        <v>49</v>
      </c>
      <c r="J70" s="21">
        <v>5.0</v>
      </c>
      <c r="K70" s="21">
        <v>450.0</v>
      </c>
      <c r="L70" s="35">
        <v>162.0</v>
      </c>
      <c r="M70" s="35">
        <v>188.0</v>
      </c>
      <c r="N70" s="21">
        <v>171.0</v>
      </c>
      <c r="O70" s="35">
        <v>-0.58</v>
      </c>
      <c r="P70" s="21">
        <v>159.45</v>
      </c>
      <c r="Q70" s="35">
        <v>-7.3</v>
      </c>
      <c r="R70" s="21">
        <v>106.47</v>
      </c>
      <c r="S70" s="35">
        <v>-38.1</v>
      </c>
      <c r="T70" s="21">
        <v>212.42</v>
      </c>
      <c r="U70" s="21">
        <v>58.0</v>
      </c>
      <c r="V70" s="21">
        <v>36.96</v>
      </c>
      <c r="W70" s="21">
        <v>7.44</v>
      </c>
      <c r="X70" s="21">
        <v>26.96</v>
      </c>
      <c r="Y70" s="35">
        <v>9.0</v>
      </c>
      <c r="Z70" s="21">
        <v>43.73</v>
      </c>
      <c r="AA70" s="21">
        <v>25.65</v>
      </c>
      <c r="AB70" s="21">
        <v>1.86</v>
      </c>
      <c r="AC70" s="21">
        <v>7.3</v>
      </c>
      <c r="AD70" s="21">
        <v>37.46</v>
      </c>
      <c r="AE70" s="21">
        <v>30.76</v>
      </c>
      <c r="AF70" s="23">
        <v>2.8655813E7</v>
      </c>
      <c r="AG70" s="23">
        <v>1.4327906E7</v>
      </c>
      <c r="AH70" s="23">
        <v>2865581.0</v>
      </c>
      <c r="AI70" s="23">
        <v>1432791.0</v>
      </c>
      <c r="AJ70" s="23">
        <v>1.0029535E7</v>
      </c>
      <c r="AK70" s="23">
        <v>8596743.0</v>
      </c>
      <c r="AL70" s="21">
        <v>33.0</v>
      </c>
      <c r="AM70" s="21">
        <v>5.48</v>
      </c>
      <c r="AN70" s="21">
        <v>82.09</v>
      </c>
      <c r="AO70" s="21">
        <v>17.58</v>
      </c>
      <c r="AP70" s="21">
        <v>25.59</v>
      </c>
      <c r="AQ70" s="23">
        <v>50.0</v>
      </c>
      <c r="AR70" s="23">
        <v>10.0</v>
      </c>
      <c r="AS70" s="23">
        <v>5.0</v>
      </c>
      <c r="AT70" s="23">
        <v>35.0</v>
      </c>
      <c r="AU70" s="23">
        <v>30.0</v>
      </c>
      <c r="AV70" s="36"/>
      <c r="AW70" s="36"/>
      <c r="AX70" s="36"/>
      <c r="AY70" s="36"/>
      <c r="AZ70" s="36"/>
      <c r="BA70" s="36"/>
      <c r="BB70" s="36"/>
      <c r="BC70" s="36"/>
      <c r="BD70" s="36"/>
      <c r="BE70" s="36"/>
      <c r="BF70" s="36"/>
      <c r="BG70" s="36"/>
      <c r="BH70" s="36"/>
      <c r="BI70" s="36"/>
      <c r="BJ70" s="36"/>
      <c r="BK70" s="36"/>
      <c r="BL70" s="36"/>
      <c r="BM70" s="36"/>
      <c r="BN70" s="36"/>
      <c r="BO70" s="36"/>
      <c r="BP70" s="36"/>
      <c r="BQ70" s="36"/>
    </row>
    <row r="71">
      <c r="A71" s="31">
        <v>45545.0</v>
      </c>
      <c r="B71" s="31">
        <v>45552.0</v>
      </c>
      <c r="C71" s="32">
        <v>25360.25</v>
      </c>
      <c r="D71" s="33">
        <v>25377.2</v>
      </c>
      <c r="E71" s="32">
        <v>-0.07</v>
      </c>
      <c r="F71" s="32" t="s">
        <v>70</v>
      </c>
      <c r="G71" s="34" t="s">
        <v>71</v>
      </c>
      <c r="H71" s="21" t="s">
        <v>151</v>
      </c>
      <c r="I71" s="35" t="s">
        <v>69</v>
      </c>
      <c r="J71" s="21">
        <v>10.0</v>
      </c>
      <c r="K71" s="21">
        <v>206.0</v>
      </c>
      <c r="L71" s="35">
        <v>303.505</v>
      </c>
      <c r="M71" s="35">
        <v>783.5</v>
      </c>
      <c r="N71" s="21">
        <v>830.0</v>
      </c>
      <c r="O71" s="35">
        <v>72.92</v>
      </c>
      <c r="P71" s="21">
        <v>793.3</v>
      </c>
      <c r="Q71" s="35">
        <v>65.27</v>
      </c>
      <c r="R71" s="21">
        <v>584.0</v>
      </c>
      <c r="S71" s="35">
        <v>21.67</v>
      </c>
      <c r="T71" s="21">
        <v>188.79</v>
      </c>
      <c r="U71" s="21">
        <v>343.45</v>
      </c>
      <c r="V71" s="21">
        <v>243.2</v>
      </c>
      <c r="W71" s="21">
        <v>68.93</v>
      </c>
      <c r="X71" s="21">
        <v>175.31</v>
      </c>
      <c r="Y71" s="35">
        <v>4.54</v>
      </c>
      <c r="Z71" s="21">
        <v>27.26</v>
      </c>
      <c r="AA71" s="21">
        <v>28.42</v>
      </c>
      <c r="AB71" s="35">
        <v>74.0</v>
      </c>
      <c r="AC71" s="21">
        <v>6.87</v>
      </c>
      <c r="AD71" s="21">
        <v>23.64</v>
      </c>
      <c r="AE71" s="21">
        <v>4.21</v>
      </c>
      <c r="AF71" s="23">
        <v>2.2916666E7</v>
      </c>
      <c r="AG71" s="23">
        <v>1.1458332E7</v>
      </c>
      <c r="AH71" s="23">
        <v>2291667.0</v>
      </c>
      <c r="AI71" s="23">
        <v>1145833.0</v>
      </c>
      <c r="AJ71" s="23">
        <v>8020834.0</v>
      </c>
      <c r="AK71" s="23">
        <v>6874999.0</v>
      </c>
      <c r="AL71" s="21">
        <v>72.0</v>
      </c>
      <c r="AM71" s="21">
        <v>11.57</v>
      </c>
      <c r="AN71" s="21">
        <v>17.8</v>
      </c>
      <c r="AO71" s="21">
        <v>9.95</v>
      </c>
      <c r="AP71" s="21">
        <v>20.7</v>
      </c>
      <c r="AQ71" s="23">
        <v>50.0</v>
      </c>
      <c r="AR71" s="23">
        <v>10.0</v>
      </c>
      <c r="AS71" s="23">
        <v>5.0</v>
      </c>
      <c r="AT71" s="23">
        <v>35.0</v>
      </c>
      <c r="AU71" s="23">
        <v>30.0</v>
      </c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  <c r="BK71" s="36"/>
      <c r="BL71" s="36"/>
      <c r="BM71" s="36"/>
      <c r="BN71" s="36"/>
      <c r="BO71" s="36"/>
      <c r="BP71" s="36"/>
      <c r="BQ71" s="36"/>
    </row>
    <row r="72">
      <c r="A72" s="31">
        <v>45544.0</v>
      </c>
      <c r="B72" s="31">
        <v>45551.0</v>
      </c>
      <c r="C72" s="32">
        <v>25422.95</v>
      </c>
      <c r="D72" s="33">
        <v>25343.55</v>
      </c>
      <c r="E72" s="32">
        <v>0.31</v>
      </c>
      <c r="F72" s="32" t="s">
        <v>70</v>
      </c>
      <c r="G72" s="34" t="s">
        <v>55</v>
      </c>
      <c r="H72" s="21" t="s">
        <v>152</v>
      </c>
      <c r="I72" s="35" t="s">
        <v>49</v>
      </c>
      <c r="J72" s="21">
        <v>5.0</v>
      </c>
      <c r="K72" s="21">
        <v>900.0</v>
      </c>
      <c r="L72" s="35">
        <v>24.503</v>
      </c>
      <c r="M72" s="35">
        <v>264.5</v>
      </c>
      <c r="N72" s="21">
        <v>240.0</v>
      </c>
      <c r="O72" s="35">
        <v>0.0</v>
      </c>
      <c r="P72" s="21">
        <v>259.81</v>
      </c>
      <c r="Q72" s="35">
        <v>8.25</v>
      </c>
      <c r="R72" s="21">
        <v>175.55</v>
      </c>
      <c r="S72" s="35">
        <v>-26.85</v>
      </c>
      <c r="T72" s="21">
        <v>197.29</v>
      </c>
      <c r="U72" s="21">
        <v>148.31</v>
      </c>
      <c r="V72" s="21">
        <v>96.11</v>
      </c>
      <c r="W72" s="21">
        <v>19.46</v>
      </c>
      <c r="X72" s="21">
        <v>262.65</v>
      </c>
      <c r="Y72" s="35">
        <v>13.0</v>
      </c>
      <c r="Z72" s="21">
        <v>19.4</v>
      </c>
      <c r="AA72" s="21">
        <v>25.79</v>
      </c>
      <c r="AB72" s="21">
        <v>-0.11</v>
      </c>
      <c r="AC72" s="35">
        <v>7.22</v>
      </c>
      <c r="AD72" s="21">
        <v>22.26</v>
      </c>
      <c r="AE72" s="35">
        <v>2.7</v>
      </c>
      <c r="AF72" s="23">
        <v>2.0833332E7</v>
      </c>
      <c r="AG72" s="23">
        <v>1.0416665E7</v>
      </c>
      <c r="AH72" s="23">
        <v>2083334.0</v>
      </c>
      <c r="AI72" s="23">
        <v>1041666.0</v>
      </c>
      <c r="AJ72" s="23">
        <v>7291667.0</v>
      </c>
      <c r="AK72" s="23">
        <v>6249999.0</v>
      </c>
      <c r="AL72" s="21">
        <v>16.0</v>
      </c>
      <c r="AM72" s="21">
        <v>59.84</v>
      </c>
      <c r="AN72" s="21">
        <v>15.04</v>
      </c>
      <c r="AO72" s="21">
        <v>51.85</v>
      </c>
      <c r="AP72" s="21">
        <v>17.36</v>
      </c>
      <c r="AQ72" s="23">
        <v>50.0</v>
      </c>
      <c r="AR72" s="23">
        <v>10.0</v>
      </c>
      <c r="AS72" s="23">
        <v>5.0</v>
      </c>
      <c r="AT72" s="23">
        <v>35.0</v>
      </c>
      <c r="AU72" s="23">
        <v>30.0</v>
      </c>
      <c r="AV72" s="36"/>
      <c r="AW72" s="36"/>
      <c r="AX72" s="36"/>
      <c r="AY72" s="36"/>
      <c r="AZ72" s="36"/>
      <c r="BA72" s="36"/>
      <c r="BB72" s="36"/>
      <c r="BC72" s="36"/>
      <c r="BD72" s="36"/>
      <c r="BE72" s="36"/>
      <c r="BF72" s="36"/>
      <c r="BG72" s="36"/>
      <c r="BH72" s="36"/>
      <c r="BI72" s="36"/>
      <c r="BJ72" s="36"/>
      <c r="BK72" s="36"/>
      <c r="BL72" s="36"/>
      <c r="BM72" s="36"/>
      <c r="BN72" s="36"/>
      <c r="BO72" s="36"/>
      <c r="BP72" s="36"/>
      <c r="BQ72" s="36"/>
    </row>
    <row r="73">
      <c r="A73" s="31">
        <v>45544.0</v>
      </c>
      <c r="B73" s="31">
        <v>45551.0</v>
      </c>
      <c r="C73" s="32">
        <v>25422.95</v>
      </c>
      <c r="D73" s="33">
        <v>25343.55</v>
      </c>
      <c r="E73" s="32">
        <v>0.31</v>
      </c>
      <c r="F73" s="32" t="s">
        <v>70</v>
      </c>
      <c r="G73" s="34" t="s">
        <v>98</v>
      </c>
      <c r="H73" s="21" t="s">
        <v>153</v>
      </c>
      <c r="I73" s="35" t="s">
        <v>49</v>
      </c>
      <c r="J73" s="21">
        <v>5.0</v>
      </c>
      <c r="K73" s="21">
        <v>160.0</v>
      </c>
      <c r="L73" s="35">
        <v>303.0</v>
      </c>
      <c r="M73" s="35">
        <v>256.0</v>
      </c>
      <c r="N73" s="21">
        <v>228.0</v>
      </c>
      <c r="O73" s="35">
        <v>0.88</v>
      </c>
      <c r="P73" s="21">
        <v>239.4</v>
      </c>
      <c r="Q73" s="35">
        <v>5.93</v>
      </c>
      <c r="R73" s="21">
        <v>149.04</v>
      </c>
      <c r="S73" s="35">
        <v>-34.05</v>
      </c>
      <c r="T73" s="21">
        <v>64.12</v>
      </c>
      <c r="U73" s="21">
        <v>389.28</v>
      </c>
      <c r="V73" s="21">
        <v>296.85</v>
      </c>
      <c r="W73" s="21">
        <v>61.59</v>
      </c>
      <c r="X73" s="21">
        <v>64.91</v>
      </c>
      <c r="Y73" s="35">
        <v>20.41</v>
      </c>
      <c r="Z73" s="21">
        <v>58.88</v>
      </c>
      <c r="AA73" s="21">
        <v>64.46</v>
      </c>
      <c r="AB73" s="21">
        <v>0.67</v>
      </c>
      <c r="AC73" s="21">
        <v>4.83</v>
      </c>
      <c r="AD73" s="21">
        <v>45.49</v>
      </c>
      <c r="AE73" s="21">
        <v>8.16</v>
      </c>
      <c r="AF73" s="23">
        <v>1.0176991E7</v>
      </c>
      <c r="AG73" s="23">
        <v>5088495.0</v>
      </c>
      <c r="AH73" s="23">
        <v>1017699.0</v>
      </c>
      <c r="AI73" s="23">
        <v>508850.0</v>
      </c>
      <c r="AJ73" s="23">
        <v>3561947.0</v>
      </c>
      <c r="AK73" s="23">
        <v>3053097.0</v>
      </c>
      <c r="AL73" s="21">
        <v>90.0</v>
      </c>
      <c r="AM73" s="21">
        <v>8.92</v>
      </c>
      <c r="AN73" s="21">
        <v>17.94</v>
      </c>
      <c r="AO73" s="21">
        <v>7.46</v>
      </c>
      <c r="AP73" s="21">
        <v>21.46</v>
      </c>
      <c r="AQ73" s="23">
        <v>50.0</v>
      </c>
      <c r="AR73" s="23">
        <v>10.0</v>
      </c>
      <c r="AS73" s="23">
        <v>5.0</v>
      </c>
      <c r="AT73" s="23">
        <v>35.0</v>
      </c>
      <c r="AU73" s="23">
        <v>30.0</v>
      </c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6"/>
      <c r="BL73" s="36"/>
      <c r="BM73" s="36"/>
      <c r="BN73" s="36"/>
      <c r="BO73" s="36"/>
      <c r="BP73" s="36"/>
      <c r="BQ73" s="36"/>
    </row>
    <row r="74">
      <c r="A74" s="31">
        <v>45544.0</v>
      </c>
      <c r="B74" s="31">
        <v>45551.0</v>
      </c>
      <c r="C74" s="32">
        <v>25422.95</v>
      </c>
      <c r="D74" s="33">
        <v>25343.55</v>
      </c>
      <c r="E74" s="32">
        <v>0.31</v>
      </c>
      <c r="F74" s="32" t="s">
        <v>70</v>
      </c>
      <c r="G74" s="34" t="s">
        <v>52</v>
      </c>
      <c r="H74" s="21" t="s">
        <v>154</v>
      </c>
      <c r="I74" s="35" t="s">
        <v>69</v>
      </c>
      <c r="J74" s="21">
        <v>10.0</v>
      </c>
      <c r="K74" s="21">
        <v>108.0</v>
      </c>
      <c r="L74" s="35">
        <v>725.0</v>
      </c>
      <c r="M74" s="35">
        <v>142.0</v>
      </c>
      <c r="N74" s="21">
        <v>150.0</v>
      </c>
      <c r="O74" s="35">
        <v>114.29</v>
      </c>
      <c r="P74" s="21">
        <v>165.0</v>
      </c>
      <c r="Q74" s="35">
        <v>135.71</v>
      </c>
      <c r="R74" s="21">
        <v>113.87</v>
      </c>
      <c r="S74" s="35">
        <v>62.67</v>
      </c>
      <c r="T74" s="21">
        <v>138.75</v>
      </c>
      <c r="U74" s="21">
        <v>266.49</v>
      </c>
      <c r="V74" s="21">
        <v>224.38</v>
      </c>
      <c r="W74" s="21">
        <v>130.99</v>
      </c>
      <c r="X74" s="21">
        <v>68.91</v>
      </c>
      <c r="Y74" s="35">
        <v>22.6</v>
      </c>
      <c r="Z74" s="21">
        <v>17.36</v>
      </c>
      <c r="AA74" s="21">
        <v>25.93</v>
      </c>
      <c r="AB74" s="35">
        <v>5.65</v>
      </c>
      <c r="AC74" s="35">
        <v>22.6</v>
      </c>
      <c r="AD74" s="21">
        <v>18.98</v>
      </c>
      <c r="AE74" s="21">
        <v>15.81</v>
      </c>
      <c r="AF74" s="28">
        <v>9.37E8</v>
      </c>
      <c r="AG74" s="28">
        <v>4.19E8</v>
      </c>
      <c r="AH74" s="23">
        <v>8.3714286E7</v>
      </c>
      <c r="AI74" s="23">
        <v>4.1857143E7</v>
      </c>
      <c r="AJ74" s="28">
        <v>2.93E8</v>
      </c>
      <c r="AK74" s="28">
        <v>2.51E8</v>
      </c>
      <c r="AL74" s="21">
        <v>138.0</v>
      </c>
      <c r="AM74" s="21">
        <v>1.28</v>
      </c>
      <c r="AN74" s="21">
        <v>84.59</v>
      </c>
      <c r="AO74" s="21">
        <v>1.28</v>
      </c>
      <c r="AP74" s="21">
        <v>84.59</v>
      </c>
      <c r="AQ74" s="23">
        <v>44.66</v>
      </c>
      <c r="AR74" s="23">
        <v>8.93</v>
      </c>
      <c r="AS74" s="23">
        <v>4.47</v>
      </c>
      <c r="AT74" s="23">
        <v>31.27</v>
      </c>
      <c r="AU74" s="23">
        <v>26.8</v>
      </c>
      <c r="AV74" s="36"/>
      <c r="AW74" s="36"/>
      <c r="AX74" s="36"/>
      <c r="AY74" s="36"/>
      <c r="AZ74" s="36"/>
      <c r="BA74" s="36"/>
      <c r="BB74" s="36"/>
      <c r="BC74" s="36"/>
      <c r="BD74" s="36"/>
      <c r="BE74" s="36"/>
      <c r="BF74" s="36"/>
      <c r="BG74" s="36"/>
      <c r="BH74" s="36"/>
      <c r="BI74" s="36"/>
      <c r="BJ74" s="36"/>
      <c r="BK74" s="36"/>
      <c r="BL74" s="36"/>
      <c r="BM74" s="36"/>
      <c r="BN74" s="36"/>
      <c r="BO74" s="36"/>
      <c r="BP74" s="36"/>
      <c r="BQ74" s="36"/>
    </row>
    <row r="75">
      <c r="A75" s="31">
        <v>45540.0</v>
      </c>
      <c r="B75" s="31">
        <v>45547.0</v>
      </c>
      <c r="C75" s="32">
        <v>24995.7</v>
      </c>
      <c r="D75" s="33">
        <v>24951.8</v>
      </c>
      <c r="E75" s="32">
        <v>0.18</v>
      </c>
      <c r="F75" s="32" t="s">
        <v>70</v>
      </c>
      <c r="G75" s="34" t="s">
        <v>47</v>
      </c>
      <c r="H75" s="21" t="s">
        <v>155</v>
      </c>
      <c r="I75" s="35" t="s">
        <v>49</v>
      </c>
      <c r="J75" s="21">
        <v>10.0</v>
      </c>
      <c r="K75" s="21">
        <v>465.0</v>
      </c>
      <c r="L75" s="35">
        <v>274.0</v>
      </c>
      <c r="M75" s="35">
        <v>110.0</v>
      </c>
      <c r="N75" s="21">
        <v>90.0</v>
      </c>
      <c r="O75" s="35">
        <v>8.43</v>
      </c>
      <c r="P75" s="21">
        <v>97.54</v>
      </c>
      <c r="Q75" s="35">
        <v>17.52</v>
      </c>
      <c r="R75" s="21">
        <v>53.16</v>
      </c>
      <c r="S75" s="35">
        <v>-35.95</v>
      </c>
      <c r="T75" s="21">
        <v>19.3</v>
      </c>
      <c r="U75" s="21">
        <v>5.32</v>
      </c>
      <c r="V75" s="21">
        <v>3.39</v>
      </c>
      <c r="W75" s="21">
        <v>2.31</v>
      </c>
      <c r="X75" s="21">
        <v>3170.74</v>
      </c>
      <c r="Y75" s="35">
        <v>11.5</v>
      </c>
      <c r="Z75" s="35">
        <v>20.8</v>
      </c>
      <c r="AA75" s="35">
        <v>16.3</v>
      </c>
      <c r="AB75" s="35">
        <v>1.4</v>
      </c>
      <c r="AC75" s="35">
        <v>6.7</v>
      </c>
      <c r="AD75" s="21">
        <v>-8.65</v>
      </c>
      <c r="AE75" s="21">
        <v>6.49</v>
      </c>
      <c r="AF75" s="23">
        <v>2.044E7</v>
      </c>
      <c r="AG75" s="23">
        <v>1.022E7</v>
      </c>
      <c r="AH75" s="23">
        <v>2044000.0</v>
      </c>
      <c r="AI75" s="23">
        <v>1022000.0</v>
      </c>
      <c r="AJ75" s="23">
        <v>7154000.0</v>
      </c>
      <c r="AK75" s="23">
        <v>6132000.0</v>
      </c>
      <c r="AL75" s="21">
        <v>32.0</v>
      </c>
      <c r="AM75" s="21">
        <v>-6.65</v>
      </c>
      <c r="AN75" s="21">
        <v>-69.91</v>
      </c>
      <c r="AO75" s="21">
        <v>-6.19</v>
      </c>
      <c r="AP75" s="21">
        <v>-75.09</v>
      </c>
      <c r="AQ75" s="23">
        <v>50.0</v>
      </c>
      <c r="AR75" s="23">
        <v>10.0</v>
      </c>
      <c r="AS75" s="23">
        <v>5.0</v>
      </c>
      <c r="AT75" s="23">
        <v>35.0</v>
      </c>
      <c r="AU75" s="23">
        <v>30.0</v>
      </c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36"/>
      <c r="BH75" s="36"/>
      <c r="BI75" s="36"/>
      <c r="BJ75" s="36"/>
      <c r="BK75" s="36"/>
      <c r="BL75" s="36"/>
      <c r="BM75" s="36"/>
      <c r="BN75" s="36"/>
      <c r="BO75" s="36"/>
      <c r="BP75" s="36"/>
      <c r="BQ75" s="36"/>
    </row>
    <row r="76">
      <c r="A76" s="31">
        <v>45537.0</v>
      </c>
      <c r="B76" s="31">
        <v>45544.0</v>
      </c>
      <c r="C76" s="32">
        <v>24833.5</v>
      </c>
      <c r="D76" s="33">
        <v>24868.5</v>
      </c>
      <c r="E76" s="32">
        <v>-0.14</v>
      </c>
      <c r="F76" s="32" t="s">
        <v>61</v>
      </c>
      <c r="G76" s="34" t="s">
        <v>47</v>
      </c>
      <c r="H76" s="21" t="s">
        <v>156</v>
      </c>
      <c r="I76" s="35" t="s">
        <v>49</v>
      </c>
      <c r="J76" s="21">
        <v>10.0</v>
      </c>
      <c r="K76" s="21">
        <v>76.0</v>
      </c>
      <c r="L76" s="35">
        <v>2454.0</v>
      </c>
      <c r="M76" s="35">
        <v>774.0</v>
      </c>
      <c r="N76" s="21">
        <v>721.1</v>
      </c>
      <c r="O76" s="35">
        <v>36.31</v>
      </c>
      <c r="P76" s="21">
        <v>787.05</v>
      </c>
      <c r="Q76" s="35">
        <v>48.78</v>
      </c>
      <c r="R76" s="21">
        <v>825.35</v>
      </c>
      <c r="S76" s="35">
        <v>56.02</v>
      </c>
      <c r="T76" s="21">
        <v>5.53</v>
      </c>
      <c r="U76" s="21">
        <v>2.75</v>
      </c>
      <c r="V76" s="21">
        <v>2.03</v>
      </c>
      <c r="W76" s="21">
        <v>4.05</v>
      </c>
      <c r="X76" s="21">
        <v>2019.34</v>
      </c>
      <c r="Y76" s="35">
        <v>19.9</v>
      </c>
      <c r="Z76" s="35">
        <v>23.3</v>
      </c>
      <c r="AA76" s="35">
        <v>21.2</v>
      </c>
      <c r="AB76" s="35">
        <v>0.53</v>
      </c>
      <c r="AC76" s="35">
        <v>11.0</v>
      </c>
      <c r="AD76" s="21">
        <v>-78.46</v>
      </c>
      <c r="AE76" s="21">
        <v>13.72</v>
      </c>
      <c r="AF76" s="23">
        <v>3174416.0</v>
      </c>
      <c r="AG76" s="23">
        <v>1584310.0</v>
      </c>
      <c r="AH76" s="23">
        <v>316862.0</v>
      </c>
      <c r="AI76" s="23">
        <v>158431.0</v>
      </c>
      <c r="AJ76" s="23">
        <v>1109017.0</v>
      </c>
      <c r="AK76" s="23">
        <v>950586.0</v>
      </c>
      <c r="AL76" s="21">
        <v>195.0</v>
      </c>
      <c r="AM76" s="21">
        <v>-4.3</v>
      </c>
      <c r="AN76" s="21">
        <v>-17.69</v>
      </c>
      <c r="AO76" s="21">
        <v>-3.59</v>
      </c>
      <c r="AP76" s="21">
        <v>-21.16</v>
      </c>
      <c r="AQ76" s="23">
        <v>49.91</v>
      </c>
      <c r="AR76" s="23">
        <v>9.98</v>
      </c>
      <c r="AS76" s="23">
        <v>4.99</v>
      </c>
      <c r="AT76" s="23">
        <v>34.94</v>
      </c>
      <c r="AU76" s="23">
        <v>29.95</v>
      </c>
      <c r="AV76" s="36"/>
      <c r="AW76" s="36"/>
      <c r="AX76" s="36"/>
      <c r="AY76" s="36"/>
      <c r="AZ76" s="36"/>
      <c r="BA76" s="36"/>
      <c r="BB76" s="36"/>
      <c r="BC76" s="36"/>
      <c r="BD76" s="36"/>
      <c r="BE76" s="36"/>
      <c r="BF76" s="36"/>
      <c r="BG76" s="36"/>
      <c r="BH76" s="36"/>
      <c r="BI76" s="36"/>
      <c r="BJ76" s="36"/>
      <c r="BK76" s="36"/>
      <c r="BL76" s="36"/>
      <c r="BM76" s="36"/>
      <c r="BN76" s="36"/>
      <c r="BO76" s="36"/>
      <c r="BP76" s="36"/>
      <c r="BQ76" s="36"/>
    </row>
    <row r="77">
      <c r="A77" s="40">
        <v>45538.0</v>
      </c>
      <c r="B77" s="31">
        <v>45541.0</v>
      </c>
      <c r="C77" s="32">
        <v>24976.7</v>
      </c>
      <c r="D77" s="33">
        <v>25144.8</v>
      </c>
      <c r="E77" s="32">
        <v>-0.67</v>
      </c>
      <c r="F77" s="32" t="s">
        <v>70</v>
      </c>
      <c r="G77" s="34" t="s">
        <v>55</v>
      </c>
      <c r="H77" s="21" t="s">
        <v>157</v>
      </c>
      <c r="I77" s="35" t="s">
        <v>49</v>
      </c>
      <c r="J77" s="21">
        <v>5.0</v>
      </c>
      <c r="K77" s="21">
        <v>401.0</v>
      </c>
      <c r="L77" s="35">
        <v>332.0</v>
      </c>
      <c r="M77" s="35">
        <v>422.0</v>
      </c>
      <c r="N77" s="21">
        <v>389.0</v>
      </c>
      <c r="O77" s="35">
        <v>0.0</v>
      </c>
      <c r="P77" s="21">
        <v>400.0</v>
      </c>
      <c r="Q77" s="35">
        <v>2.83</v>
      </c>
      <c r="R77" s="21">
        <v>276.6</v>
      </c>
      <c r="S77" s="35">
        <v>-28.89</v>
      </c>
      <c r="T77" s="21">
        <v>31.26</v>
      </c>
      <c r="U77" s="21">
        <v>16.28</v>
      </c>
      <c r="V77" s="21">
        <v>11.92</v>
      </c>
      <c r="W77" s="21">
        <v>3.82</v>
      </c>
      <c r="X77" s="21">
        <v>906.41</v>
      </c>
      <c r="Y77" s="35">
        <v>14.6</v>
      </c>
      <c r="Z77" s="21">
        <v>33.57</v>
      </c>
      <c r="AA77" s="21">
        <v>31.98</v>
      </c>
      <c r="AB77" s="21">
        <v>1.17</v>
      </c>
      <c r="AC77" s="21">
        <v>10.05</v>
      </c>
      <c r="AD77" s="21">
        <v>33.57</v>
      </c>
      <c r="AE77" s="21">
        <v>6.95</v>
      </c>
      <c r="AF77" s="23">
        <v>2.1459488E7</v>
      </c>
      <c r="AG77" s="23">
        <v>1.071562E7</v>
      </c>
      <c r="AH77" s="23">
        <v>2143124.0</v>
      </c>
      <c r="AI77" s="23">
        <v>1071562.0</v>
      </c>
      <c r="AJ77" s="23">
        <v>7500934.0</v>
      </c>
      <c r="AK77" s="23">
        <v>6429372.0</v>
      </c>
      <c r="AL77" s="21">
        <v>37.0</v>
      </c>
      <c r="AM77" s="21">
        <v>19.4</v>
      </c>
      <c r="AN77" s="21">
        <v>20.67</v>
      </c>
      <c r="AO77" s="21">
        <v>17.5</v>
      </c>
      <c r="AP77" s="21">
        <v>22.91</v>
      </c>
      <c r="AQ77" s="23">
        <v>49.93</v>
      </c>
      <c r="AR77" s="23">
        <v>9.99</v>
      </c>
      <c r="AS77" s="23">
        <v>4.99</v>
      </c>
      <c r="AT77" s="23">
        <v>34.95</v>
      </c>
      <c r="AU77" s="23">
        <v>29.96</v>
      </c>
      <c r="AV77" s="36"/>
      <c r="AW77" s="36"/>
      <c r="AX77" s="36"/>
      <c r="AY77" s="36"/>
      <c r="AZ77" s="36"/>
      <c r="BA77" s="36"/>
      <c r="BB77" s="36"/>
      <c r="BC77" s="36"/>
      <c r="BD77" s="36"/>
      <c r="BE77" s="36"/>
      <c r="BF77" s="36"/>
      <c r="BG77" s="36"/>
      <c r="BH77" s="36"/>
      <c r="BI77" s="36"/>
      <c r="BJ77" s="36"/>
      <c r="BK77" s="36"/>
      <c r="BL77" s="36"/>
      <c r="BM77" s="36"/>
      <c r="BN77" s="36"/>
      <c r="BO77" s="36"/>
      <c r="BP77" s="36"/>
      <c r="BQ77" s="36"/>
    </row>
    <row r="78">
      <c r="A78" s="31">
        <v>45532.0</v>
      </c>
      <c r="B78" s="31">
        <v>45539.0</v>
      </c>
      <c r="C78" s="32">
        <v>25118.8</v>
      </c>
      <c r="D78" s="33">
        <v>25268.85</v>
      </c>
      <c r="E78" s="32">
        <v>-0.59</v>
      </c>
      <c r="F78" s="32" t="s">
        <v>70</v>
      </c>
      <c r="G78" s="34" t="s">
        <v>55</v>
      </c>
      <c r="H78" s="21" t="s">
        <v>158</v>
      </c>
      <c r="I78" s="35" t="s">
        <v>49</v>
      </c>
      <c r="J78" s="21">
        <v>2.0</v>
      </c>
      <c r="K78" s="21">
        <v>679.0</v>
      </c>
      <c r="L78" s="35">
        <v>1264.0</v>
      </c>
      <c r="M78" s="35">
        <v>460.0</v>
      </c>
      <c r="N78" s="21">
        <v>390.0</v>
      </c>
      <c r="O78" s="35">
        <v>16.77</v>
      </c>
      <c r="P78" s="21">
        <v>443.15</v>
      </c>
      <c r="Q78" s="35">
        <v>32.68</v>
      </c>
      <c r="R78" s="21">
        <v>308.3</v>
      </c>
      <c r="S78" s="35">
        <v>-7.69</v>
      </c>
      <c r="T78" s="21">
        <v>90.09</v>
      </c>
      <c r="U78" s="21">
        <v>47.43</v>
      </c>
      <c r="V78" s="21">
        <v>31.45</v>
      </c>
      <c r="W78" s="21">
        <v>20.8</v>
      </c>
      <c r="X78" s="21">
        <v>709.5</v>
      </c>
      <c r="Y78" s="35">
        <v>16.23</v>
      </c>
      <c r="Z78" s="21">
        <v>0.11</v>
      </c>
      <c r="AA78" s="21">
        <v>3.37</v>
      </c>
      <c r="AB78" s="21">
        <v>0.69</v>
      </c>
      <c r="AC78" s="21">
        <v>0.02</v>
      </c>
      <c r="AD78" s="21">
        <v>-0.57</v>
      </c>
      <c r="AE78" s="21">
        <v>13.69</v>
      </c>
      <c r="AF78" s="23">
        <v>1.8E7</v>
      </c>
      <c r="AG78" s="23">
        <v>9000000.0</v>
      </c>
      <c r="AH78" s="23">
        <v>1800000.0</v>
      </c>
      <c r="AI78" s="23">
        <v>900000.0</v>
      </c>
      <c r="AJ78" s="23">
        <v>6300000.0</v>
      </c>
      <c r="AK78" s="23">
        <v>5400000.0</v>
      </c>
      <c r="AL78" s="21">
        <v>22.0</v>
      </c>
      <c r="AM78" s="35">
        <v>10.42</v>
      </c>
      <c r="AN78" s="21">
        <v>29.79</v>
      </c>
      <c r="AO78" s="35">
        <v>6.93</v>
      </c>
      <c r="AP78" s="35">
        <v>25.0</v>
      </c>
      <c r="AQ78" s="23">
        <v>50.0</v>
      </c>
      <c r="AR78" s="23">
        <v>10.0</v>
      </c>
      <c r="AS78" s="23">
        <v>5.0</v>
      </c>
      <c r="AT78" s="23">
        <v>35.0</v>
      </c>
      <c r="AU78" s="23">
        <v>30.0</v>
      </c>
      <c r="AV78" s="36"/>
      <c r="AW78" s="36"/>
      <c r="AX78" s="36"/>
      <c r="AY78" s="36"/>
      <c r="AZ78" s="36"/>
      <c r="BA78" s="36"/>
      <c r="BB78" s="36"/>
      <c r="BC78" s="36"/>
      <c r="BD78" s="36"/>
      <c r="BE78" s="36"/>
      <c r="BF78" s="36"/>
      <c r="BG78" s="36"/>
      <c r="BH78" s="36"/>
      <c r="BI78" s="36"/>
      <c r="BJ78" s="36"/>
      <c r="BK78" s="36"/>
      <c r="BL78" s="36"/>
      <c r="BM78" s="36"/>
      <c r="BN78" s="36"/>
      <c r="BO78" s="36"/>
      <c r="BP78" s="36"/>
      <c r="BQ78" s="36"/>
    </row>
    <row r="79">
      <c r="A79" s="31">
        <v>45531.0</v>
      </c>
      <c r="B79" s="31">
        <v>45538.0</v>
      </c>
      <c r="C79" s="32">
        <v>25254.9</v>
      </c>
      <c r="D79" s="33">
        <v>25273.9</v>
      </c>
      <c r="E79" s="32">
        <v>-0.08</v>
      </c>
      <c r="F79" s="32" t="s">
        <v>70</v>
      </c>
      <c r="G79" s="34" t="s">
        <v>94</v>
      </c>
      <c r="H79" s="21" t="s">
        <v>159</v>
      </c>
      <c r="I79" s="35" t="s">
        <v>49</v>
      </c>
      <c r="J79" s="21">
        <v>1.0</v>
      </c>
      <c r="K79" s="21">
        <v>256.0</v>
      </c>
      <c r="L79" s="35">
        <v>4875.0</v>
      </c>
      <c r="M79" s="35">
        <v>937.0</v>
      </c>
      <c r="N79" s="21">
        <v>990.0</v>
      </c>
      <c r="O79" s="35">
        <v>120.0</v>
      </c>
      <c r="P79" s="21">
        <v>839.9</v>
      </c>
      <c r="Q79" s="35">
        <v>86.64</v>
      </c>
      <c r="R79" s="21">
        <v>1032.1</v>
      </c>
      <c r="S79" s="35">
        <v>129.36</v>
      </c>
      <c r="T79" s="21">
        <v>153.86</v>
      </c>
      <c r="U79" s="21">
        <v>55.27</v>
      </c>
      <c r="V79" s="21">
        <v>52.11</v>
      </c>
      <c r="W79" s="21">
        <v>14.37</v>
      </c>
      <c r="X79" s="21">
        <v>422.37</v>
      </c>
      <c r="Y79" s="35">
        <v>16.07</v>
      </c>
      <c r="Z79" s="21">
        <v>21.19</v>
      </c>
      <c r="AA79" s="21">
        <v>18.46</v>
      </c>
      <c r="AB79" s="21">
        <v>1.48</v>
      </c>
      <c r="AC79" s="21">
        <v>3.19</v>
      </c>
      <c r="AD79" s="21">
        <v>18.27</v>
      </c>
      <c r="AE79" s="21">
        <v>7.72</v>
      </c>
      <c r="AF79" s="23">
        <v>6.29092E7</v>
      </c>
      <c r="AG79" s="23">
        <v>3.1337777E7</v>
      </c>
      <c r="AH79" s="23">
        <v>6267556.0</v>
      </c>
      <c r="AI79" s="23">
        <v>3133778.0</v>
      </c>
      <c r="AJ79" s="23">
        <v>2.1936445E7</v>
      </c>
      <c r="AK79" s="23">
        <v>1.8802666E7</v>
      </c>
      <c r="AL79" s="21">
        <v>58.0</v>
      </c>
      <c r="AM79" s="21">
        <v>6.18</v>
      </c>
      <c r="AN79" s="21">
        <v>41.41</v>
      </c>
      <c r="AO79" s="21">
        <v>5.03</v>
      </c>
      <c r="AP79" s="21">
        <v>50.86</v>
      </c>
      <c r="AQ79" s="23">
        <v>49.81</v>
      </c>
      <c r="AR79" s="23">
        <v>9.96</v>
      </c>
      <c r="AS79" s="23">
        <v>4.98</v>
      </c>
      <c r="AT79" s="23">
        <v>34.87</v>
      </c>
      <c r="AU79" s="23">
        <v>29.89</v>
      </c>
      <c r="AV79" s="36"/>
      <c r="AW79" s="36"/>
      <c r="AX79" s="36"/>
      <c r="AY79" s="36"/>
      <c r="AZ79" s="36"/>
      <c r="BA79" s="36"/>
      <c r="BB79" s="36"/>
      <c r="BC79" s="36"/>
      <c r="BD79" s="36"/>
      <c r="BE79" s="36"/>
      <c r="BF79" s="36"/>
      <c r="BG79" s="36"/>
      <c r="BH79" s="36"/>
      <c r="BI79" s="36"/>
      <c r="BJ79" s="36"/>
      <c r="BK79" s="36"/>
      <c r="BL79" s="36"/>
      <c r="BM79" s="36"/>
      <c r="BN79" s="36"/>
      <c r="BO79" s="36"/>
      <c r="BP79" s="36"/>
      <c r="BQ79" s="36"/>
    </row>
    <row r="80">
      <c r="A80" s="31">
        <v>45525.0</v>
      </c>
      <c r="B80" s="31">
        <v>45532.0</v>
      </c>
      <c r="C80" s="32">
        <v>25023.55</v>
      </c>
      <c r="D80" s="33">
        <v>24997.05</v>
      </c>
      <c r="E80" s="32">
        <v>0.11</v>
      </c>
      <c r="F80" s="32" t="s">
        <v>70</v>
      </c>
      <c r="G80" s="34" t="s">
        <v>50</v>
      </c>
      <c r="H80" s="21" t="s">
        <v>160</v>
      </c>
      <c r="I80" s="35" t="s">
        <v>49</v>
      </c>
      <c r="J80" s="21">
        <v>10.0</v>
      </c>
      <c r="K80" s="21">
        <v>95.0</v>
      </c>
      <c r="L80" s="35">
        <v>954.0</v>
      </c>
      <c r="M80" s="35">
        <v>301.0</v>
      </c>
      <c r="N80" s="21">
        <v>288.0</v>
      </c>
      <c r="O80" s="35">
        <v>39.81</v>
      </c>
      <c r="P80" s="21">
        <v>304.45</v>
      </c>
      <c r="Q80" s="35">
        <v>47.79</v>
      </c>
      <c r="R80" s="21">
        <v>317.0</v>
      </c>
      <c r="S80" s="35">
        <v>53.88</v>
      </c>
      <c r="T80" s="21">
        <v>145.68</v>
      </c>
      <c r="U80" s="21">
        <v>149.44</v>
      </c>
      <c r="V80" s="21">
        <v>110.61</v>
      </c>
      <c r="W80" s="21">
        <v>24.23</v>
      </c>
      <c r="X80" s="21">
        <v>215.91</v>
      </c>
      <c r="Y80" s="35">
        <v>9.3</v>
      </c>
      <c r="Z80" s="21">
        <v>30.92</v>
      </c>
      <c r="AA80" s="21">
        <v>24.43</v>
      </c>
      <c r="AB80" s="21">
        <v>0.5</v>
      </c>
      <c r="AC80" s="21">
        <v>6.17</v>
      </c>
      <c r="AD80" s="21">
        <v>30.92</v>
      </c>
      <c r="AE80" s="21">
        <v>6.18</v>
      </c>
      <c r="AF80" s="23">
        <v>1.0425242E7</v>
      </c>
      <c r="AG80" s="23">
        <v>5212620.0</v>
      </c>
      <c r="AH80" s="23">
        <v>1042525.0</v>
      </c>
      <c r="AI80" s="23">
        <v>521262.0</v>
      </c>
      <c r="AJ80" s="23">
        <v>3648835.0</v>
      </c>
      <c r="AK80" s="23">
        <v>3127572.0</v>
      </c>
      <c r="AL80" s="21">
        <v>150.0</v>
      </c>
      <c r="AM80" s="21">
        <v>4.75</v>
      </c>
      <c r="AN80" s="21">
        <v>19.98</v>
      </c>
      <c r="AO80" s="21">
        <v>3.66</v>
      </c>
      <c r="AP80" s="21">
        <v>25.93</v>
      </c>
      <c r="AQ80" s="23">
        <v>50.0</v>
      </c>
      <c r="AR80" s="23">
        <v>10.0</v>
      </c>
      <c r="AS80" s="23">
        <v>5.0</v>
      </c>
      <c r="AT80" s="23">
        <v>35.0</v>
      </c>
      <c r="AU80" s="23">
        <v>30.0</v>
      </c>
      <c r="AV80" s="36"/>
      <c r="AW80" s="36"/>
      <c r="AX80" s="36"/>
      <c r="AY80" s="36"/>
      <c r="AZ80" s="36"/>
      <c r="BA80" s="36"/>
      <c r="BB80" s="36"/>
      <c r="BC80" s="36"/>
      <c r="BD80" s="36"/>
      <c r="BE80" s="36"/>
      <c r="BF80" s="36"/>
      <c r="BG80" s="36"/>
      <c r="BH80" s="36"/>
      <c r="BI80" s="36"/>
      <c r="BJ80" s="36"/>
      <c r="BK80" s="36"/>
      <c r="BL80" s="36"/>
      <c r="BM80" s="36"/>
      <c r="BN80" s="36"/>
      <c r="BO80" s="36"/>
      <c r="BP80" s="36"/>
      <c r="BQ80" s="36"/>
    </row>
    <row r="81">
      <c r="A81" s="31">
        <v>45523.0</v>
      </c>
      <c r="B81" s="31">
        <v>45530.0</v>
      </c>
      <c r="C81" s="32">
        <v>24976.75</v>
      </c>
      <c r="D81" s="33">
        <v>24831.85</v>
      </c>
      <c r="E81" s="32">
        <v>0.58</v>
      </c>
      <c r="F81" s="32" t="s">
        <v>70</v>
      </c>
      <c r="G81" s="34" t="s">
        <v>55</v>
      </c>
      <c r="H81" s="21" t="s">
        <v>161</v>
      </c>
      <c r="I81" s="35" t="s">
        <v>49</v>
      </c>
      <c r="J81" s="21">
        <v>10.0</v>
      </c>
      <c r="K81" s="21">
        <v>1008.0</v>
      </c>
      <c r="L81" s="35">
        <v>3364.0</v>
      </c>
      <c r="M81" s="35">
        <v>1236.0</v>
      </c>
      <c r="N81" s="21">
        <v>1299.0</v>
      </c>
      <c r="O81" s="35">
        <v>44.33</v>
      </c>
      <c r="P81" s="21">
        <v>1196.45</v>
      </c>
      <c r="Q81" s="35">
        <v>32.94</v>
      </c>
      <c r="R81" s="21">
        <v>2190.6</v>
      </c>
      <c r="S81" s="35">
        <v>143.4</v>
      </c>
      <c r="T81" s="21">
        <v>191.24</v>
      </c>
      <c r="U81" s="21">
        <v>54.9</v>
      </c>
      <c r="V81" s="21">
        <v>38.16</v>
      </c>
      <c r="W81" s="21">
        <v>7.36</v>
      </c>
      <c r="X81" s="21">
        <v>2952.28</v>
      </c>
      <c r="Y81" s="35">
        <v>9.65</v>
      </c>
      <c r="Z81" s="21">
        <v>16.9</v>
      </c>
      <c r="AA81" s="21">
        <v>19.37</v>
      </c>
      <c r="AB81" s="21">
        <v>0.67</v>
      </c>
      <c r="AC81" s="35">
        <v>6.67</v>
      </c>
      <c r="AD81" s="21">
        <v>16.87</v>
      </c>
      <c r="AE81" s="21">
        <v>6.18</v>
      </c>
      <c r="AF81" s="23">
        <v>6672169.0</v>
      </c>
      <c r="AG81" s="23">
        <v>3323814.0</v>
      </c>
      <c r="AH81" s="23">
        <v>664764.0</v>
      </c>
      <c r="AI81" s="23">
        <v>332381.0</v>
      </c>
      <c r="AJ81" s="23">
        <v>2326671.0</v>
      </c>
      <c r="AK81" s="23">
        <v>1994288.0</v>
      </c>
      <c r="AL81" s="21">
        <v>14.0</v>
      </c>
      <c r="AM81" s="21">
        <v>29.17</v>
      </c>
      <c r="AN81" s="21">
        <v>34.55</v>
      </c>
      <c r="AO81" s="21">
        <v>27.95</v>
      </c>
      <c r="AP81" s="21">
        <v>36.07</v>
      </c>
      <c r="AQ81" s="23">
        <v>49.82</v>
      </c>
      <c r="AR81" s="23">
        <v>9.96</v>
      </c>
      <c r="AS81" s="23">
        <v>4.98</v>
      </c>
      <c r="AT81" s="23">
        <v>34.87</v>
      </c>
      <c r="AU81" s="23">
        <v>29.89</v>
      </c>
      <c r="AV81" s="36"/>
      <c r="AW81" s="36"/>
      <c r="AX81" s="36"/>
      <c r="AY81" s="36"/>
      <c r="AZ81" s="36"/>
      <c r="BA81" s="36"/>
      <c r="BB81" s="36"/>
      <c r="BC81" s="36"/>
      <c r="BD81" s="36"/>
      <c r="BE81" s="36"/>
      <c r="BF81" s="36"/>
      <c r="BG81" s="36"/>
      <c r="BH81" s="36"/>
      <c r="BI81" s="36"/>
      <c r="BJ81" s="36"/>
      <c r="BK81" s="36"/>
      <c r="BL81" s="36"/>
      <c r="BM81" s="36"/>
      <c r="BN81" s="36"/>
      <c r="BO81" s="36"/>
      <c r="BP81" s="36"/>
      <c r="BQ81" s="36"/>
    </row>
    <row r="82">
      <c r="A82" s="31">
        <v>45516.0</v>
      </c>
      <c r="B82" s="31">
        <v>45524.0</v>
      </c>
      <c r="C82" s="32">
        <v>24702.7</v>
      </c>
      <c r="D82" s="33">
        <v>24579.0</v>
      </c>
      <c r="E82" s="32">
        <v>0.5</v>
      </c>
      <c r="F82" s="32" t="s">
        <v>70</v>
      </c>
      <c r="G82" s="34" t="s">
        <v>55</v>
      </c>
      <c r="H82" s="21" t="s">
        <v>162</v>
      </c>
      <c r="I82" s="35" t="s">
        <v>49</v>
      </c>
      <c r="J82" s="21">
        <v>10.0</v>
      </c>
      <c r="K82" s="21">
        <v>207.0</v>
      </c>
      <c r="L82" s="35">
        <v>404.0</v>
      </c>
      <c r="M82" s="35">
        <v>200.0</v>
      </c>
      <c r="N82" s="21">
        <v>194.0</v>
      </c>
      <c r="O82" s="35">
        <v>21.25</v>
      </c>
      <c r="P82" s="21">
        <v>209.95</v>
      </c>
      <c r="Q82" s="35">
        <v>31.22</v>
      </c>
      <c r="R82" s="21">
        <v>93.1</v>
      </c>
      <c r="S82" s="35">
        <v>-41.81</v>
      </c>
      <c r="T82" s="21">
        <v>173.99</v>
      </c>
      <c r="U82" s="21">
        <v>217.5</v>
      </c>
      <c r="V82" s="21">
        <v>229.99</v>
      </c>
      <c r="W82" s="21">
        <v>58.31</v>
      </c>
      <c r="X82" s="21">
        <v>187.5</v>
      </c>
      <c r="Y82" s="35">
        <v>6.73</v>
      </c>
      <c r="Z82" s="21">
        <v>23.78</v>
      </c>
      <c r="AA82" s="21">
        <v>25.34</v>
      </c>
      <c r="AB82" s="21">
        <v>0.27</v>
      </c>
      <c r="AC82" s="21">
        <v>3.61</v>
      </c>
      <c r="AD82" s="21">
        <v>23.78</v>
      </c>
      <c r="AE82" s="21">
        <v>2.73</v>
      </c>
      <c r="AF82" s="23">
        <v>1.00008E7</v>
      </c>
      <c r="AG82" s="23">
        <v>5000400.0</v>
      </c>
      <c r="AH82" s="23">
        <v>1000080.0</v>
      </c>
      <c r="AI82" s="23">
        <v>500040.0</v>
      </c>
      <c r="AJ82" s="23">
        <v>3500280.0</v>
      </c>
      <c r="AK82" s="41"/>
      <c r="AL82" s="21">
        <v>72.0</v>
      </c>
      <c r="AM82" s="21">
        <v>21.84</v>
      </c>
      <c r="AN82" s="21">
        <v>9.48</v>
      </c>
      <c r="AO82" s="21">
        <v>18.02</v>
      </c>
      <c r="AP82" s="21">
        <v>11.49</v>
      </c>
      <c r="AQ82" s="23">
        <v>50.0</v>
      </c>
      <c r="AR82" s="23">
        <v>10.0</v>
      </c>
      <c r="AS82" s="23">
        <v>5.0</v>
      </c>
      <c r="AT82" s="23">
        <v>35.0</v>
      </c>
      <c r="AU82" s="41"/>
      <c r="AV82" s="36"/>
      <c r="AW82" s="36"/>
      <c r="AX82" s="36"/>
      <c r="AY82" s="36"/>
      <c r="AZ82" s="36"/>
      <c r="BA82" s="36"/>
      <c r="BB82" s="36"/>
      <c r="BC82" s="36"/>
      <c r="BD82" s="36"/>
      <c r="BE82" s="36"/>
      <c r="BF82" s="36"/>
      <c r="BG82" s="36"/>
      <c r="BH82" s="36"/>
      <c r="BI82" s="36"/>
      <c r="BJ82" s="36"/>
      <c r="BK82" s="36"/>
      <c r="BL82" s="36"/>
      <c r="BM82" s="36"/>
      <c r="BN82" s="36"/>
      <c r="BO82" s="36"/>
      <c r="BP82" s="36"/>
      <c r="BQ82" s="36"/>
    </row>
    <row r="83">
      <c r="A83" s="31">
        <v>45510.0</v>
      </c>
      <c r="B83" s="31">
        <v>45517.0</v>
      </c>
      <c r="C83" s="32">
        <v>24325.3</v>
      </c>
      <c r="D83" s="33">
        <v>24348.8</v>
      </c>
      <c r="E83" s="32">
        <v>-0.1</v>
      </c>
      <c r="F83" s="32" t="s">
        <v>61</v>
      </c>
      <c r="G83" s="34" t="s">
        <v>50</v>
      </c>
      <c r="H83" s="21" t="s">
        <v>163</v>
      </c>
      <c r="I83" s="35" t="s">
        <v>49</v>
      </c>
      <c r="J83" s="21">
        <v>1.0</v>
      </c>
      <c r="K83" s="21">
        <v>281.0</v>
      </c>
      <c r="L83" s="35">
        <v>695.0</v>
      </c>
      <c r="M83" s="35">
        <v>177.0</v>
      </c>
      <c r="N83" s="21">
        <v>235.0</v>
      </c>
      <c r="O83" s="35">
        <v>117.59</v>
      </c>
      <c r="P83" s="21">
        <v>210.08</v>
      </c>
      <c r="Q83" s="35">
        <v>94.52</v>
      </c>
      <c r="R83" s="21">
        <v>119.74</v>
      </c>
      <c r="S83" s="35">
        <v>10.87</v>
      </c>
      <c r="T83" s="21">
        <v>53.01</v>
      </c>
      <c r="U83" s="21">
        <v>39.76</v>
      </c>
      <c r="V83" s="21">
        <v>22.75</v>
      </c>
      <c r="W83" s="21">
        <v>4.73</v>
      </c>
      <c r="X83" s="21">
        <v>409.26</v>
      </c>
      <c r="Y83" s="35">
        <v>13.9</v>
      </c>
      <c r="Z83" s="21">
        <v>1.03</v>
      </c>
      <c r="AA83" s="21">
        <v>24.35</v>
      </c>
      <c r="AB83" s="21">
        <v>1.88</v>
      </c>
      <c r="AC83" s="21">
        <v>0.17</v>
      </c>
      <c r="AD83" s="21">
        <v>1.03</v>
      </c>
      <c r="AE83" s="21">
        <v>16.77</v>
      </c>
      <c r="AF83" s="23">
        <v>2.5608512E7</v>
      </c>
      <c r="AG83" s="23">
        <v>1.9206385E7</v>
      </c>
      <c r="AH83" s="23">
        <v>2560850.0</v>
      </c>
      <c r="AI83" s="23">
        <v>1280426.0</v>
      </c>
      <c r="AJ83" s="23">
        <v>2560851.0</v>
      </c>
      <c r="AK83" s="23">
        <v>1.1523831E7</v>
      </c>
      <c r="AL83" s="21">
        <v>53.0</v>
      </c>
      <c r="AM83" s="21">
        <v>0.07</v>
      </c>
      <c r="AN83" s="21">
        <v>4284.57</v>
      </c>
      <c r="AO83" s="21">
        <v>0.2</v>
      </c>
      <c r="AP83" s="21">
        <v>1393.87</v>
      </c>
      <c r="AQ83" s="23">
        <v>75.0</v>
      </c>
      <c r="AR83" s="23">
        <v>10.0</v>
      </c>
      <c r="AS83" s="23">
        <v>5.0</v>
      </c>
      <c r="AT83" s="23">
        <v>10.0</v>
      </c>
      <c r="AU83" s="23">
        <v>45.0</v>
      </c>
      <c r="AV83" s="36"/>
      <c r="AW83" s="36"/>
      <c r="AX83" s="36"/>
      <c r="AY83" s="36"/>
      <c r="AZ83" s="36"/>
      <c r="BA83" s="36"/>
      <c r="BB83" s="36"/>
      <c r="BC83" s="36"/>
      <c r="BD83" s="36"/>
      <c r="BE83" s="36"/>
      <c r="BF83" s="36"/>
      <c r="BG83" s="36"/>
      <c r="BH83" s="36"/>
      <c r="BI83" s="36"/>
      <c r="BJ83" s="36"/>
      <c r="BK83" s="36"/>
      <c r="BL83" s="36"/>
      <c r="BM83" s="36"/>
      <c r="BN83" s="36"/>
      <c r="BO83" s="36"/>
      <c r="BP83" s="36"/>
      <c r="BQ83" s="36"/>
    </row>
    <row r="84">
      <c r="A84" s="31">
        <v>45510.0</v>
      </c>
      <c r="B84" s="31">
        <v>45517.0</v>
      </c>
      <c r="C84" s="32">
        <v>24325.3</v>
      </c>
      <c r="D84" s="33">
        <v>24348.8</v>
      </c>
      <c r="E84" s="32">
        <v>-0.1</v>
      </c>
      <c r="F84" s="32" t="s">
        <v>61</v>
      </c>
      <c r="G84" s="34" t="s">
        <v>50</v>
      </c>
      <c r="H84" s="21" t="s">
        <v>164</v>
      </c>
      <c r="I84" s="35" t="s">
        <v>49</v>
      </c>
      <c r="J84" s="21">
        <v>2.0</v>
      </c>
      <c r="K84" s="21">
        <v>369.0</v>
      </c>
      <c r="L84" s="35">
        <v>873.0</v>
      </c>
      <c r="M84" s="35">
        <v>552.0</v>
      </c>
      <c r="N84" s="21">
        <v>651.0</v>
      </c>
      <c r="O84" s="35">
        <v>40.0</v>
      </c>
      <c r="P84" s="21">
        <v>679.1</v>
      </c>
      <c r="Q84" s="35">
        <v>46.04</v>
      </c>
      <c r="R84" s="21">
        <v>343.35</v>
      </c>
      <c r="S84" s="35">
        <v>-26.16</v>
      </c>
      <c r="T84" s="21">
        <v>215.62</v>
      </c>
      <c r="U84" s="21">
        <v>136.75</v>
      </c>
      <c r="V84" s="21">
        <v>90.76</v>
      </c>
      <c r="W84" s="21">
        <v>19.08</v>
      </c>
      <c r="X84" s="21">
        <v>237.21</v>
      </c>
      <c r="Y84" s="35">
        <v>17.5</v>
      </c>
      <c r="Z84" s="21">
        <v>7.92</v>
      </c>
      <c r="AA84" s="21">
        <v>8.63</v>
      </c>
      <c r="AB84" s="21">
        <v>0.86</v>
      </c>
      <c r="AC84" s="21">
        <v>5.97</v>
      </c>
      <c r="AD84" s="21">
        <v>8.34</v>
      </c>
      <c r="AE84" s="21">
        <v>8.03</v>
      </c>
      <c r="AF84" s="23">
        <v>9.0194432E7</v>
      </c>
      <c r="AG84" s="23">
        <v>6.7592381E7</v>
      </c>
      <c r="AH84" s="23">
        <v>9012318.0</v>
      </c>
      <c r="AI84" s="23">
        <v>4506158.0</v>
      </c>
      <c r="AJ84" s="23">
        <v>9012317.0</v>
      </c>
      <c r="AK84" s="23">
        <v>4.0555428E7</v>
      </c>
      <c r="AL84" s="21">
        <v>40.0</v>
      </c>
      <c r="AM84" s="21">
        <v>6.78</v>
      </c>
      <c r="AN84" s="21">
        <v>54.43</v>
      </c>
      <c r="AO84" s="21">
        <v>4.37</v>
      </c>
      <c r="AP84" s="21">
        <v>84.4</v>
      </c>
      <c r="AQ84" s="23">
        <v>74.94</v>
      </c>
      <c r="AR84" s="23">
        <v>9.99</v>
      </c>
      <c r="AS84" s="23">
        <v>5.0</v>
      </c>
      <c r="AT84" s="23">
        <v>9.99</v>
      </c>
      <c r="AU84" s="23">
        <v>44.96</v>
      </c>
      <c r="AV84" s="36"/>
      <c r="AW84" s="36"/>
      <c r="AX84" s="36"/>
      <c r="AY84" s="36"/>
      <c r="AZ84" s="36"/>
      <c r="BA84" s="36"/>
      <c r="BB84" s="36"/>
      <c r="BC84" s="36"/>
      <c r="BD84" s="36"/>
      <c r="BE84" s="36"/>
      <c r="BF84" s="36"/>
      <c r="BG84" s="36"/>
      <c r="BH84" s="36"/>
      <c r="BI84" s="36"/>
      <c r="BJ84" s="36"/>
      <c r="BK84" s="36"/>
      <c r="BL84" s="36"/>
      <c r="BM84" s="36"/>
      <c r="BN84" s="36"/>
      <c r="BO84" s="36"/>
      <c r="BP84" s="36"/>
      <c r="BQ84" s="36"/>
    </row>
    <row r="85">
      <c r="A85" s="31">
        <v>45506.0</v>
      </c>
      <c r="B85" s="31">
        <v>45513.0</v>
      </c>
      <c r="C85" s="32">
        <v>24373.85</v>
      </c>
      <c r="D85" s="33">
        <v>24098.7</v>
      </c>
      <c r="E85" s="32">
        <v>1.14</v>
      </c>
      <c r="F85" s="32" t="s">
        <v>61</v>
      </c>
      <c r="G85" s="34" t="s">
        <v>98</v>
      </c>
      <c r="H85" s="21" t="s">
        <v>165</v>
      </c>
      <c r="I85" s="35" t="s">
        <v>69</v>
      </c>
      <c r="J85" s="21">
        <v>10.0</v>
      </c>
      <c r="K85" s="21">
        <v>203.0</v>
      </c>
      <c r="L85" s="35">
        <v>-31.0</v>
      </c>
      <c r="M85" s="35">
        <v>73.0</v>
      </c>
      <c r="N85" s="21">
        <v>76.0</v>
      </c>
      <c r="O85" s="35">
        <v>0.0</v>
      </c>
      <c r="P85" s="21">
        <v>91.2</v>
      </c>
      <c r="Q85" s="35">
        <v>20.0</v>
      </c>
      <c r="R85" s="21">
        <v>41.31</v>
      </c>
      <c r="S85" s="35">
        <v>-45.64</v>
      </c>
      <c r="T85" s="21">
        <v>206.54</v>
      </c>
      <c r="U85" s="21">
        <v>165.71</v>
      </c>
      <c r="V85" s="21">
        <v>116.73</v>
      </c>
      <c r="W85" s="21">
        <v>23.66</v>
      </c>
      <c r="X85" s="21">
        <v>428.19</v>
      </c>
      <c r="Y85" s="35">
        <v>-43.0</v>
      </c>
      <c r="Z85" s="35">
        <v>-89.8</v>
      </c>
      <c r="AA85" s="35">
        <v>-43.0</v>
      </c>
      <c r="AB85" s="21">
        <v>0.85</v>
      </c>
      <c r="AC85" s="35">
        <v>-52.9</v>
      </c>
      <c r="AD85" s="35">
        <v>-78.0</v>
      </c>
      <c r="AE85" s="21">
        <v>2.46</v>
      </c>
      <c r="AF85" s="28">
        <v>8.09E8</v>
      </c>
      <c r="AG85" s="28">
        <v>6.06E8</v>
      </c>
      <c r="AH85" s="23">
        <v>8.0790252E7</v>
      </c>
      <c r="AI85" s="23">
        <v>4.0395126E7</v>
      </c>
      <c r="AJ85" s="23">
        <v>8.0790252E7</v>
      </c>
      <c r="AK85" s="28">
        <v>3.64E8</v>
      </c>
      <c r="AL85" s="21">
        <v>73.0</v>
      </c>
      <c r="AM85" s="21">
        <v>2.45</v>
      </c>
      <c r="AN85" s="21">
        <v>83.0</v>
      </c>
      <c r="AO85" s="21">
        <v>2.77</v>
      </c>
      <c r="AP85" s="21">
        <v>73.33</v>
      </c>
      <c r="AQ85" s="23">
        <v>74.93</v>
      </c>
      <c r="AR85" s="23">
        <v>9.99</v>
      </c>
      <c r="AS85" s="23">
        <v>5.0</v>
      </c>
      <c r="AT85" s="23">
        <v>9.99</v>
      </c>
      <c r="AU85" s="23">
        <v>44.96</v>
      </c>
      <c r="AV85" s="36"/>
      <c r="AW85" s="36"/>
      <c r="AX85" s="36"/>
      <c r="AY85" s="36"/>
      <c r="AZ85" s="36"/>
      <c r="BA85" s="36"/>
      <c r="BB85" s="36"/>
      <c r="BC85" s="36"/>
      <c r="BD85" s="36"/>
      <c r="BE85" s="36"/>
      <c r="BF85" s="36"/>
      <c r="BG85" s="36"/>
      <c r="BH85" s="36"/>
      <c r="BI85" s="36"/>
      <c r="BJ85" s="36"/>
      <c r="BK85" s="36"/>
      <c r="BL85" s="36"/>
      <c r="BM85" s="36"/>
      <c r="BN85" s="36"/>
      <c r="BO85" s="36"/>
      <c r="BP85" s="36"/>
      <c r="BQ85" s="36"/>
    </row>
    <row r="86">
      <c r="A86" s="31">
        <v>45505.0</v>
      </c>
      <c r="B86" s="31">
        <v>45512.0</v>
      </c>
      <c r="C86" s="32">
        <v>24204.6</v>
      </c>
      <c r="D86" s="33">
        <v>24315.25</v>
      </c>
      <c r="E86" s="32">
        <v>-0.46</v>
      </c>
      <c r="F86" s="32" t="s">
        <v>54</v>
      </c>
      <c r="G86" s="34" t="s">
        <v>78</v>
      </c>
      <c r="H86" s="21" t="s">
        <v>166</v>
      </c>
      <c r="I86" s="35" t="s">
        <v>49</v>
      </c>
      <c r="J86" s="21">
        <v>5.0</v>
      </c>
      <c r="K86" s="21">
        <v>120.0</v>
      </c>
      <c r="L86" s="35">
        <v>17.501</v>
      </c>
      <c r="M86" s="35">
        <v>418.5</v>
      </c>
      <c r="N86" s="21">
        <v>419.0</v>
      </c>
      <c r="O86" s="35">
        <v>4.49</v>
      </c>
      <c r="P86" s="21">
        <v>386.75</v>
      </c>
      <c r="Q86" s="35">
        <v>-3.55</v>
      </c>
      <c r="R86" s="21">
        <v>249.7</v>
      </c>
      <c r="S86" s="35">
        <v>-37.73</v>
      </c>
      <c r="T86" s="21">
        <v>28.12</v>
      </c>
      <c r="U86" s="21">
        <v>121.56</v>
      </c>
      <c r="V86" s="21">
        <v>146.83</v>
      </c>
      <c r="W86" s="21">
        <v>44.58</v>
      </c>
      <c r="X86" s="21">
        <v>217.01</v>
      </c>
      <c r="Y86" s="35">
        <v>14.0</v>
      </c>
      <c r="Z86" s="35">
        <v>28.2</v>
      </c>
      <c r="AA86" s="35">
        <v>27.3</v>
      </c>
      <c r="AB86" s="35">
        <v>1.18</v>
      </c>
      <c r="AC86" s="21">
        <v>22.93</v>
      </c>
      <c r="AD86" s="21">
        <v>5.81</v>
      </c>
      <c r="AE86" s="35">
        <v>2.49</v>
      </c>
      <c r="AF86" s="23">
        <v>3.1243701E7</v>
      </c>
      <c r="AG86" s="23">
        <v>1.5594302E7</v>
      </c>
      <c r="AH86" s="23">
        <v>3118861.0</v>
      </c>
      <c r="AI86" s="23">
        <v>1559430.0</v>
      </c>
      <c r="AJ86" s="23">
        <v>1.0916012E7</v>
      </c>
      <c r="AK86" s="23">
        <v>9356581.0</v>
      </c>
      <c r="AL86" s="21">
        <v>125.0</v>
      </c>
      <c r="AM86" s="35">
        <v>21.9</v>
      </c>
      <c r="AN86" s="35">
        <v>20.7</v>
      </c>
      <c r="AO86" s="35">
        <v>21.9</v>
      </c>
      <c r="AP86" s="35">
        <v>20.7</v>
      </c>
      <c r="AQ86" s="23">
        <v>49.91</v>
      </c>
      <c r="AR86" s="23">
        <v>9.98</v>
      </c>
      <c r="AS86" s="23">
        <v>4.99</v>
      </c>
      <c r="AT86" s="23">
        <v>34.94</v>
      </c>
      <c r="AU86" s="23">
        <v>29.95</v>
      </c>
      <c r="AV86" s="36"/>
      <c r="AW86" s="36"/>
      <c r="AX86" s="36"/>
      <c r="AY86" s="36"/>
      <c r="AZ86" s="36"/>
      <c r="BA86" s="36"/>
      <c r="BB86" s="36"/>
      <c r="BC86" s="36"/>
      <c r="BD86" s="36"/>
      <c r="BE86" s="36"/>
      <c r="BF86" s="36"/>
      <c r="BG86" s="36"/>
      <c r="BH86" s="36"/>
      <c r="BI86" s="36"/>
      <c r="BJ86" s="36"/>
      <c r="BK86" s="36"/>
      <c r="BL86" s="36"/>
      <c r="BM86" s="36"/>
      <c r="BN86" s="36"/>
      <c r="BO86" s="36"/>
      <c r="BP86" s="36"/>
      <c r="BQ86" s="36"/>
    </row>
    <row r="87">
      <c r="A87" s="40">
        <v>45505.0</v>
      </c>
      <c r="B87" s="31">
        <v>45510.0</v>
      </c>
      <c r="C87" s="32">
        <v>24345.15</v>
      </c>
      <c r="D87" s="33">
        <v>24051.8</v>
      </c>
      <c r="E87" s="32">
        <v>1.22</v>
      </c>
      <c r="F87" s="32" t="s">
        <v>61</v>
      </c>
      <c r="G87" s="34" t="s">
        <v>62</v>
      </c>
      <c r="H87" s="21" t="s">
        <v>167</v>
      </c>
      <c r="I87" s="34" t="s">
        <v>69</v>
      </c>
      <c r="J87" s="21">
        <v>2.0</v>
      </c>
      <c r="K87" s="21">
        <v>93.0</v>
      </c>
      <c r="L87" s="35">
        <v>432.0</v>
      </c>
      <c r="M87" s="35">
        <v>722.0</v>
      </c>
      <c r="N87" s="21">
        <v>725.0</v>
      </c>
      <c r="O87" s="35">
        <v>6.77</v>
      </c>
      <c r="P87" s="21">
        <v>796.35</v>
      </c>
      <c r="Q87" s="35">
        <v>17.28</v>
      </c>
      <c r="R87" s="21">
        <v>519.25</v>
      </c>
      <c r="S87" s="35">
        <v>-23.53</v>
      </c>
      <c r="T87" s="21">
        <v>106.73</v>
      </c>
      <c r="U87" s="21">
        <v>117.4</v>
      </c>
      <c r="V87" s="21">
        <v>95.95</v>
      </c>
      <c r="W87" s="21">
        <v>53.95</v>
      </c>
      <c r="X87" s="21">
        <v>437.13</v>
      </c>
      <c r="Y87" s="35">
        <v>10.38</v>
      </c>
      <c r="Z87" s="35">
        <v>13.52</v>
      </c>
      <c r="AA87" s="35">
        <v>24.0</v>
      </c>
      <c r="AB87" s="35">
        <v>0.75</v>
      </c>
      <c r="AC87" s="35">
        <v>2.64</v>
      </c>
      <c r="AD87" s="21">
        <v>15.26</v>
      </c>
      <c r="AE87" s="21">
        <v>8.14</v>
      </c>
      <c r="AF87" s="23">
        <v>2.7368151E7</v>
      </c>
      <c r="AG87" s="23">
        <v>2.0343188E7</v>
      </c>
      <c r="AH87" s="23">
        <v>2712425.0</v>
      </c>
      <c r="AI87" s="23">
        <v>1356212.0</v>
      </c>
      <c r="AJ87" s="23">
        <v>2712424.0</v>
      </c>
      <c r="AK87" s="23">
        <v>1.2205912E7</v>
      </c>
      <c r="AL87" s="21">
        <v>161.0</v>
      </c>
      <c r="AM87" s="21">
        <v>0.62</v>
      </c>
      <c r="AN87" s="21">
        <v>148.87</v>
      </c>
      <c r="AO87" s="21">
        <v>2.26</v>
      </c>
      <c r="AP87" s="21">
        <v>41.12</v>
      </c>
      <c r="AQ87" s="23">
        <v>74.33</v>
      </c>
      <c r="AR87" s="23">
        <v>9.91</v>
      </c>
      <c r="AS87" s="23">
        <v>4.96</v>
      </c>
      <c r="AT87" s="23">
        <v>9.91</v>
      </c>
      <c r="AU87" s="23">
        <v>44.6</v>
      </c>
      <c r="AV87" s="36"/>
      <c r="AW87" s="36"/>
      <c r="AX87" s="36"/>
      <c r="AY87" s="36"/>
      <c r="AZ87" s="36"/>
      <c r="BA87" s="36"/>
      <c r="BB87" s="36"/>
      <c r="BC87" s="36"/>
      <c r="BD87" s="36"/>
      <c r="BE87" s="36"/>
      <c r="BF87" s="36"/>
      <c r="BG87" s="36"/>
      <c r="BH87" s="36"/>
      <c r="BI87" s="36"/>
      <c r="BJ87" s="36"/>
      <c r="BK87" s="36"/>
      <c r="BL87" s="36"/>
      <c r="BM87" s="36"/>
      <c r="BN87" s="36"/>
      <c r="BO87" s="36"/>
      <c r="BP87" s="36"/>
      <c r="BQ87" s="36"/>
    </row>
    <row r="88">
      <c r="A88" s="31">
        <v>45476.0</v>
      </c>
      <c r="B88" s="31">
        <v>45483.0</v>
      </c>
      <c r="C88" s="32">
        <v>24359.05</v>
      </c>
      <c r="D88" s="33">
        <v>24417.25</v>
      </c>
      <c r="E88" s="32">
        <v>-0.24</v>
      </c>
      <c r="F88" s="32" t="s">
        <v>70</v>
      </c>
      <c r="G88" s="34" t="s">
        <v>81</v>
      </c>
      <c r="H88" s="21" t="s">
        <v>168</v>
      </c>
      <c r="I88" s="34" t="s">
        <v>69</v>
      </c>
      <c r="J88" s="21">
        <v>5.0</v>
      </c>
      <c r="K88" s="37">
        <v>256.0</v>
      </c>
      <c r="L88" s="35">
        <v>704.0</v>
      </c>
      <c r="M88" s="35">
        <v>326.0</v>
      </c>
      <c r="N88" s="21">
        <v>356.0</v>
      </c>
      <c r="O88" s="35">
        <v>39.06</v>
      </c>
      <c r="P88" s="21">
        <v>350.35</v>
      </c>
      <c r="Q88" s="35">
        <v>36.86</v>
      </c>
      <c r="R88" s="21">
        <v>396.7</v>
      </c>
      <c r="S88" s="35">
        <v>54.96</v>
      </c>
      <c r="T88" s="42">
        <v>153.86</v>
      </c>
      <c r="U88" s="42">
        <v>55.27</v>
      </c>
      <c r="V88" s="42">
        <v>52.11</v>
      </c>
      <c r="W88" s="42">
        <v>14.37</v>
      </c>
      <c r="X88" s="42">
        <v>422.37</v>
      </c>
      <c r="Y88" s="42">
        <v>6.05</v>
      </c>
      <c r="Z88" s="42">
        <v>21.19</v>
      </c>
      <c r="AA88" s="42">
        <v>18.46</v>
      </c>
      <c r="AB88" s="42">
        <v>1.48</v>
      </c>
      <c r="AC88" s="42">
        <v>3.19</v>
      </c>
      <c r="AD88" s="42">
        <v>18.27</v>
      </c>
      <c r="AE88" s="42">
        <v>7.72</v>
      </c>
      <c r="AF88" s="23">
        <v>2.9101562E7</v>
      </c>
      <c r="AG88" s="23">
        <v>1.455078E7</v>
      </c>
      <c r="AH88" s="23">
        <v>2910157.0</v>
      </c>
      <c r="AI88" s="23">
        <v>1455078.0</v>
      </c>
      <c r="AJ88" s="23">
        <v>1.0185547E7</v>
      </c>
      <c r="AK88" s="23">
        <v>8730468.0</v>
      </c>
      <c r="AL88" s="42">
        <v>58.0</v>
      </c>
      <c r="AM88" s="42">
        <v>6.18</v>
      </c>
      <c r="AN88" s="42">
        <v>41.41</v>
      </c>
      <c r="AO88" s="42">
        <v>5.03</v>
      </c>
      <c r="AP88" s="42">
        <v>50.86</v>
      </c>
      <c r="AQ88" s="23">
        <v>50.0</v>
      </c>
      <c r="AR88" s="23">
        <v>10.0</v>
      </c>
      <c r="AS88" s="23">
        <v>5.0</v>
      </c>
      <c r="AT88" s="23">
        <v>35.0</v>
      </c>
      <c r="AU88" s="23">
        <v>30.0</v>
      </c>
      <c r="AV88" s="36"/>
      <c r="AW88" s="36"/>
      <c r="AX88" s="36"/>
      <c r="AY88" s="36"/>
      <c r="AZ88" s="36"/>
      <c r="BA88" s="36"/>
      <c r="BB88" s="36"/>
      <c r="BC88" s="36"/>
      <c r="BD88" s="36"/>
      <c r="BE88" s="36"/>
      <c r="BF88" s="36"/>
      <c r="BG88" s="36"/>
      <c r="BH88" s="36"/>
      <c r="BI88" s="36"/>
      <c r="BJ88" s="36"/>
      <c r="BK88" s="36"/>
      <c r="BL88" s="36"/>
      <c r="BM88" s="36"/>
      <c r="BN88" s="36"/>
      <c r="BO88" s="36"/>
      <c r="BP88" s="36"/>
      <c r="BQ88" s="36"/>
    </row>
    <row r="89">
      <c r="A89" s="31">
        <v>45492.0</v>
      </c>
      <c r="B89" s="31">
        <v>45499.0</v>
      </c>
      <c r="C89" s="32">
        <v>24579.3</v>
      </c>
      <c r="D89" s="33">
        <v>24415.0</v>
      </c>
      <c r="E89" s="32">
        <v>0.67</v>
      </c>
      <c r="F89" s="32" t="s">
        <v>70</v>
      </c>
      <c r="G89" s="34" t="s">
        <v>47</v>
      </c>
      <c r="H89" s="21" t="s">
        <v>169</v>
      </c>
      <c r="I89" s="35" t="s">
        <v>49</v>
      </c>
      <c r="J89" s="21">
        <v>2.0</v>
      </c>
      <c r="K89" s="35">
        <v>95.0</v>
      </c>
      <c r="L89" s="35">
        <v>254.0</v>
      </c>
      <c r="M89" s="35">
        <v>120.0</v>
      </c>
      <c r="N89" s="21">
        <v>109.0</v>
      </c>
      <c r="O89" s="35">
        <v>14.74</v>
      </c>
      <c r="P89" s="21">
        <v>115.09</v>
      </c>
      <c r="Q89" s="35">
        <v>21.15</v>
      </c>
      <c r="R89" s="21">
        <v>90.01</v>
      </c>
      <c r="S89" s="35">
        <v>-5.25</v>
      </c>
      <c r="T89" s="35">
        <v>145.0</v>
      </c>
      <c r="U89" s="35">
        <v>149.0</v>
      </c>
      <c r="V89" s="35">
        <v>110.0</v>
      </c>
      <c r="W89" s="35">
        <v>24.23</v>
      </c>
      <c r="X89" s="35">
        <v>215.91</v>
      </c>
      <c r="Y89" s="35">
        <v>6.01</v>
      </c>
      <c r="Z89" s="35">
        <v>30.92</v>
      </c>
      <c r="AA89" s="35">
        <v>24.43</v>
      </c>
      <c r="AB89" s="35">
        <v>0.5</v>
      </c>
      <c r="AC89" s="35">
        <v>6.17</v>
      </c>
      <c r="AD89" s="35">
        <v>30.92</v>
      </c>
      <c r="AE89" s="35">
        <v>6.18</v>
      </c>
      <c r="AF89" s="23">
        <v>5.37E7</v>
      </c>
      <c r="AG89" s="23">
        <v>2.685E7</v>
      </c>
      <c r="AH89" s="23">
        <v>5370000.0</v>
      </c>
      <c r="AI89" s="23">
        <v>2685000.0</v>
      </c>
      <c r="AJ89" s="23">
        <v>1.8795E7</v>
      </c>
      <c r="AK89" s="23">
        <v>1.611E7</v>
      </c>
      <c r="AL89" s="35">
        <v>150.0</v>
      </c>
      <c r="AM89" s="35">
        <v>4.75</v>
      </c>
      <c r="AN89" s="35">
        <v>19.98</v>
      </c>
      <c r="AO89" s="35">
        <v>3.66</v>
      </c>
      <c r="AP89" s="35">
        <v>25.93</v>
      </c>
      <c r="AQ89" s="23">
        <v>50.0</v>
      </c>
      <c r="AR89" s="23">
        <v>10.0</v>
      </c>
      <c r="AS89" s="23">
        <v>5.0</v>
      </c>
      <c r="AT89" s="23">
        <v>35.0</v>
      </c>
      <c r="AU89" s="23">
        <v>30.0</v>
      </c>
      <c r="AV89" s="36"/>
      <c r="AW89" s="36"/>
      <c r="AX89" s="36"/>
      <c r="AY89" s="36"/>
      <c r="AZ89" s="36"/>
      <c r="BA89" s="36"/>
      <c r="BB89" s="36"/>
      <c r="BC89" s="36"/>
      <c r="BD89" s="36"/>
      <c r="BE89" s="36"/>
      <c r="BF89" s="36"/>
      <c r="BG89" s="36"/>
      <c r="BH89" s="36"/>
      <c r="BI89" s="36"/>
      <c r="BJ89" s="36"/>
      <c r="BK89" s="36"/>
      <c r="BL89" s="36"/>
      <c r="BM89" s="36"/>
      <c r="BN89" s="36"/>
      <c r="BO89" s="36"/>
      <c r="BP89" s="36"/>
      <c r="BQ89" s="36"/>
    </row>
    <row r="90">
      <c r="A90" s="31">
        <v>45476.0</v>
      </c>
      <c r="B90" s="31">
        <v>45483.0</v>
      </c>
      <c r="C90" s="32">
        <v>24359.05</v>
      </c>
      <c r="D90" s="33">
        <v>24417.25</v>
      </c>
      <c r="E90" s="32">
        <v>-0.24</v>
      </c>
      <c r="F90" s="32" t="s">
        <v>70</v>
      </c>
      <c r="G90" s="34" t="s">
        <v>62</v>
      </c>
      <c r="H90" s="21" t="s">
        <v>170</v>
      </c>
      <c r="I90" s="34" t="s">
        <v>69</v>
      </c>
      <c r="J90" s="21">
        <v>10.0</v>
      </c>
      <c r="K90" s="43">
        <v>1008.0</v>
      </c>
      <c r="L90" s="35">
        <v>3004.0</v>
      </c>
      <c r="M90" s="35">
        <v>1308.0</v>
      </c>
      <c r="N90" s="21">
        <v>1325.05</v>
      </c>
      <c r="O90" s="35">
        <v>31.45</v>
      </c>
      <c r="P90" s="21">
        <v>1359.15</v>
      </c>
      <c r="Q90" s="35">
        <v>34.84</v>
      </c>
      <c r="R90" s="21">
        <v>1409.6</v>
      </c>
      <c r="S90" s="35">
        <v>39.84</v>
      </c>
      <c r="T90" s="42">
        <v>191.24</v>
      </c>
      <c r="U90" s="42">
        <v>54.9</v>
      </c>
      <c r="V90" s="42">
        <v>38.16</v>
      </c>
      <c r="W90" s="42">
        <v>7.36</v>
      </c>
      <c r="X90" s="42">
        <v>2952.28</v>
      </c>
      <c r="Y90" s="42">
        <v>12.4</v>
      </c>
      <c r="Z90" s="42">
        <v>16.9</v>
      </c>
      <c r="AA90" s="42">
        <v>19.37</v>
      </c>
      <c r="AB90" s="42">
        <v>0.67</v>
      </c>
      <c r="AC90" s="42">
        <v>8.9</v>
      </c>
      <c r="AD90" s="42">
        <v>16.87</v>
      </c>
      <c r="AE90" s="42">
        <v>6.18</v>
      </c>
      <c r="AF90" s="23">
        <v>1.937507E7</v>
      </c>
      <c r="AG90" s="23">
        <v>9633084.0</v>
      </c>
      <c r="AH90" s="23">
        <v>1926618.0</v>
      </c>
      <c r="AI90" s="23">
        <v>963308.0</v>
      </c>
      <c r="AJ90" s="23">
        <v>6743160.0</v>
      </c>
      <c r="AK90" s="23">
        <v>5779850.0</v>
      </c>
      <c r="AL90" s="42">
        <v>14.0</v>
      </c>
      <c r="AM90" s="42">
        <v>29.17</v>
      </c>
      <c r="AN90" s="42">
        <v>34.55</v>
      </c>
      <c r="AO90" s="42">
        <v>27.95</v>
      </c>
      <c r="AP90" s="42">
        <v>36.07</v>
      </c>
      <c r="AQ90" s="23">
        <v>49.72</v>
      </c>
      <c r="AR90" s="23">
        <v>9.94</v>
      </c>
      <c r="AS90" s="23">
        <v>4.97</v>
      </c>
      <c r="AT90" s="23">
        <v>34.8</v>
      </c>
      <c r="AU90" s="23">
        <v>29.83</v>
      </c>
      <c r="AV90" s="36"/>
      <c r="AW90" s="36"/>
      <c r="AX90" s="36"/>
      <c r="AY90" s="36"/>
      <c r="AZ90" s="36"/>
      <c r="BA90" s="36"/>
      <c r="BB90" s="36"/>
      <c r="BC90" s="36"/>
      <c r="BD90" s="36"/>
      <c r="BE90" s="36"/>
      <c r="BF90" s="36"/>
      <c r="BG90" s="36"/>
      <c r="BH90" s="36"/>
      <c r="BI90" s="36"/>
      <c r="BJ90" s="36"/>
      <c r="BK90" s="36"/>
      <c r="BL90" s="36"/>
      <c r="BM90" s="36"/>
      <c r="BN90" s="36"/>
      <c r="BO90" s="36"/>
      <c r="BP90" s="36"/>
      <c r="BQ90" s="36"/>
    </row>
    <row r="91">
      <c r="A91" s="31">
        <v>45469.0</v>
      </c>
      <c r="B91" s="31">
        <v>45476.0</v>
      </c>
      <c r="C91" s="32">
        <v>24277.1</v>
      </c>
      <c r="D91" s="33">
        <v>24117.8</v>
      </c>
      <c r="E91" s="32">
        <v>0.66</v>
      </c>
      <c r="F91" s="32" t="s">
        <v>70</v>
      </c>
      <c r="G91" s="34" t="s">
        <v>81</v>
      </c>
      <c r="H91" s="21" t="s">
        <v>171</v>
      </c>
      <c r="I91" s="34" t="s">
        <v>49</v>
      </c>
      <c r="J91" s="44">
        <v>10.0</v>
      </c>
      <c r="K91" s="43">
        <v>207.0</v>
      </c>
      <c r="L91" s="35">
        <v>504.0</v>
      </c>
      <c r="M91" s="35">
        <v>257.0</v>
      </c>
      <c r="N91" s="21">
        <v>240.0</v>
      </c>
      <c r="O91" s="35">
        <v>15.94</v>
      </c>
      <c r="P91" s="21">
        <v>252.0</v>
      </c>
      <c r="Q91" s="35">
        <v>21.74</v>
      </c>
      <c r="R91" s="21">
        <v>164.62</v>
      </c>
      <c r="S91" s="35">
        <v>-20.47</v>
      </c>
      <c r="T91" s="42">
        <v>173.99</v>
      </c>
      <c r="U91" s="42">
        <v>217.5</v>
      </c>
      <c r="V91" s="42">
        <v>229.99</v>
      </c>
      <c r="W91" s="42">
        <v>58.31</v>
      </c>
      <c r="X91" s="42">
        <v>187.5</v>
      </c>
      <c r="Y91" s="42">
        <v>15.77</v>
      </c>
      <c r="Z91" s="42">
        <v>23.78</v>
      </c>
      <c r="AA91" s="42">
        <v>25.34</v>
      </c>
      <c r="AB91" s="42">
        <v>0.27</v>
      </c>
      <c r="AC91" s="42">
        <v>3.61</v>
      </c>
      <c r="AD91" s="42">
        <v>23.78</v>
      </c>
      <c r="AE91" s="42">
        <v>2.73</v>
      </c>
      <c r="AF91" s="23">
        <v>8260869.0</v>
      </c>
      <c r="AG91" s="23">
        <v>4130433.0</v>
      </c>
      <c r="AH91" s="23">
        <v>826088.0</v>
      </c>
      <c r="AI91" s="23">
        <v>413043.0</v>
      </c>
      <c r="AJ91" s="23">
        <v>2891305.0</v>
      </c>
      <c r="AK91" s="23">
        <v>2478259.0</v>
      </c>
      <c r="AL91" s="42">
        <v>72.0</v>
      </c>
      <c r="AM91" s="42">
        <v>21.84</v>
      </c>
      <c r="AN91" s="42">
        <v>9.48</v>
      </c>
      <c r="AO91" s="42">
        <v>18.02</v>
      </c>
      <c r="AP91" s="42">
        <v>11.49</v>
      </c>
      <c r="AQ91" s="23">
        <v>50.0</v>
      </c>
      <c r="AR91" s="23">
        <v>10.0</v>
      </c>
      <c r="AS91" s="23">
        <v>5.0</v>
      </c>
      <c r="AT91" s="23">
        <v>35.0</v>
      </c>
      <c r="AU91" s="23">
        <v>30.0</v>
      </c>
      <c r="AV91" s="36"/>
      <c r="AW91" s="36"/>
      <c r="AX91" s="36"/>
      <c r="AY91" s="36"/>
      <c r="AZ91" s="36"/>
      <c r="BA91" s="36"/>
      <c r="BB91" s="36"/>
      <c r="BC91" s="36"/>
      <c r="BD91" s="36"/>
      <c r="BE91" s="36"/>
      <c r="BF91" s="36"/>
      <c r="BG91" s="36"/>
      <c r="BH91" s="36"/>
      <c r="BI91" s="36"/>
      <c r="BJ91" s="36"/>
      <c r="BK91" s="36"/>
      <c r="BL91" s="36"/>
      <c r="BM91" s="36"/>
      <c r="BN91" s="36"/>
      <c r="BO91" s="36"/>
      <c r="BP91" s="36"/>
      <c r="BQ91" s="36"/>
    </row>
    <row r="92">
      <c r="A92" s="31">
        <v>45468.0</v>
      </c>
      <c r="B92" s="31">
        <v>45475.0</v>
      </c>
      <c r="C92" s="32">
        <v>24125.35</v>
      </c>
      <c r="D92" s="33">
        <v>24123.15</v>
      </c>
      <c r="E92" s="32">
        <v>0.01</v>
      </c>
      <c r="F92" s="32" t="s">
        <v>70</v>
      </c>
      <c r="G92" s="34" t="s">
        <v>71</v>
      </c>
      <c r="H92" s="21" t="s">
        <v>172</v>
      </c>
      <c r="I92" s="34" t="s">
        <v>69</v>
      </c>
      <c r="J92" s="21">
        <v>2.0</v>
      </c>
      <c r="K92" s="43">
        <v>281.0</v>
      </c>
      <c r="L92" s="35">
        <v>594.0</v>
      </c>
      <c r="M92" s="35">
        <v>340.0</v>
      </c>
      <c r="N92" s="21">
        <v>320.0</v>
      </c>
      <c r="O92" s="35">
        <v>13.88</v>
      </c>
      <c r="P92" s="21">
        <v>317.9</v>
      </c>
      <c r="Q92" s="35">
        <v>13.13</v>
      </c>
      <c r="R92" s="21">
        <v>515.05</v>
      </c>
      <c r="S92" s="35">
        <v>83.29</v>
      </c>
      <c r="T92" s="42">
        <v>53.01</v>
      </c>
      <c r="U92" s="42">
        <v>39.76</v>
      </c>
      <c r="V92" s="42">
        <v>22.75</v>
      </c>
      <c r="W92" s="42">
        <v>4.73</v>
      </c>
      <c r="X92" s="42">
        <v>409.26</v>
      </c>
      <c r="Y92" s="42">
        <v>2.3</v>
      </c>
      <c r="Z92" s="42">
        <v>1.03</v>
      </c>
      <c r="AA92" s="42">
        <v>24.35</v>
      </c>
      <c r="AB92" s="42">
        <v>1.88</v>
      </c>
      <c r="AC92" s="42">
        <v>0.17</v>
      </c>
      <c r="AD92" s="42">
        <v>1.03</v>
      </c>
      <c r="AE92" s="42">
        <v>16.77</v>
      </c>
      <c r="AF92" s="23">
        <v>5.3391667E7</v>
      </c>
      <c r="AG92" s="23">
        <v>2.663701E7</v>
      </c>
      <c r="AH92" s="23">
        <v>5327402.0</v>
      </c>
      <c r="AI92" s="23">
        <v>2663701.0</v>
      </c>
      <c r="AJ92" s="23">
        <v>1.8645907E7</v>
      </c>
      <c r="AK92" s="23">
        <v>1.5982206E7</v>
      </c>
      <c r="AL92" s="42">
        <v>53.0</v>
      </c>
      <c r="AM92" s="42">
        <v>0.07</v>
      </c>
      <c r="AN92" s="42">
        <v>4284.57</v>
      </c>
      <c r="AO92" s="42">
        <v>0.2</v>
      </c>
      <c r="AP92" s="42">
        <v>1393.87</v>
      </c>
      <c r="AQ92" s="23">
        <v>49.89</v>
      </c>
      <c r="AR92" s="23">
        <v>9.98</v>
      </c>
      <c r="AS92" s="23">
        <v>4.99</v>
      </c>
      <c r="AT92" s="23">
        <v>34.92</v>
      </c>
      <c r="AU92" s="23">
        <v>29.93</v>
      </c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36"/>
      <c r="BI92" s="36"/>
      <c r="BJ92" s="36"/>
      <c r="BK92" s="36"/>
      <c r="BL92" s="36"/>
      <c r="BM92" s="36"/>
      <c r="BN92" s="36"/>
      <c r="BO92" s="36"/>
      <c r="BP92" s="36"/>
      <c r="BQ92" s="36"/>
    </row>
    <row r="93">
      <c r="A93" s="31">
        <v>45464.0</v>
      </c>
      <c r="B93" s="31">
        <v>45471.0</v>
      </c>
      <c r="C93" s="32">
        <v>24138.3</v>
      </c>
      <c r="D93" s="33">
        <v>24036.1</v>
      </c>
      <c r="E93" s="32">
        <v>0.43</v>
      </c>
      <c r="F93" s="32" t="s">
        <v>70</v>
      </c>
      <c r="G93" s="34" t="s">
        <v>47</v>
      </c>
      <c r="H93" s="21" t="s">
        <v>173</v>
      </c>
      <c r="I93" s="34" t="s">
        <v>49</v>
      </c>
      <c r="J93" s="44">
        <v>2.0</v>
      </c>
      <c r="K93" s="43">
        <v>369.0</v>
      </c>
      <c r="L93" s="35">
        <v>1734.0</v>
      </c>
      <c r="M93" s="35">
        <v>542.0</v>
      </c>
      <c r="N93" s="21">
        <v>494.95</v>
      </c>
      <c r="O93" s="35">
        <v>34.13</v>
      </c>
      <c r="P93" s="21">
        <v>474.75</v>
      </c>
      <c r="Q93" s="35">
        <v>28.66</v>
      </c>
      <c r="R93" s="21">
        <v>329.2</v>
      </c>
      <c r="S93" s="35">
        <v>-10.79</v>
      </c>
      <c r="T93" s="42">
        <v>215.62</v>
      </c>
      <c r="U93" s="42">
        <v>136.75</v>
      </c>
      <c r="V93" s="42">
        <v>90.76</v>
      </c>
      <c r="W93" s="42">
        <v>19.08</v>
      </c>
      <c r="X93" s="42">
        <v>237.21</v>
      </c>
      <c r="Y93" s="42">
        <v>19.34</v>
      </c>
      <c r="Z93" s="42">
        <v>7.92</v>
      </c>
      <c r="AA93" s="42">
        <v>8.63</v>
      </c>
      <c r="AB93" s="42">
        <v>0.86</v>
      </c>
      <c r="AC93" s="42">
        <v>5.97</v>
      </c>
      <c r="AD93" s="42">
        <v>8.34</v>
      </c>
      <c r="AE93" s="42">
        <v>8.03</v>
      </c>
      <c r="AF93" s="23">
        <v>1.4553508E7</v>
      </c>
      <c r="AG93" s="23">
        <v>7276753.0</v>
      </c>
      <c r="AH93" s="23">
        <v>1455351.0</v>
      </c>
      <c r="AI93" s="23">
        <v>727676.0</v>
      </c>
      <c r="AJ93" s="23">
        <v>5093728.0</v>
      </c>
      <c r="AK93" s="23">
        <v>4366051.0</v>
      </c>
      <c r="AL93" s="42">
        <v>40.0</v>
      </c>
      <c r="AM93" s="42">
        <v>6.78</v>
      </c>
      <c r="AN93" s="42">
        <v>54.43</v>
      </c>
      <c r="AO93" s="42">
        <v>4.37</v>
      </c>
      <c r="AP93" s="42">
        <v>84.4</v>
      </c>
      <c r="AQ93" s="23">
        <v>50.0</v>
      </c>
      <c r="AR93" s="23">
        <v>10.0</v>
      </c>
      <c r="AS93" s="23">
        <v>5.0</v>
      </c>
      <c r="AT93" s="23">
        <v>35.0</v>
      </c>
      <c r="AU93" s="23">
        <v>30.0</v>
      </c>
      <c r="AV93" s="36"/>
      <c r="AW93" s="36"/>
      <c r="AX93" s="36"/>
      <c r="AY93" s="36"/>
      <c r="AZ93" s="36"/>
      <c r="BA93" s="36"/>
      <c r="BB93" s="36"/>
      <c r="BC93" s="36"/>
      <c r="BD93" s="36"/>
      <c r="BE93" s="36"/>
      <c r="BF93" s="36"/>
      <c r="BG93" s="36"/>
      <c r="BH93" s="36"/>
      <c r="BI93" s="36"/>
      <c r="BJ93" s="36"/>
      <c r="BK93" s="36"/>
      <c r="BL93" s="36"/>
      <c r="BM93" s="36"/>
      <c r="BN93" s="36"/>
      <c r="BO93" s="36"/>
      <c r="BP93" s="36"/>
      <c r="BQ93" s="36"/>
    </row>
    <row r="94">
      <c r="A94" s="31">
        <v>45462.0</v>
      </c>
      <c r="B94" s="31">
        <v>45469.0</v>
      </c>
      <c r="C94" s="32">
        <v>23702.0</v>
      </c>
      <c r="D94" s="33">
        <v>23721.9</v>
      </c>
      <c r="E94" s="32">
        <v>-0.08</v>
      </c>
      <c r="F94" s="32" t="s">
        <v>70</v>
      </c>
      <c r="G94" s="34" t="s">
        <v>47</v>
      </c>
      <c r="H94" s="21" t="s">
        <v>174</v>
      </c>
      <c r="I94" s="34" t="s">
        <v>49</v>
      </c>
      <c r="J94" s="44">
        <v>10.0</v>
      </c>
      <c r="K94" s="43">
        <v>203.0</v>
      </c>
      <c r="L94" s="35">
        <v>904.0</v>
      </c>
      <c r="M94" s="35">
        <v>293.0</v>
      </c>
      <c r="N94" s="21">
        <v>339.0</v>
      </c>
      <c r="O94" s="35">
        <v>67.0</v>
      </c>
      <c r="P94" s="21">
        <v>335.32</v>
      </c>
      <c r="Q94" s="35">
        <v>65.18</v>
      </c>
      <c r="R94" s="21">
        <v>279.45</v>
      </c>
      <c r="S94" s="35">
        <v>37.66</v>
      </c>
      <c r="T94" s="42">
        <v>206.54</v>
      </c>
      <c r="U94" s="42">
        <v>165.71</v>
      </c>
      <c r="V94" s="42">
        <v>116.73</v>
      </c>
      <c r="W94" s="42">
        <v>23.66</v>
      </c>
      <c r="X94" s="42">
        <v>428.19</v>
      </c>
      <c r="Y94" s="42">
        <v>11.62</v>
      </c>
      <c r="Z94" s="42">
        <v>3.06</v>
      </c>
      <c r="AA94" s="42">
        <v>3.91</v>
      </c>
      <c r="AB94" s="42">
        <v>0.85</v>
      </c>
      <c r="AC94" s="42">
        <v>2.63</v>
      </c>
      <c r="AD94" s="42">
        <v>3.35</v>
      </c>
      <c r="AE94" s="42">
        <v>2.46</v>
      </c>
      <c r="AF94" s="23">
        <v>2.0596938E7</v>
      </c>
      <c r="AG94" s="23">
        <v>1.0271295E7</v>
      </c>
      <c r="AH94" s="23">
        <v>2054260.0</v>
      </c>
      <c r="AI94" s="23">
        <v>1027129.0</v>
      </c>
      <c r="AJ94" s="23">
        <v>7189907.0</v>
      </c>
      <c r="AK94" s="23">
        <v>6162777.0</v>
      </c>
      <c r="AL94" s="42">
        <v>73.0</v>
      </c>
      <c r="AM94" s="42">
        <v>2.45</v>
      </c>
      <c r="AN94" s="42">
        <v>83.0</v>
      </c>
      <c r="AO94" s="42">
        <v>2.77</v>
      </c>
      <c r="AP94" s="42">
        <v>73.33</v>
      </c>
      <c r="AQ94" s="23">
        <v>49.87</v>
      </c>
      <c r="AR94" s="23">
        <v>9.97</v>
      </c>
      <c r="AS94" s="23">
        <v>4.99</v>
      </c>
      <c r="AT94" s="23">
        <v>34.91</v>
      </c>
      <c r="AU94" s="23">
        <v>29.92</v>
      </c>
      <c r="AV94" s="36"/>
      <c r="AW94" s="36"/>
      <c r="AX94" s="36"/>
      <c r="AY94" s="36"/>
      <c r="AZ94" s="36"/>
      <c r="BA94" s="36"/>
      <c r="BB94" s="36"/>
      <c r="BC94" s="36"/>
      <c r="BD94" s="36"/>
      <c r="BE94" s="36"/>
      <c r="BF94" s="36"/>
      <c r="BG94" s="36"/>
      <c r="BH94" s="36"/>
      <c r="BI94" s="36"/>
      <c r="BJ94" s="36"/>
      <c r="BK94" s="36"/>
      <c r="BL94" s="36"/>
      <c r="BM94" s="36"/>
      <c r="BN94" s="36"/>
      <c r="BO94" s="36"/>
      <c r="BP94" s="36"/>
      <c r="BQ94" s="36"/>
    </row>
    <row r="95">
      <c r="A95" s="31">
        <v>45462.0</v>
      </c>
      <c r="B95" s="31">
        <v>45469.0</v>
      </c>
      <c r="C95" s="32">
        <v>23702.0</v>
      </c>
      <c r="D95" s="33">
        <v>23721.9</v>
      </c>
      <c r="E95" s="32">
        <v>-0.08</v>
      </c>
      <c r="F95" s="32" t="s">
        <v>70</v>
      </c>
      <c r="G95" s="34" t="s">
        <v>52</v>
      </c>
      <c r="H95" s="21" t="s">
        <v>175</v>
      </c>
      <c r="I95" s="34" t="s">
        <v>49</v>
      </c>
      <c r="J95" s="44">
        <v>10.0</v>
      </c>
      <c r="K95" s="43">
        <v>120.0</v>
      </c>
      <c r="L95" s="35">
        <v>163.0</v>
      </c>
      <c r="M95" s="35">
        <v>136.0</v>
      </c>
      <c r="N95" s="21">
        <v>127.0</v>
      </c>
      <c r="O95" s="35">
        <v>5.83</v>
      </c>
      <c r="P95" s="21">
        <v>133.35</v>
      </c>
      <c r="Q95" s="35">
        <v>11.13</v>
      </c>
      <c r="R95" s="21">
        <v>7.0</v>
      </c>
      <c r="S95" s="35">
        <v>-94.17</v>
      </c>
      <c r="T95" s="42">
        <v>28.12</v>
      </c>
      <c r="U95" s="42">
        <v>121.56</v>
      </c>
      <c r="V95" s="42">
        <v>146.83</v>
      </c>
      <c r="W95" s="42">
        <v>44.58</v>
      </c>
      <c r="X95" s="42">
        <v>217.01</v>
      </c>
      <c r="Y95" s="42">
        <v>69.45</v>
      </c>
      <c r="Z95" s="42">
        <v>5.64</v>
      </c>
      <c r="AA95" s="42">
        <v>4.05</v>
      </c>
      <c r="AB95" s="42">
        <v>2.49</v>
      </c>
      <c r="AC95" s="42">
        <v>22.93</v>
      </c>
      <c r="AD95" s="42">
        <v>5.81</v>
      </c>
      <c r="AE95" s="42">
        <v>1.4</v>
      </c>
      <c r="AF95" s="23">
        <v>1.1E7</v>
      </c>
      <c r="AG95" s="23">
        <v>5225000.0</v>
      </c>
      <c r="AH95" s="23">
        <v>1045000.0</v>
      </c>
      <c r="AI95" s="23">
        <v>522500.0</v>
      </c>
      <c r="AJ95" s="23">
        <v>3657500.0</v>
      </c>
      <c r="AK95" s="23">
        <v>3135000.0</v>
      </c>
      <c r="AL95" s="42">
        <v>125.0</v>
      </c>
      <c r="AM95" s="42">
        <v>3.87</v>
      </c>
      <c r="AN95" s="42">
        <v>20.0</v>
      </c>
      <c r="AO95" s="42">
        <v>5.85</v>
      </c>
      <c r="AP95" s="42">
        <v>20.0</v>
      </c>
      <c r="AQ95" s="23">
        <v>47.5</v>
      </c>
      <c r="AR95" s="23">
        <v>9.5</v>
      </c>
      <c r="AS95" s="23">
        <v>4.75</v>
      </c>
      <c r="AT95" s="23">
        <v>33.25</v>
      </c>
      <c r="AU95" s="23">
        <v>28.5</v>
      </c>
      <c r="AV95" s="36"/>
      <c r="AW95" s="36"/>
      <c r="AX95" s="36"/>
      <c r="AY95" s="36"/>
      <c r="AZ95" s="36"/>
      <c r="BA95" s="36"/>
      <c r="BB95" s="36"/>
      <c r="BC95" s="36"/>
      <c r="BD95" s="36"/>
      <c r="BE95" s="36"/>
      <c r="BF95" s="36"/>
      <c r="BG95" s="36"/>
      <c r="BH95" s="36"/>
      <c r="BI95" s="36"/>
      <c r="BJ95" s="36"/>
      <c r="BK95" s="36"/>
      <c r="BL95" s="36"/>
      <c r="BM95" s="36"/>
      <c r="BN95" s="36"/>
      <c r="BO95" s="36"/>
      <c r="BP95" s="36"/>
      <c r="BQ95" s="36"/>
    </row>
    <row r="96">
      <c r="A96" s="31">
        <v>45453.0</v>
      </c>
      <c r="B96" s="31">
        <v>45461.0</v>
      </c>
      <c r="C96" s="32">
        <v>23560.05</v>
      </c>
      <c r="D96" s="33">
        <v>23454.15</v>
      </c>
      <c r="E96" s="32">
        <v>0.45</v>
      </c>
      <c r="F96" s="32" t="s">
        <v>70</v>
      </c>
      <c r="G96" s="34" t="s">
        <v>50</v>
      </c>
      <c r="H96" s="21" t="s">
        <v>176</v>
      </c>
      <c r="I96" s="34" t="s">
        <v>49</v>
      </c>
      <c r="J96" s="21">
        <v>1.0</v>
      </c>
      <c r="K96" s="42">
        <v>93.0</v>
      </c>
      <c r="L96" s="35">
        <v>30.504</v>
      </c>
      <c r="M96" s="35">
        <v>123.5</v>
      </c>
      <c r="N96" s="21">
        <v>138.1</v>
      </c>
      <c r="O96" s="35">
        <v>48.49</v>
      </c>
      <c r="P96" s="21">
        <v>165.72</v>
      </c>
      <c r="Q96" s="35">
        <v>78.19</v>
      </c>
      <c r="R96" s="21">
        <v>233.78</v>
      </c>
      <c r="S96" s="35">
        <v>151.38</v>
      </c>
      <c r="T96" s="42">
        <v>106.73</v>
      </c>
      <c r="U96" s="42">
        <v>117.4</v>
      </c>
      <c r="V96" s="42">
        <v>95.95</v>
      </c>
      <c r="W96" s="42">
        <v>53.95</v>
      </c>
      <c r="X96" s="42">
        <v>437.13</v>
      </c>
      <c r="Y96" s="42">
        <v>8.99</v>
      </c>
      <c r="Z96" s="42">
        <v>6.26</v>
      </c>
      <c r="AA96" s="42">
        <v>8.0</v>
      </c>
      <c r="AB96" s="42">
        <v>0.15</v>
      </c>
      <c r="AC96" s="42">
        <v>4.52</v>
      </c>
      <c r="AD96" s="42">
        <v>15.26</v>
      </c>
      <c r="AE96" s="42">
        <v>8.14</v>
      </c>
      <c r="AF96" s="23">
        <v>7.9580899E7</v>
      </c>
      <c r="AG96" s="23">
        <v>5.9685676E7</v>
      </c>
      <c r="AH96" s="23">
        <v>7958089.0</v>
      </c>
      <c r="AI96" s="23">
        <v>3979045.0</v>
      </c>
      <c r="AJ96" s="23">
        <v>7958089.0</v>
      </c>
      <c r="AK96" s="23">
        <v>3.5811405E7</v>
      </c>
      <c r="AL96" s="42">
        <v>161.0</v>
      </c>
      <c r="AM96" s="42">
        <v>0.62</v>
      </c>
      <c r="AN96" s="42">
        <v>148.87</v>
      </c>
      <c r="AO96" s="42">
        <v>2.26</v>
      </c>
      <c r="AP96" s="42">
        <v>41.12</v>
      </c>
      <c r="AQ96" s="23">
        <v>75.0</v>
      </c>
      <c r="AR96" s="23">
        <v>10.0</v>
      </c>
      <c r="AS96" s="23">
        <v>5.0</v>
      </c>
      <c r="AT96" s="23">
        <v>10.0</v>
      </c>
      <c r="AU96" s="23">
        <v>45.0</v>
      </c>
      <c r="AV96" s="36"/>
      <c r="AW96" s="36"/>
      <c r="AX96" s="36"/>
      <c r="AY96" s="36"/>
      <c r="AZ96" s="36"/>
      <c r="BA96" s="36"/>
      <c r="BB96" s="36"/>
      <c r="BC96" s="36"/>
      <c r="BD96" s="36"/>
      <c r="BE96" s="36"/>
      <c r="BF96" s="36"/>
      <c r="BG96" s="36"/>
      <c r="BH96" s="36"/>
      <c r="BI96" s="36"/>
      <c r="BJ96" s="36"/>
      <c r="BK96" s="36"/>
      <c r="BL96" s="36"/>
      <c r="BM96" s="36"/>
      <c r="BN96" s="36"/>
      <c r="BO96" s="36"/>
      <c r="BP96" s="36"/>
      <c r="BQ96" s="36"/>
    </row>
    <row r="97">
      <c r="A97" s="31">
        <v>45446.0</v>
      </c>
      <c r="B97" s="31">
        <v>45453.0</v>
      </c>
      <c r="C97" s="32">
        <v>23248.25</v>
      </c>
      <c r="D97" s="33">
        <v>23270.05</v>
      </c>
      <c r="E97" s="32">
        <v>-0.09</v>
      </c>
      <c r="F97" s="32" t="s">
        <v>70</v>
      </c>
      <c r="G97" s="34" t="s">
        <v>81</v>
      </c>
      <c r="H97" s="21" t="s">
        <v>177</v>
      </c>
      <c r="I97" s="34" t="s">
        <v>49</v>
      </c>
      <c r="J97" s="44">
        <v>10.0</v>
      </c>
      <c r="K97" s="43">
        <v>136.0</v>
      </c>
      <c r="L97" s="35">
        <v>284.0</v>
      </c>
      <c r="M97" s="35">
        <v>164.0</v>
      </c>
      <c r="N97" s="21">
        <v>164.95</v>
      </c>
      <c r="O97" s="35">
        <v>21.29</v>
      </c>
      <c r="P97" s="21">
        <v>151.4</v>
      </c>
      <c r="Q97" s="35">
        <v>11.32</v>
      </c>
      <c r="R97" s="21">
        <v>180.98</v>
      </c>
      <c r="S97" s="35">
        <v>33.07</v>
      </c>
      <c r="T97" s="42">
        <v>89.03</v>
      </c>
      <c r="U97" s="42">
        <v>322.26</v>
      </c>
      <c r="V97" s="42">
        <v>261.22</v>
      </c>
      <c r="W97" s="42">
        <v>54.24</v>
      </c>
      <c r="X97" s="42">
        <v>60.28</v>
      </c>
      <c r="Y97" s="42">
        <v>25.0</v>
      </c>
      <c r="Z97" s="42">
        <v>25.66</v>
      </c>
      <c r="AA97" s="42">
        <v>33.15</v>
      </c>
      <c r="AB97" s="42">
        <v>0.0</v>
      </c>
      <c r="AC97" s="42">
        <v>22.6</v>
      </c>
      <c r="AD97" s="42">
        <v>25.66</v>
      </c>
      <c r="AE97" s="42">
        <v>8.37</v>
      </c>
      <c r="AF97" s="23">
        <v>9570000.0</v>
      </c>
      <c r="AG97" s="23">
        <v>4785000.0</v>
      </c>
      <c r="AH97" s="23">
        <v>957000.0</v>
      </c>
      <c r="AI97" s="23">
        <v>478500.0</v>
      </c>
      <c r="AJ97" s="23">
        <v>3349500.0</v>
      </c>
      <c r="AK97" s="23">
        <v>2871000.0</v>
      </c>
      <c r="AL97" s="42">
        <v>110.0</v>
      </c>
      <c r="AM97" s="42">
        <v>4.48</v>
      </c>
      <c r="AN97" s="42">
        <v>30.37</v>
      </c>
      <c r="AO97" s="42">
        <v>5.56</v>
      </c>
      <c r="AP97" s="42">
        <v>24.47</v>
      </c>
      <c r="AQ97" s="23">
        <v>50.0</v>
      </c>
      <c r="AR97" s="23">
        <v>10.0</v>
      </c>
      <c r="AS97" s="23">
        <v>5.0</v>
      </c>
      <c r="AT97" s="23">
        <v>35.0</v>
      </c>
      <c r="AU97" s="23">
        <v>30.0</v>
      </c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</row>
    <row r="98">
      <c r="A98" s="31">
        <v>45434.0</v>
      </c>
      <c r="B98" s="31">
        <v>45442.0</v>
      </c>
      <c r="C98" s="32">
        <v>22593.65</v>
      </c>
      <c r="D98" s="33">
        <v>22705.8</v>
      </c>
      <c r="E98" s="32">
        <v>-0.49</v>
      </c>
      <c r="F98" s="32" t="s">
        <v>61</v>
      </c>
      <c r="G98" s="34" t="s">
        <v>55</v>
      </c>
      <c r="H98" s="21" t="s">
        <v>178</v>
      </c>
      <c r="I98" s="34" t="s">
        <v>49</v>
      </c>
      <c r="J98" s="44">
        <v>10.0</v>
      </c>
      <c r="K98" s="43">
        <v>383.0</v>
      </c>
      <c r="L98" s="35">
        <v>844.0</v>
      </c>
      <c r="M98" s="35">
        <v>467.0</v>
      </c>
      <c r="N98" s="21">
        <v>435.0</v>
      </c>
      <c r="O98" s="35">
        <v>13.58</v>
      </c>
      <c r="P98" s="21">
        <v>402.95</v>
      </c>
      <c r="Q98" s="35">
        <v>5.21</v>
      </c>
      <c r="R98" s="21">
        <v>595.4</v>
      </c>
      <c r="S98" s="35">
        <v>55.46</v>
      </c>
      <c r="T98" s="42">
        <v>116.95</v>
      </c>
      <c r="U98" s="42">
        <v>138.15</v>
      </c>
      <c r="V98" s="42">
        <v>111.53</v>
      </c>
      <c r="W98" s="42">
        <v>53.23</v>
      </c>
      <c r="X98" s="42">
        <v>247.19</v>
      </c>
      <c r="Y98" s="42">
        <v>1.0</v>
      </c>
      <c r="Z98" s="42">
        <v>-35.0</v>
      </c>
      <c r="AA98" s="42">
        <v>1.1</v>
      </c>
      <c r="AB98" s="42">
        <v>3.0</v>
      </c>
      <c r="AC98" s="42">
        <v>-8.6</v>
      </c>
      <c r="AD98" s="42">
        <v>-7.66</v>
      </c>
      <c r="AE98" s="42">
        <v>9.63</v>
      </c>
      <c r="AF98" s="23">
        <v>1.5643153E7</v>
      </c>
      <c r="AG98" s="23">
        <v>1.1689139E7</v>
      </c>
      <c r="AH98" s="23">
        <v>1558552.0</v>
      </c>
      <c r="AI98" s="23">
        <v>779275.0</v>
      </c>
      <c r="AJ98" s="23">
        <v>1558551.0</v>
      </c>
      <c r="AK98" s="23">
        <v>7013483.0</v>
      </c>
      <c r="AL98" s="42">
        <v>39.0</v>
      </c>
      <c r="AM98" s="42" t="s">
        <v>57</v>
      </c>
      <c r="AN98" s="42" t="s">
        <v>57</v>
      </c>
      <c r="AO98" s="42" t="s">
        <v>57</v>
      </c>
      <c r="AP98" s="42" t="s">
        <v>57</v>
      </c>
      <c r="AQ98" s="23">
        <v>74.72</v>
      </c>
      <c r="AR98" s="23">
        <v>9.96</v>
      </c>
      <c r="AS98" s="23">
        <v>4.98</v>
      </c>
      <c r="AT98" s="23">
        <v>9.96</v>
      </c>
      <c r="AU98" s="23">
        <v>44.83</v>
      </c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</row>
    <row r="99">
      <c r="A99" s="31">
        <v>45427.0</v>
      </c>
      <c r="B99" s="31">
        <v>45435.0</v>
      </c>
      <c r="C99" s="32">
        <v>22677.35</v>
      </c>
      <c r="D99" s="33">
        <v>22620.5</v>
      </c>
      <c r="E99" s="32">
        <v>0.25</v>
      </c>
      <c r="F99" s="32" t="s">
        <v>70</v>
      </c>
      <c r="G99" s="34" t="s">
        <v>52</v>
      </c>
      <c r="H99" s="21" t="s">
        <v>179</v>
      </c>
      <c r="I99" s="34" t="s">
        <v>49</v>
      </c>
      <c r="J99" s="21">
        <v>10.0</v>
      </c>
      <c r="K99" s="43">
        <v>272.0</v>
      </c>
      <c r="L99" s="35">
        <v>41.0</v>
      </c>
      <c r="M99" s="35">
        <v>276.0</v>
      </c>
      <c r="N99" s="21">
        <v>286.0</v>
      </c>
      <c r="O99" s="35">
        <v>5.15</v>
      </c>
      <c r="P99" s="21">
        <v>306.0</v>
      </c>
      <c r="Q99" s="35">
        <v>12.5</v>
      </c>
      <c r="R99" s="21">
        <v>370.05</v>
      </c>
      <c r="S99" s="35">
        <v>36.05</v>
      </c>
      <c r="T99" s="42">
        <v>12.56</v>
      </c>
      <c r="U99" s="42">
        <v>8.28</v>
      </c>
      <c r="V99" s="42">
        <v>5.15</v>
      </c>
      <c r="W99" s="42">
        <v>4.27</v>
      </c>
      <c r="X99" s="42">
        <v>2459.34</v>
      </c>
      <c r="Y99" s="42">
        <v>0.7</v>
      </c>
      <c r="Z99" s="42">
        <v>1.53</v>
      </c>
      <c r="AA99" s="42">
        <v>1.69</v>
      </c>
      <c r="AB99" s="42">
        <v>0.06</v>
      </c>
      <c r="AC99" s="42">
        <v>0.49</v>
      </c>
      <c r="AD99" s="42">
        <v>5.25</v>
      </c>
      <c r="AE99" s="42">
        <v>9.67</v>
      </c>
      <c r="AF99" s="23">
        <v>9.6126686E7</v>
      </c>
      <c r="AG99" s="23">
        <v>7.2095016E7</v>
      </c>
      <c r="AH99" s="23">
        <v>9612668.0</v>
      </c>
      <c r="AI99" s="23">
        <v>4806334.0</v>
      </c>
      <c r="AJ99" s="23">
        <v>9612668.0</v>
      </c>
      <c r="AK99" s="23">
        <v>4.3257009E7</v>
      </c>
      <c r="AL99" s="42">
        <v>55.0</v>
      </c>
      <c r="AM99" s="42">
        <v>0.41</v>
      </c>
      <c r="AN99" s="42">
        <v>670.31</v>
      </c>
      <c r="AO99" s="42">
        <v>1.88</v>
      </c>
      <c r="AP99" s="42">
        <v>145.03</v>
      </c>
      <c r="AQ99" s="23">
        <v>75.0</v>
      </c>
      <c r="AR99" s="23">
        <v>10.0</v>
      </c>
      <c r="AS99" s="23">
        <v>5.0</v>
      </c>
      <c r="AT99" s="23">
        <v>10.0</v>
      </c>
      <c r="AU99" s="23">
        <v>45.0</v>
      </c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</row>
    <row r="100">
      <c r="A100" s="31">
        <v>45420.0</v>
      </c>
      <c r="B100" s="31">
        <v>45427.0</v>
      </c>
      <c r="C100" s="32">
        <v>22226.6</v>
      </c>
      <c r="D100" s="33">
        <v>22223.8</v>
      </c>
      <c r="E100" s="32">
        <v>0.01</v>
      </c>
      <c r="F100" s="32" t="s">
        <v>61</v>
      </c>
      <c r="G100" s="34" t="s">
        <v>55</v>
      </c>
      <c r="H100" s="21" t="s">
        <v>180</v>
      </c>
      <c r="I100" s="34" t="s">
        <v>69</v>
      </c>
      <c r="J100" s="44">
        <v>1.0</v>
      </c>
      <c r="K100" s="43">
        <v>920.0</v>
      </c>
      <c r="L100" s="35">
        <v>3004.0</v>
      </c>
      <c r="M100" s="35">
        <v>1220.0</v>
      </c>
      <c r="N100" s="21">
        <v>1426.0</v>
      </c>
      <c r="O100" s="35">
        <v>55.0</v>
      </c>
      <c r="P100" s="21">
        <v>1406.3</v>
      </c>
      <c r="Q100" s="35">
        <v>52.86</v>
      </c>
      <c r="R100" s="21">
        <v>1354.6</v>
      </c>
      <c r="S100" s="35">
        <v>47.24</v>
      </c>
      <c r="T100" s="42">
        <v>125.51</v>
      </c>
      <c r="U100" s="42">
        <v>55.82</v>
      </c>
      <c r="V100" s="42">
        <v>40.15</v>
      </c>
      <c r="W100" s="42">
        <v>25.72</v>
      </c>
      <c r="X100" s="42">
        <v>501.21</v>
      </c>
      <c r="Y100" s="42">
        <v>17.0</v>
      </c>
      <c r="Z100" s="42">
        <v>44.0</v>
      </c>
      <c r="AA100" s="42">
        <v>60.0</v>
      </c>
      <c r="AB100" s="42">
        <v>0.01</v>
      </c>
      <c r="AC100" s="42">
        <v>13.9</v>
      </c>
      <c r="AD100" s="42">
        <v>30.76</v>
      </c>
      <c r="AE100" s="42">
        <v>18.66</v>
      </c>
      <c r="AF100" s="23">
        <v>1.6856623E7</v>
      </c>
      <c r="AG100" s="23">
        <v>1.2618012E7</v>
      </c>
      <c r="AH100" s="23">
        <v>1682401.0</v>
      </c>
      <c r="AI100" s="23">
        <v>841201.0</v>
      </c>
      <c r="AJ100" s="23">
        <v>1682401.0</v>
      </c>
      <c r="AK100" s="23">
        <v>7570807.0</v>
      </c>
      <c r="AL100" s="42">
        <v>16.0</v>
      </c>
      <c r="AM100" s="42">
        <v>14.25</v>
      </c>
      <c r="AN100" s="42">
        <v>64.58</v>
      </c>
      <c r="AO100" s="42">
        <v>18.93</v>
      </c>
      <c r="AP100" s="42">
        <v>48.6</v>
      </c>
      <c r="AQ100" s="23">
        <v>74.85</v>
      </c>
      <c r="AR100" s="23">
        <v>9.98</v>
      </c>
      <c r="AS100" s="23">
        <v>4.99</v>
      </c>
      <c r="AT100" s="23">
        <v>9.98</v>
      </c>
      <c r="AU100" s="23">
        <v>44.91</v>
      </c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</row>
    <row r="101">
      <c r="A101" s="31">
        <v>45420.0</v>
      </c>
      <c r="B101" s="31">
        <v>45427.0</v>
      </c>
      <c r="C101" s="32">
        <v>22226.6</v>
      </c>
      <c r="D101" s="33">
        <v>22223.8</v>
      </c>
      <c r="E101" s="32">
        <v>0.01</v>
      </c>
      <c r="F101" s="32" t="s">
        <v>61</v>
      </c>
      <c r="G101" s="34" t="s">
        <v>52</v>
      </c>
      <c r="H101" s="21" t="s">
        <v>181</v>
      </c>
      <c r="I101" s="34" t="s">
        <v>49</v>
      </c>
      <c r="J101" s="44">
        <v>10.0</v>
      </c>
      <c r="K101" s="43">
        <v>315.0</v>
      </c>
      <c r="L101" s="35">
        <v>433.0</v>
      </c>
      <c r="M101" s="35">
        <v>358.0</v>
      </c>
      <c r="N101" s="21">
        <v>315.0</v>
      </c>
      <c r="O101" s="35">
        <v>0.0</v>
      </c>
      <c r="P101" s="21">
        <v>329.55</v>
      </c>
      <c r="Q101" s="35">
        <v>4.62</v>
      </c>
      <c r="R101" s="21">
        <v>507.05</v>
      </c>
      <c r="S101" s="35">
        <v>60.97</v>
      </c>
      <c r="T101" s="42">
        <v>76.42</v>
      </c>
      <c r="U101" s="42">
        <v>18.9</v>
      </c>
      <c r="V101" s="42">
        <v>14.19</v>
      </c>
      <c r="W101" s="42">
        <v>2.58</v>
      </c>
      <c r="X101" s="42">
        <v>4249.1</v>
      </c>
      <c r="Y101" s="42">
        <v>86.5</v>
      </c>
      <c r="Z101" s="42">
        <v>18.4</v>
      </c>
      <c r="AA101" s="42">
        <v>10.08</v>
      </c>
      <c r="AB101" s="42">
        <v>3.1</v>
      </c>
      <c r="AC101" s="42">
        <v>26.7</v>
      </c>
      <c r="AD101" s="42">
        <v>12.9</v>
      </c>
      <c r="AE101" s="42">
        <v>2.93</v>
      </c>
      <c r="AF101" s="23">
        <v>9.5255598E7</v>
      </c>
      <c r="AG101" s="23">
        <v>4.7507935E7</v>
      </c>
      <c r="AH101" s="23">
        <v>9501588.0</v>
      </c>
      <c r="AI101" s="23">
        <v>4750793.0</v>
      </c>
      <c r="AJ101" s="23">
        <v>3.3255556E7</v>
      </c>
      <c r="AK101" s="23">
        <v>2.8504761E7</v>
      </c>
      <c r="AL101" s="42">
        <v>47.0</v>
      </c>
      <c r="AM101" s="42">
        <v>13.81</v>
      </c>
      <c r="AN101" s="42">
        <v>22.8</v>
      </c>
      <c r="AO101" s="42">
        <v>17.13</v>
      </c>
      <c r="AP101" s="42">
        <v>18.39</v>
      </c>
      <c r="AQ101" s="23">
        <v>49.87</v>
      </c>
      <c r="AR101" s="23">
        <v>9.97</v>
      </c>
      <c r="AS101" s="23">
        <v>4.99</v>
      </c>
      <c r="AT101" s="23">
        <v>34.91</v>
      </c>
      <c r="AU101" s="23">
        <v>29.92</v>
      </c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</row>
    <row r="102">
      <c r="A102" s="31">
        <v>45418.0</v>
      </c>
      <c r="B102" s="31">
        <v>45425.0</v>
      </c>
      <c r="C102" s="32">
        <v>21844.45</v>
      </c>
      <c r="D102" s="33">
        <v>22054.0</v>
      </c>
      <c r="E102" s="32">
        <v>-0.95</v>
      </c>
      <c r="F102" s="32" t="s">
        <v>54</v>
      </c>
      <c r="G102" s="34" t="s">
        <v>62</v>
      </c>
      <c r="H102" s="21" t="s">
        <v>182</v>
      </c>
      <c r="I102" s="34" t="s">
        <v>69</v>
      </c>
      <c r="J102" s="44">
        <v>2.0</v>
      </c>
      <c r="K102" s="43">
        <v>452.0</v>
      </c>
      <c r="L102" s="35">
        <v>2755.0</v>
      </c>
      <c r="M102" s="35">
        <v>727.0</v>
      </c>
      <c r="N102" s="21">
        <v>655.0</v>
      </c>
      <c r="O102" s="35">
        <v>44.91</v>
      </c>
      <c r="P102" s="21">
        <v>570.9</v>
      </c>
      <c r="Q102" s="35">
        <v>26.31</v>
      </c>
      <c r="R102" s="21">
        <v>543.0</v>
      </c>
      <c r="S102" s="35">
        <v>20.13</v>
      </c>
      <c r="T102" s="42">
        <v>192.72</v>
      </c>
      <c r="U102" s="42">
        <v>62.23</v>
      </c>
      <c r="V102" s="42">
        <v>43.26</v>
      </c>
      <c r="W102" s="42">
        <v>7.86</v>
      </c>
      <c r="X102" s="42">
        <v>1327.0</v>
      </c>
      <c r="Y102" s="42">
        <v>19.7</v>
      </c>
      <c r="Z102" s="42">
        <v>25.0</v>
      </c>
      <c r="AA102" s="42">
        <v>21.4</v>
      </c>
      <c r="AB102" s="42">
        <v>0.3</v>
      </c>
      <c r="AC102" s="42">
        <v>12.62</v>
      </c>
      <c r="AD102" s="42">
        <v>18.23</v>
      </c>
      <c r="AE102" s="42">
        <v>7.55</v>
      </c>
      <c r="AF102" s="23">
        <v>4.076655E7</v>
      </c>
      <c r="AG102" s="23">
        <v>2.023517E7</v>
      </c>
      <c r="AH102" s="23">
        <v>4047034.0</v>
      </c>
      <c r="AI102" s="23">
        <v>2023518.0</v>
      </c>
      <c r="AJ102" s="23">
        <v>1.416462E7</v>
      </c>
      <c r="AK102" s="23">
        <v>1.2141102E7</v>
      </c>
      <c r="AL102" s="42">
        <v>33.0</v>
      </c>
      <c r="AM102" s="42">
        <v>11.96</v>
      </c>
      <c r="AN102" s="42">
        <v>37.78</v>
      </c>
      <c r="AO102" s="42">
        <v>13.48</v>
      </c>
      <c r="AP102" s="42">
        <v>33.53</v>
      </c>
      <c r="AQ102" s="23">
        <v>49.64</v>
      </c>
      <c r="AR102" s="23">
        <v>9.93</v>
      </c>
      <c r="AS102" s="23">
        <v>4.96</v>
      </c>
      <c r="AT102" s="23">
        <v>34.75</v>
      </c>
      <c r="AU102" s="23">
        <v>29.78</v>
      </c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</row>
    <row r="103">
      <c r="A103" s="31">
        <v>45405.0</v>
      </c>
      <c r="B103" s="31">
        <v>45412.0</v>
      </c>
      <c r="C103" s="32">
        <v>22740.95</v>
      </c>
      <c r="D103" s="33">
        <v>22633.15</v>
      </c>
      <c r="E103" s="32">
        <v>0.48</v>
      </c>
      <c r="F103" s="32" t="s">
        <v>70</v>
      </c>
      <c r="G103" s="34" t="s">
        <v>78</v>
      </c>
      <c r="H103" s="21" t="s">
        <v>183</v>
      </c>
      <c r="I103" s="34" t="s">
        <v>49</v>
      </c>
      <c r="J103" s="44">
        <v>2.0</v>
      </c>
      <c r="K103" s="43">
        <v>415.0</v>
      </c>
      <c r="L103" s="35">
        <v>1354.0</v>
      </c>
      <c r="M103" s="35">
        <v>550.0</v>
      </c>
      <c r="N103" s="21">
        <v>621.0</v>
      </c>
      <c r="O103" s="35">
        <v>49.64</v>
      </c>
      <c r="P103" s="21">
        <v>694.55</v>
      </c>
      <c r="Q103" s="35">
        <v>67.36</v>
      </c>
      <c r="R103" s="21">
        <v>322.0</v>
      </c>
      <c r="S103" s="35">
        <v>-22.41</v>
      </c>
      <c r="T103" s="42">
        <v>74.4</v>
      </c>
      <c r="U103" s="42">
        <v>27.73</v>
      </c>
      <c r="V103" s="42">
        <v>15.94</v>
      </c>
      <c r="W103" s="42">
        <v>4.2</v>
      </c>
      <c r="X103" s="42">
        <v>168.56</v>
      </c>
      <c r="Y103" s="42">
        <v>18.05</v>
      </c>
      <c r="Z103" s="42">
        <v>31.79</v>
      </c>
      <c r="AA103" s="42">
        <v>34.73</v>
      </c>
      <c r="AB103" s="42">
        <v>0.34</v>
      </c>
      <c r="AC103" s="42">
        <v>18.24</v>
      </c>
      <c r="AD103" s="42">
        <v>31.79</v>
      </c>
      <c r="AE103" s="42">
        <v>11.92</v>
      </c>
      <c r="AF103" s="23">
        <v>1.5649967E7</v>
      </c>
      <c r="AG103" s="23">
        <v>7824982.0</v>
      </c>
      <c r="AH103" s="23">
        <v>1564997.0</v>
      </c>
      <c r="AI103" s="23">
        <v>782499.0</v>
      </c>
      <c r="AJ103" s="23">
        <v>5477489.0</v>
      </c>
      <c r="AK103" s="23">
        <v>4694989.0</v>
      </c>
      <c r="AL103" s="42">
        <v>36.0</v>
      </c>
      <c r="AM103" s="42">
        <v>9.58</v>
      </c>
      <c r="AN103" s="42">
        <v>43.32</v>
      </c>
      <c r="AO103" s="42">
        <v>11.08</v>
      </c>
      <c r="AP103" s="42">
        <v>37.46</v>
      </c>
      <c r="AQ103" s="23">
        <v>50.0</v>
      </c>
      <c r="AR103" s="23">
        <v>10.0</v>
      </c>
      <c r="AS103" s="23">
        <v>5.0</v>
      </c>
      <c r="AT103" s="23">
        <v>35.0</v>
      </c>
      <c r="AU103" s="23">
        <v>30.0</v>
      </c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</row>
    <row r="104">
      <c r="A104" s="31">
        <v>45385.0</v>
      </c>
      <c r="B104" s="31">
        <v>45394.0</v>
      </c>
      <c r="C104" s="32">
        <v>22654.3</v>
      </c>
      <c r="D104" s="33">
        <v>22735.05</v>
      </c>
      <c r="E104" s="32">
        <v>-0.36</v>
      </c>
      <c r="F104" s="32" t="s">
        <v>70</v>
      </c>
      <c r="G104" s="34" t="s">
        <v>50</v>
      </c>
      <c r="H104" s="21" t="s">
        <v>184</v>
      </c>
      <c r="I104" s="34" t="s">
        <v>77</v>
      </c>
      <c r="J104" s="21">
        <v>5.0</v>
      </c>
      <c r="K104" s="42">
        <v>570.0</v>
      </c>
      <c r="L104" s="35">
        <v>1404.0</v>
      </c>
      <c r="M104" s="35">
        <v>710.0</v>
      </c>
      <c r="N104" s="21">
        <v>755.0</v>
      </c>
      <c r="O104" s="35">
        <v>32.46</v>
      </c>
      <c r="P104" s="21">
        <v>813.75</v>
      </c>
      <c r="Q104" s="35">
        <v>42.76</v>
      </c>
      <c r="R104" s="21">
        <v>1847.7</v>
      </c>
      <c r="S104" s="35">
        <v>224.16</v>
      </c>
      <c r="T104" s="42">
        <v>48.57</v>
      </c>
      <c r="U104" s="42">
        <v>12.27</v>
      </c>
      <c r="V104" s="42">
        <v>7.0</v>
      </c>
      <c r="W104" s="42">
        <v>2.83</v>
      </c>
      <c r="X104" s="42">
        <v>3978.8</v>
      </c>
      <c r="Y104" s="42">
        <v>43.95</v>
      </c>
      <c r="Z104" s="42">
        <v>13.05</v>
      </c>
      <c r="AA104" s="42">
        <v>10.72</v>
      </c>
      <c r="AB104" s="42">
        <v>1.41</v>
      </c>
      <c r="AC104" s="42">
        <v>8.35</v>
      </c>
      <c r="AD104" s="42">
        <v>7.08</v>
      </c>
      <c r="AE104" s="42">
        <v>6.45</v>
      </c>
      <c r="AF104" s="23">
        <v>7.5E7</v>
      </c>
      <c r="AG104" s="23">
        <v>5.625E7</v>
      </c>
      <c r="AH104" s="23">
        <v>7500000.0</v>
      </c>
      <c r="AI104" s="23">
        <v>3750000.0</v>
      </c>
      <c r="AJ104" s="23">
        <v>7500000.0</v>
      </c>
      <c r="AK104" s="23">
        <v>3.375E7</v>
      </c>
      <c r="AL104" s="42">
        <v>26.0</v>
      </c>
      <c r="AM104" s="42">
        <v>10.98</v>
      </c>
      <c r="AN104" s="42">
        <v>51.89</v>
      </c>
      <c r="AO104" s="42">
        <v>7.51</v>
      </c>
      <c r="AP104" s="42">
        <v>75.85</v>
      </c>
      <c r="AQ104" s="23">
        <v>75.0</v>
      </c>
      <c r="AR104" s="23">
        <v>10.0</v>
      </c>
      <c r="AS104" s="23">
        <v>5.0</v>
      </c>
      <c r="AT104" s="23">
        <v>10.0</v>
      </c>
      <c r="AU104" s="23">
        <v>45.0</v>
      </c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</row>
    <row r="105">
      <c r="A105" s="31">
        <v>45377.0</v>
      </c>
      <c r="B105" s="31">
        <v>45385.0</v>
      </c>
      <c r="C105" s="32">
        <v>22384.6</v>
      </c>
      <c r="D105" s="33">
        <v>22464.3</v>
      </c>
      <c r="E105" s="32">
        <v>-0.35</v>
      </c>
      <c r="F105" s="32" t="s">
        <v>70</v>
      </c>
      <c r="G105" s="34" t="s">
        <v>78</v>
      </c>
      <c r="H105" s="21" t="s">
        <v>185</v>
      </c>
      <c r="I105" s="34" t="s">
        <v>49</v>
      </c>
      <c r="J105" s="21">
        <v>10.0</v>
      </c>
      <c r="K105" s="42">
        <v>210.0</v>
      </c>
      <c r="L105" s="35">
        <v>704.0</v>
      </c>
      <c r="M105" s="35">
        <v>280.0</v>
      </c>
      <c r="N105" s="21">
        <v>215.25</v>
      </c>
      <c r="O105" s="35">
        <v>2.5</v>
      </c>
      <c r="P105" s="21">
        <v>236.2</v>
      </c>
      <c r="Q105" s="35">
        <v>12.48</v>
      </c>
      <c r="R105" s="21">
        <v>472.3</v>
      </c>
      <c r="S105" s="35">
        <v>124.9</v>
      </c>
      <c r="T105" s="42">
        <v>59.59</v>
      </c>
      <c r="U105" s="42">
        <v>220.57</v>
      </c>
      <c r="V105" s="42">
        <v>203.67</v>
      </c>
      <c r="W105" s="42">
        <v>46.97</v>
      </c>
      <c r="X105" s="42">
        <v>37.24</v>
      </c>
      <c r="Y105" s="42">
        <v>12.87</v>
      </c>
      <c r="Z105" s="42">
        <v>34.85</v>
      </c>
      <c r="AA105" s="42">
        <v>29.43</v>
      </c>
      <c r="AB105" s="42">
        <v>0.5</v>
      </c>
      <c r="AC105" s="42">
        <v>8.98</v>
      </c>
      <c r="AD105" s="42">
        <v>25.02</v>
      </c>
      <c r="AE105" s="42">
        <v>4.17</v>
      </c>
      <c r="AF105" s="23">
        <v>6200000.0</v>
      </c>
      <c r="AG105" s="23">
        <v>3100000.0</v>
      </c>
      <c r="AH105" s="23">
        <v>620000.0</v>
      </c>
      <c r="AI105" s="23">
        <v>310000.0</v>
      </c>
      <c r="AJ105" s="23">
        <v>2170000.0</v>
      </c>
      <c r="AK105" s="23">
        <v>1859900.0</v>
      </c>
      <c r="AL105" s="42">
        <v>70.0</v>
      </c>
      <c r="AM105" s="42">
        <v>11.2</v>
      </c>
      <c r="AN105" s="42">
        <v>18.76</v>
      </c>
      <c r="AO105" s="42">
        <v>12.24</v>
      </c>
      <c r="AP105" s="42">
        <v>17.15</v>
      </c>
      <c r="AQ105" s="23">
        <v>50.0</v>
      </c>
      <c r="AR105" s="23">
        <v>10.0</v>
      </c>
      <c r="AS105" s="23">
        <v>5.0</v>
      </c>
      <c r="AT105" s="23">
        <v>35.0</v>
      </c>
      <c r="AU105" s="23">
        <v>30.0</v>
      </c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</row>
    <row r="106">
      <c r="A106" s="31">
        <v>45365.0</v>
      </c>
      <c r="B106" s="31">
        <v>45372.0</v>
      </c>
      <c r="C106" s="32">
        <v>22008.4</v>
      </c>
      <c r="D106" s="33">
        <v>21855.1</v>
      </c>
      <c r="E106" s="32">
        <v>0.7</v>
      </c>
      <c r="F106" s="32" t="s">
        <v>61</v>
      </c>
      <c r="G106" s="34" t="s">
        <v>78</v>
      </c>
      <c r="H106" s="21" t="s">
        <v>186</v>
      </c>
      <c r="I106" s="34" t="s">
        <v>49</v>
      </c>
      <c r="J106" s="21">
        <v>10.0</v>
      </c>
      <c r="K106" s="42">
        <v>715.0</v>
      </c>
      <c r="L106" s="35">
        <v>602.0</v>
      </c>
      <c r="M106" s="35">
        <v>775.0</v>
      </c>
      <c r="N106" s="21">
        <v>785.0</v>
      </c>
      <c r="O106" s="35">
        <v>9.79</v>
      </c>
      <c r="P106" s="21">
        <v>712.85</v>
      </c>
      <c r="Q106" s="35">
        <v>-0.3</v>
      </c>
      <c r="R106" s="21">
        <v>657.7</v>
      </c>
      <c r="S106" s="35">
        <v>-8.01</v>
      </c>
      <c r="T106" s="42">
        <v>7.32</v>
      </c>
      <c r="U106" s="42">
        <v>52.07</v>
      </c>
      <c r="V106" s="42">
        <v>31.54</v>
      </c>
      <c r="W106" s="42">
        <v>3.42</v>
      </c>
      <c r="X106" s="42">
        <v>183.68</v>
      </c>
      <c r="Y106" s="42">
        <v>7.7</v>
      </c>
      <c r="Z106" s="42">
        <v>11.71</v>
      </c>
      <c r="AA106" s="42">
        <v>16.97</v>
      </c>
      <c r="AB106" s="42">
        <v>0.58</v>
      </c>
      <c r="AC106" s="42">
        <v>4.56</v>
      </c>
      <c r="AD106" s="42">
        <v>11.21</v>
      </c>
      <c r="AE106" s="42">
        <v>4.49</v>
      </c>
      <c r="AF106" s="23">
        <v>4197552.0</v>
      </c>
      <c r="AG106" s="23">
        <v>2098775.0</v>
      </c>
      <c r="AH106" s="23">
        <v>419755.0</v>
      </c>
      <c r="AI106" s="23">
        <v>209878.0</v>
      </c>
      <c r="AJ106" s="23">
        <v>1469144.0</v>
      </c>
      <c r="AK106" s="23">
        <v>1259265.0</v>
      </c>
      <c r="AL106" s="42">
        <v>20.0</v>
      </c>
      <c r="AM106" s="42">
        <v>33.33</v>
      </c>
      <c r="AN106" s="42">
        <v>21.45</v>
      </c>
      <c r="AO106" s="42">
        <v>29.42</v>
      </c>
      <c r="AP106" s="42">
        <v>24.3</v>
      </c>
      <c r="AQ106" s="23">
        <v>50.0</v>
      </c>
      <c r="AR106" s="23">
        <v>10.0</v>
      </c>
      <c r="AS106" s="23">
        <v>5.0</v>
      </c>
      <c r="AT106" s="23">
        <v>35.0</v>
      </c>
      <c r="AU106" s="23">
        <v>30.0</v>
      </c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</row>
    <row r="107">
      <c r="A107" s="31">
        <v>45363.0</v>
      </c>
      <c r="B107" s="31">
        <v>45370.0</v>
      </c>
      <c r="C107" s="32">
        <v>21886.2</v>
      </c>
      <c r="D107" s="33">
        <v>22051.5</v>
      </c>
      <c r="E107" s="32">
        <v>-0.75</v>
      </c>
      <c r="F107" s="32" t="s">
        <v>54</v>
      </c>
      <c r="G107" s="34" t="s">
        <v>71</v>
      </c>
      <c r="H107" s="21" t="s">
        <v>187</v>
      </c>
      <c r="I107" s="34" t="s">
        <v>49</v>
      </c>
      <c r="J107" s="21">
        <v>2.0</v>
      </c>
      <c r="K107" s="42">
        <v>295.0</v>
      </c>
      <c r="L107" s="35">
        <v>1.0</v>
      </c>
      <c r="M107" s="35">
        <v>295.0</v>
      </c>
      <c r="N107" s="21">
        <v>289.2</v>
      </c>
      <c r="O107" s="35">
        <v>-1.97</v>
      </c>
      <c r="P107" s="21">
        <v>276.25</v>
      </c>
      <c r="Q107" s="35">
        <v>-6.36</v>
      </c>
      <c r="R107" s="21">
        <v>122.27</v>
      </c>
      <c r="S107" s="35">
        <v>-58.55</v>
      </c>
      <c r="T107" s="42">
        <v>1.92</v>
      </c>
      <c r="U107" s="42">
        <v>0.67</v>
      </c>
      <c r="V107" s="42">
        <v>0.68</v>
      </c>
      <c r="W107" s="42">
        <v>1.07</v>
      </c>
      <c r="X107" s="42">
        <v>384.21</v>
      </c>
      <c r="Y107" s="42">
        <v>4.8</v>
      </c>
      <c r="Z107" s="42">
        <v>10.42</v>
      </c>
      <c r="AA107" s="42">
        <v>8.83</v>
      </c>
      <c r="AB107" s="42">
        <v>1.99</v>
      </c>
      <c r="AC107" s="42">
        <v>1.41</v>
      </c>
      <c r="AD107" s="42">
        <v>10.42</v>
      </c>
      <c r="AE107" s="42">
        <v>4.82</v>
      </c>
      <c r="AF107" s="23">
        <v>2.0395205E7</v>
      </c>
      <c r="AG107" s="23">
        <v>1.0178875E7</v>
      </c>
      <c r="AH107" s="23">
        <v>2035775.0</v>
      </c>
      <c r="AI107" s="23">
        <v>1017888.0</v>
      </c>
      <c r="AJ107" s="23">
        <v>7125214.0</v>
      </c>
      <c r="AK107" s="23">
        <v>6107325.0</v>
      </c>
      <c r="AL107" s="42">
        <v>50.0</v>
      </c>
      <c r="AM107" s="42">
        <v>10.22</v>
      </c>
      <c r="AN107" s="42">
        <v>28.88</v>
      </c>
      <c r="AO107" s="42">
        <v>11.25</v>
      </c>
      <c r="AP107" s="42">
        <v>26.22</v>
      </c>
      <c r="AQ107" s="23">
        <v>49.91</v>
      </c>
      <c r="AR107" s="23">
        <v>9.98</v>
      </c>
      <c r="AS107" s="23">
        <v>4.99</v>
      </c>
      <c r="AT107" s="23">
        <v>34.94</v>
      </c>
      <c r="AU107" s="23">
        <v>29.94</v>
      </c>
      <c r="AV107" s="36"/>
      <c r="AW107" s="36"/>
      <c r="AX107" s="36"/>
      <c r="AY107" s="36"/>
      <c r="AZ107" s="36"/>
      <c r="BA107" s="36"/>
      <c r="BB107" s="36"/>
      <c r="BC107" s="36"/>
      <c r="BD107" s="36"/>
      <c r="BE107" s="36"/>
      <c r="BF107" s="36"/>
      <c r="BG107" s="36"/>
      <c r="BH107" s="36"/>
      <c r="BI107" s="36"/>
      <c r="BJ107" s="36"/>
      <c r="BK107" s="36"/>
      <c r="BL107" s="36"/>
      <c r="BM107" s="36"/>
      <c r="BN107" s="36"/>
      <c r="BO107" s="36"/>
      <c r="BP107" s="36"/>
      <c r="BQ107" s="36"/>
    </row>
    <row r="108">
      <c r="A108" s="31">
        <v>45357.0</v>
      </c>
      <c r="B108" s="31">
        <v>45365.0</v>
      </c>
      <c r="C108" s="32">
        <v>22028.35</v>
      </c>
      <c r="D108" s="33">
        <v>21981.05</v>
      </c>
      <c r="E108" s="32">
        <v>0.22</v>
      </c>
      <c r="F108" s="32" t="s">
        <v>61</v>
      </c>
      <c r="G108" s="34" t="s">
        <v>71</v>
      </c>
      <c r="H108" s="21" t="s">
        <v>188</v>
      </c>
      <c r="I108" s="34" t="s">
        <v>49</v>
      </c>
      <c r="J108" s="21">
        <v>1.0</v>
      </c>
      <c r="K108" s="42">
        <v>401.0</v>
      </c>
      <c r="L108" s="35">
        <v>-251.0</v>
      </c>
      <c r="M108" s="35">
        <v>376.0</v>
      </c>
      <c r="N108" s="21">
        <v>351.0</v>
      </c>
      <c r="O108" s="35">
        <v>-12.47</v>
      </c>
      <c r="P108" s="21">
        <v>362.7</v>
      </c>
      <c r="Q108" s="35">
        <v>-9.55</v>
      </c>
      <c r="R108" s="21">
        <v>346.75</v>
      </c>
      <c r="S108" s="35">
        <v>-13.53</v>
      </c>
      <c r="T108" s="42">
        <v>18.42</v>
      </c>
      <c r="U108" s="42">
        <v>10.72</v>
      </c>
      <c r="V108" s="42">
        <v>8.12</v>
      </c>
      <c r="W108" s="42">
        <v>4.22</v>
      </c>
      <c r="X108" s="42">
        <v>346.1</v>
      </c>
      <c r="Y108" s="42">
        <v>14.07</v>
      </c>
      <c r="Z108" s="42">
        <v>16.05</v>
      </c>
      <c r="AA108" s="42">
        <v>20.83</v>
      </c>
      <c r="AB108" s="42">
        <v>0.08</v>
      </c>
      <c r="AC108" s="42">
        <v>8.22</v>
      </c>
      <c r="AD108" s="42">
        <v>16.05</v>
      </c>
      <c r="AE108" s="42">
        <v>14.43</v>
      </c>
      <c r="AF108" s="23">
        <v>1.6218612E7</v>
      </c>
      <c r="AG108" s="23">
        <v>8061096.0</v>
      </c>
      <c r="AH108" s="23">
        <v>1612220.0</v>
      </c>
      <c r="AI108" s="23">
        <v>806110.0</v>
      </c>
      <c r="AJ108" s="23">
        <v>5642768.0</v>
      </c>
      <c r="AK108" s="23">
        <v>4836657.0</v>
      </c>
      <c r="AL108" s="42">
        <v>37.0</v>
      </c>
      <c r="AM108" s="42">
        <v>9.02</v>
      </c>
      <c r="AN108" s="42">
        <v>44.47</v>
      </c>
      <c r="AO108" s="42">
        <v>8.92</v>
      </c>
      <c r="AP108" s="42">
        <v>44.96</v>
      </c>
      <c r="AQ108" s="23">
        <v>49.7</v>
      </c>
      <c r="AR108" s="23">
        <v>9.94</v>
      </c>
      <c r="AS108" s="23">
        <v>4.97</v>
      </c>
      <c r="AT108" s="23">
        <v>34.79</v>
      </c>
      <c r="AU108" s="23">
        <v>29.82</v>
      </c>
      <c r="AV108" s="36"/>
      <c r="AW108" s="36"/>
      <c r="AX108" s="36"/>
      <c r="AY108" s="36"/>
      <c r="AZ108" s="36"/>
      <c r="BA108" s="36"/>
      <c r="BB108" s="36"/>
      <c r="BC108" s="36"/>
      <c r="BD108" s="36"/>
      <c r="BE108" s="36"/>
      <c r="BF108" s="36"/>
      <c r="BG108" s="36"/>
      <c r="BH108" s="36"/>
      <c r="BI108" s="36"/>
      <c r="BJ108" s="36"/>
      <c r="BK108" s="36"/>
      <c r="BL108" s="36"/>
      <c r="BM108" s="36"/>
      <c r="BN108" s="36"/>
      <c r="BO108" s="36"/>
      <c r="BP108" s="36"/>
      <c r="BQ108" s="36"/>
    </row>
    <row r="109">
      <c r="A109" s="31">
        <v>45356.0</v>
      </c>
      <c r="B109" s="31">
        <v>45364.0</v>
      </c>
      <c r="C109" s="32">
        <v>22280.3</v>
      </c>
      <c r="D109" s="33">
        <v>22333.7</v>
      </c>
      <c r="E109" s="32">
        <v>-0.24</v>
      </c>
      <c r="F109" s="32" t="s">
        <v>70</v>
      </c>
      <c r="G109" s="34" t="s">
        <v>81</v>
      </c>
      <c r="H109" s="21" t="s">
        <v>189</v>
      </c>
      <c r="I109" s="34" t="s">
        <v>49</v>
      </c>
      <c r="J109" s="21">
        <v>10.0</v>
      </c>
      <c r="K109" s="42">
        <v>221.0</v>
      </c>
      <c r="L109" s="35">
        <v>51.0</v>
      </c>
      <c r="M109" s="35">
        <v>226.0</v>
      </c>
      <c r="N109" s="21">
        <v>209.0</v>
      </c>
      <c r="O109" s="35">
        <v>-5.43</v>
      </c>
      <c r="P109" s="21">
        <v>184.8</v>
      </c>
      <c r="Q109" s="35">
        <v>-16.38</v>
      </c>
      <c r="R109" s="21">
        <v>500.2</v>
      </c>
      <c r="S109" s="35">
        <v>126.33</v>
      </c>
      <c r="T109" s="42">
        <v>32.33</v>
      </c>
      <c r="U109" s="42">
        <v>50.26</v>
      </c>
      <c r="V109" s="42">
        <v>43.24</v>
      </c>
      <c r="W109" s="42">
        <v>18.03</v>
      </c>
      <c r="X109" s="42">
        <v>217.86</v>
      </c>
      <c r="Y109" s="42">
        <v>7.01</v>
      </c>
      <c r="Z109" s="42">
        <v>8.2</v>
      </c>
      <c r="AA109" s="42">
        <v>11.86</v>
      </c>
      <c r="AB109" s="42">
        <v>0.11</v>
      </c>
      <c r="AC109" s="42">
        <v>7.24</v>
      </c>
      <c r="AD109" s="42">
        <v>8.16</v>
      </c>
      <c r="AE109" s="42">
        <v>3.51</v>
      </c>
      <c r="AF109" s="23">
        <v>1.1366063E7</v>
      </c>
      <c r="AG109" s="23">
        <v>5683030.0</v>
      </c>
      <c r="AH109" s="23">
        <v>1136607.0</v>
      </c>
      <c r="AI109" s="23">
        <v>568303.0</v>
      </c>
      <c r="AJ109" s="23">
        <v>3978123.0</v>
      </c>
      <c r="AK109" s="23">
        <v>3409818.0</v>
      </c>
      <c r="AL109" s="42">
        <v>67.0</v>
      </c>
      <c r="AM109" s="42">
        <v>13.6</v>
      </c>
      <c r="AN109" s="42">
        <v>16.25</v>
      </c>
      <c r="AO109" s="42">
        <v>11.01</v>
      </c>
      <c r="AP109" s="42">
        <v>20.08</v>
      </c>
      <c r="AQ109" s="23">
        <v>50.0</v>
      </c>
      <c r="AR109" s="23">
        <v>10.0</v>
      </c>
      <c r="AS109" s="23">
        <v>5.0</v>
      </c>
      <c r="AT109" s="23">
        <v>35.0</v>
      </c>
      <c r="AU109" s="23">
        <v>30.0</v>
      </c>
      <c r="AV109" s="36"/>
      <c r="AW109" s="36"/>
      <c r="AX109" s="36"/>
      <c r="AY109" s="36"/>
      <c r="AZ109" s="36"/>
      <c r="BA109" s="36"/>
      <c r="BB109" s="36"/>
      <c r="BC109" s="36"/>
      <c r="BD109" s="36"/>
      <c r="BE109" s="36"/>
      <c r="BF109" s="36"/>
      <c r="BG109" s="36"/>
      <c r="BH109" s="36"/>
      <c r="BI109" s="36"/>
      <c r="BJ109" s="36"/>
      <c r="BK109" s="36"/>
      <c r="BL109" s="36"/>
      <c r="BM109" s="36"/>
      <c r="BN109" s="36"/>
      <c r="BO109" s="36"/>
      <c r="BP109" s="36"/>
      <c r="BQ109" s="36"/>
    </row>
    <row r="110">
      <c r="A110" s="31">
        <v>45355.0</v>
      </c>
      <c r="B110" s="31">
        <v>45363.0</v>
      </c>
      <c r="C110" s="32">
        <v>22430.85</v>
      </c>
      <c r="D110" s="33">
        <v>22319.85</v>
      </c>
      <c r="E110" s="32">
        <v>0.5</v>
      </c>
      <c r="F110" s="32" t="s">
        <v>70</v>
      </c>
      <c r="G110" s="34" t="s">
        <v>55</v>
      </c>
      <c r="H110" s="21" t="s">
        <v>190</v>
      </c>
      <c r="I110" s="34" t="s">
        <v>69</v>
      </c>
      <c r="J110" s="21">
        <v>5.0</v>
      </c>
      <c r="K110" s="42">
        <v>288.0</v>
      </c>
      <c r="L110" s="35">
        <v>1.0</v>
      </c>
      <c r="M110" s="35">
        <v>288.0</v>
      </c>
      <c r="N110" s="21">
        <v>250.0</v>
      </c>
      <c r="O110" s="35">
        <v>-13.19</v>
      </c>
      <c r="P110" s="21">
        <v>263.25</v>
      </c>
      <c r="Q110" s="35">
        <v>-8.59</v>
      </c>
      <c r="R110" s="21">
        <v>167.28</v>
      </c>
      <c r="S110" s="35">
        <v>-41.92</v>
      </c>
      <c r="T110" s="42">
        <v>20.58</v>
      </c>
      <c r="U110" s="42">
        <v>35.73</v>
      </c>
      <c r="V110" s="42">
        <v>31.27</v>
      </c>
      <c r="W110" s="42">
        <v>33.31</v>
      </c>
      <c r="X110" s="42">
        <v>146.66</v>
      </c>
      <c r="Y110" s="42">
        <v>21.5</v>
      </c>
      <c r="Z110" s="42">
        <v>16.47</v>
      </c>
      <c r="AA110" s="42">
        <v>6.29</v>
      </c>
      <c r="AB110" s="42">
        <v>1.5</v>
      </c>
      <c r="AC110" s="42">
        <v>5.56</v>
      </c>
      <c r="AD110" s="42">
        <v>5.41</v>
      </c>
      <c r="AE110" s="42">
        <v>8.73</v>
      </c>
      <c r="AF110" s="23">
        <v>1.4733883E7</v>
      </c>
      <c r="AG110" s="23">
        <v>1.0834896E7</v>
      </c>
      <c r="AH110" s="23">
        <v>1444652.0</v>
      </c>
      <c r="AI110" s="23">
        <v>722327.0</v>
      </c>
      <c r="AJ110" s="23">
        <v>1444652.0</v>
      </c>
      <c r="AK110" s="23">
        <v>6500937.0</v>
      </c>
      <c r="AL110" s="42">
        <v>50.0</v>
      </c>
      <c r="AM110" s="42">
        <v>7.03</v>
      </c>
      <c r="AN110" s="42">
        <v>40.96</v>
      </c>
      <c r="AO110" s="42">
        <v>3.14</v>
      </c>
      <c r="AP110" s="42">
        <v>91.63</v>
      </c>
      <c r="AQ110" s="23">
        <v>73.54</v>
      </c>
      <c r="AR110" s="23">
        <v>9.8</v>
      </c>
      <c r="AS110" s="23">
        <v>4.9</v>
      </c>
      <c r="AT110" s="23">
        <v>9.8</v>
      </c>
      <c r="AU110" s="23">
        <v>44.12</v>
      </c>
      <c r="AV110" s="36"/>
      <c r="AW110" s="36"/>
      <c r="AX110" s="36"/>
      <c r="AY110" s="36"/>
      <c r="AZ110" s="36"/>
      <c r="BA110" s="36"/>
      <c r="BB110" s="36"/>
      <c r="BC110" s="36"/>
      <c r="BD110" s="36"/>
      <c r="BE110" s="36"/>
      <c r="BF110" s="36"/>
      <c r="BG110" s="36"/>
      <c r="BH110" s="36"/>
      <c r="BI110" s="36"/>
      <c r="BJ110" s="36"/>
      <c r="BK110" s="36"/>
      <c r="BL110" s="36"/>
      <c r="BM110" s="36"/>
      <c r="BN110" s="36"/>
      <c r="BO110" s="36"/>
      <c r="BP110" s="36"/>
      <c r="BQ110" s="36"/>
    </row>
    <row r="111">
      <c r="A111" s="31">
        <v>45351.0</v>
      </c>
      <c r="B111" s="31">
        <v>45358.0</v>
      </c>
      <c r="C111" s="32">
        <v>22479.1</v>
      </c>
      <c r="D111" s="33">
        <v>22480.05</v>
      </c>
      <c r="E111" s="32">
        <v>0.0</v>
      </c>
      <c r="F111" s="32" t="s">
        <v>70</v>
      </c>
      <c r="G111" s="34" t="s">
        <v>81</v>
      </c>
      <c r="H111" s="21" t="s">
        <v>191</v>
      </c>
      <c r="I111" s="16" t="s">
        <v>49</v>
      </c>
      <c r="J111" s="21">
        <v>1.0</v>
      </c>
      <c r="K111" s="42">
        <v>28.0</v>
      </c>
      <c r="L111" s="35">
        <v>355.0</v>
      </c>
      <c r="M111" s="35">
        <v>63.0</v>
      </c>
      <c r="N111" s="21">
        <v>40.0</v>
      </c>
      <c r="O111" s="35">
        <v>42.86</v>
      </c>
      <c r="P111" s="21">
        <v>42.26</v>
      </c>
      <c r="Q111" s="35">
        <v>50.93</v>
      </c>
      <c r="R111" s="21">
        <v>28.44</v>
      </c>
      <c r="S111" s="35">
        <v>1.57</v>
      </c>
      <c r="T111" s="42">
        <v>189.28</v>
      </c>
      <c r="U111" s="42">
        <v>254.15</v>
      </c>
      <c r="V111" s="42">
        <v>242.86</v>
      </c>
      <c r="W111" s="42">
        <v>58.52</v>
      </c>
      <c r="X111" s="42">
        <v>159.11</v>
      </c>
      <c r="Y111" s="42">
        <v>8.01</v>
      </c>
      <c r="Z111" s="42">
        <v>36.71</v>
      </c>
      <c r="AA111" s="42">
        <v>17.62</v>
      </c>
      <c r="AB111" s="42">
        <v>1.64</v>
      </c>
      <c r="AC111" s="42">
        <v>3.74</v>
      </c>
      <c r="AD111" s="42">
        <v>34.19</v>
      </c>
      <c r="AE111" s="42">
        <v>4.78</v>
      </c>
      <c r="AF111" s="23">
        <v>8.0E7</v>
      </c>
      <c r="AG111" s="23">
        <v>4.0E7</v>
      </c>
      <c r="AH111" s="23">
        <v>8000000.0</v>
      </c>
      <c r="AI111" s="23">
        <v>4000000.0</v>
      </c>
      <c r="AJ111" s="23">
        <v>2.8E7</v>
      </c>
      <c r="AK111" s="23">
        <v>2.3999565E7</v>
      </c>
      <c r="AL111" s="42">
        <v>535.0</v>
      </c>
      <c r="AM111" s="42">
        <v>2.16</v>
      </c>
      <c r="AN111" s="42">
        <v>12.96</v>
      </c>
      <c r="AO111" s="42">
        <v>2.2</v>
      </c>
      <c r="AP111" s="42">
        <v>12.73</v>
      </c>
      <c r="AQ111" s="23">
        <v>50.0</v>
      </c>
      <c r="AR111" s="23">
        <v>10.0</v>
      </c>
      <c r="AS111" s="23">
        <v>5.0</v>
      </c>
      <c r="AT111" s="23">
        <v>35.0</v>
      </c>
      <c r="AU111" s="23">
        <v>30.0</v>
      </c>
      <c r="AV111" s="36"/>
      <c r="AW111" s="36"/>
      <c r="AX111" s="36"/>
      <c r="AY111" s="36"/>
      <c r="AZ111" s="36"/>
      <c r="BA111" s="36"/>
      <c r="BB111" s="36"/>
      <c r="BC111" s="36"/>
      <c r="BD111" s="36"/>
      <c r="BE111" s="36"/>
      <c r="BF111" s="36"/>
      <c r="BG111" s="36"/>
      <c r="BH111" s="36"/>
      <c r="BI111" s="36"/>
      <c r="BJ111" s="36"/>
      <c r="BK111" s="36"/>
      <c r="BL111" s="36"/>
      <c r="BM111" s="36"/>
      <c r="BN111" s="36"/>
      <c r="BO111" s="36"/>
      <c r="BP111" s="36"/>
      <c r="BQ111" s="36"/>
    </row>
    <row r="112">
      <c r="A112" s="31">
        <v>45349.0</v>
      </c>
      <c r="B112" s="31">
        <v>45356.0</v>
      </c>
      <c r="C112" s="32">
        <v>22329.6</v>
      </c>
      <c r="D112" s="33">
        <v>22397.65</v>
      </c>
      <c r="E112" s="32">
        <v>-0.3</v>
      </c>
      <c r="F112" s="32" t="s">
        <v>70</v>
      </c>
      <c r="G112" s="34" t="s">
        <v>94</v>
      </c>
      <c r="H112" s="21" t="s">
        <v>192</v>
      </c>
      <c r="I112" s="16" t="s">
        <v>49</v>
      </c>
      <c r="J112" s="21">
        <v>10.0</v>
      </c>
      <c r="K112" s="42">
        <v>142.0</v>
      </c>
      <c r="L112" s="35">
        <v>1605.0</v>
      </c>
      <c r="M112" s="35">
        <v>302.0</v>
      </c>
      <c r="N112" s="21">
        <v>265.0</v>
      </c>
      <c r="O112" s="35">
        <v>86.62</v>
      </c>
      <c r="P112" s="21">
        <v>225.65</v>
      </c>
      <c r="Q112" s="35">
        <v>58.91</v>
      </c>
      <c r="R112" s="21">
        <v>166.31</v>
      </c>
      <c r="S112" s="35">
        <v>17.12</v>
      </c>
      <c r="T112" s="42">
        <v>124.82</v>
      </c>
      <c r="U112" s="42">
        <v>163.96</v>
      </c>
      <c r="V112" s="42">
        <v>149.95</v>
      </c>
      <c r="W112" s="42">
        <v>124.27</v>
      </c>
      <c r="X112" s="42">
        <v>311.4</v>
      </c>
      <c r="Y112" s="42">
        <v>5.1</v>
      </c>
      <c r="Z112" s="42">
        <v>13.38</v>
      </c>
      <c r="AA112" s="42">
        <v>10.92</v>
      </c>
      <c r="AB112" s="42">
        <v>0.51</v>
      </c>
      <c r="AC112" s="42">
        <v>4.78</v>
      </c>
      <c r="AD112" s="42">
        <v>2.75</v>
      </c>
      <c r="AE112" s="42">
        <v>5.63</v>
      </c>
      <c r="AF112" s="23">
        <v>3.02112E7</v>
      </c>
      <c r="AG112" s="23">
        <v>2.26585E7</v>
      </c>
      <c r="AH112" s="23">
        <v>3021000.0</v>
      </c>
      <c r="AI112" s="23">
        <v>1510600.0</v>
      </c>
      <c r="AJ112" s="23">
        <v>3021100.0</v>
      </c>
      <c r="AK112" s="23">
        <v>1.25388E7</v>
      </c>
      <c r="AL112" s="42">
        <v>100.0</v>
      </c>
      <c r="AM112" s="42">
        <v>0.65</v>
      </c>
      <c r="AN112" s="42">
        <v>217.63</v>
      </c>
      <c r="AO112" s="42">
        <v>4.55</v>
      </c>
      <c r="AP112" s="42">
        <v>31.24</v>
      </c>
      <c r="AQ112" s="23">
        <v>75.0</v>
      </c>
      <c r="AR112" s="23">
        <v>10.0</v>
      </c>
      <c r="AS112" s="23">
        <v>5.0</v>
      </c>
      <c r="AT112" s="23">
        <v>10.0</v>
      </c>
      <c r="AU112" s="23">
        <v>41.5</v>
      </c>
      <c r="AV112" s="36"/>
      <c r="AW112" s="36"/>
      <c r="AX112" s="36"/>
      <c r="AY112" s="36"/>
      <c r="AZ112" s="36"/>
      <c r="BA112" s="36"/>
      <c r="BB112" s="36"/>
      <c r="BC112" s="36"/>
      <c r="BD112" s="36"/>
      <c r="BE112" s="36"/>
      <c r="BF112" s="36"/>
      <c r="BG112" s="36"/>
      <c r="BH112" s="36"/>
      <c r="BI112" s="36"/>
      <c r="BJ112" s="36"/>
      <c r="BK112" s="36"/>
      <c r="BL112" s="36"/>
      <c r="BM112" s="36"/>
      <c r="BN112" s="36"/>
      <c r="BO112" s="36"/>
      <c r="BP112" s="36"/>
      <c r="BQ112" s="36"/>
    </row>
    <row r="113">
      <c r="A113" s="31">
        <v>45349.0</v>
      </c>
      <c r="B113" s="31">
        <v>45356.0</v>
      </c>
      <c r="C113" s="32">
        <v>22329.6</v>
      </c>
      <c r="D113" s="33">
        <v>22397.65</v>
      </c>
      <c r="E113" s="32">
        <v>-0.3</v>
      </c>
      <c r="F113" s="32" t="s">
        <v>70</v>
      </c>
      <c r="G113" s="34" t="s">
        <v>81</v>
      </c>
      <c r="H113" s="21" t="s">
        <v>193</v>
      </c>
      <c r="I113" s="16" t="s">
        <v>49</v>
      </c>
      <c r="J113" s="21">
        <v>10.0</v>
      </c>
      <c r="K113" s="42">
        <v>171.0</v>
      </c>
      <c r="L113" s="35">
        <v>875.0</v>
      </c>
      <c r="M113" s="35">
        <v>258.0</v>
      </c>
      <c r="N113" s="21">
        <v>225.0</v>
      </c>
      <c r="O113" s="35">
        <v>31.58</v>
      </c>
      <c r="P113" s="21">
        <v>221.2</v>
      </c>
      <c r="Q113" s="35">
        <v>29.36</v>
      </c>
      <c r="R113" s="21">
        <v>283.8</v>
      </c>
      <c r="S113" s="35">
        <v>65.96</v>
      </c>
      <c r="T113" s="42">
        <v>151.0</v>
      </c>
      <c r="U113" s="42">
        <v>138.46</v>
      </c>
      <c r="V113" s="42">
        <v>148.46</v>
      </c>
      <c r="W113" s="42">
        <v>50.92</v>
      </c>
      <c r="X113" s="42">
        <v>85.04</v>
      </c>
      <c r="Y113" s="42">
        <v>23.3</v>
      </c>
      <c r="Z113" s="42">
        <v>90.02</v>
      </c>
      <c r="AA113" s="42">
        <v>56.85</v>
      </c>
      <c r="AB113" s="42">
        <v>0.28</v>
      </c>
      <c r="AC113" s="42">
        <v>16.2</v>
      </c>
      <c r="AD113" s="42">
        <v>61.26</v>
      </c>
      <c r="AE113" s="42">
        <v>11.13</v>
      </c>
      <c r="AF113" s="23">
        <v>1.3761225E7</v>
      </c>
      <c r="AG113" s="23">
        <v>6880612.0</v>
      </c>
      <c r="AH113" s="23">
        <v>1376123.0</v>
      </c>
      <c r="AI113" s="23">
        <v>688061.0</v>
      </c>
      <c r="AJ113" s="23">
        <v>4816429.0</v>
      </c>
      <c r="AK113" s="23">
        <v>4128237.0</v>
      </c>
      <c r="AL113" s="42">
        <v>87.0</v>
      </c>
      <c r="AM113" s="42">
        <v>9.13</v>
      </c>
      <c r="AN113" s="42">
        <v>18.73</v>
      </c>
      <c r="AO113" s="42">
        <v>8.31</v>
      </c>
      <c r="AP113" s="42">
        <v>20.57</v>
      </c>
      <c r="AQ113" s="23">
        <v>50.0</v>
      </c>
      <c r="AR113" s="23">
        <v>10.0</v>
      </c>
      <c r="AS113" s="23">
        <v>5.0</v>
      </c>
      <c r="AT113" s="23">
        <v>35.0</v>
      </c>
      <c r="AU113" s="23">
        <v>30.0</v>
      </c>
      <c r="AV113" s="36"/>
      <c r="AW113" s="36"/>
      <c r="AX113" s="36"/>
      <c r="AY113" s="36"/>
      <c r="AZ113" s="36"/>
      <c r="BA113" s="36"/>
      <c r="BB113" s="36"/>
      <c r="BC113" s="36"/>
      <c r="BD113" s="36"/>
      <c r="BE113" s="36"/>
      <c r="BF113" s="36"/>
      <c r="BG113" s="36"/>
      <c r="BH113" s="36"/>
      <c r="BI113" s="36"/>
      <c r="BJ113" s="36"/>
      <c r="BK113" s="36"/>
      <c r="BL113" s="36"/>
      <c r="BM113" s="36"/>
      <c r="BN113" s="36"/>
      <c r="BO113" s="36"/>
      <c r="BP113" s="36"/>
      <c r="BQ113" s="36"/>
    </row>
    <row r="114">
      <c r="A114" s="31">
        <v>45344.0</v>
      </c>
      <c r="B114" s="31">
        <v>45351.0</v>
      </c>
      <c r="C114" s="32">
        <v>22010.05</v>
      </c>
      <c r="D114" s="33">
        <v>21926.25</v>
      </c>
      <c r="E114" s="32">
        <v>0.38</v>
      </c>
      <c r="F114" s="32" t="s">
        <v>70</v>
      </c>
      <c r="G114" s="34" t="s">
        <v>62</v>
      </c>
      <c r="H114" s="21" t="s">
        <v>194</v>
      </c>
      <c r="I114" s="16" t="s">
        <v>49</v>
      </c>
      <c r="J114" s="21">
        <v>10.0</v>
      </c>
      <c r="K114" s="42">
        <v>186.0</v>
      </c>
      <c r="L114" s="35">
        <v>172.0</v>
      </c>
      <c r="M114" s="35">
        <v>203.0</v>
      </c>
      <c r="N114" s="21">
        <v>215.0</v>
      </c>
      <c r="O114" s="35">
        <v>15.59</v>
      </c>
      <c r="P114" s="21">
        <v>200.75</v>
      </c>
      <c r="Q114" s="35">
        <v>7.93</v>
      </c>
      <c r="R114" s="21">
        <v>176.54</v>
      </c>
      <c r="S114" s="35">
        <v>-5.09</v>
      </c>
      <c r="T114" s="42">
        <v>17.3</v>
      </c>
      <c r="U114" s="42">
        <v>11.98</v>
      </c>
      <c r="V114" s="42">
        <v>9.09</v>
      </c>
      <c r="W114" s="42">
        <v>2.44</v>
      </c>
      <c r="X114" s="42">
        <v>171.43</v>
      </c>
      <c r="Y114" s="42">
        <v>22.17</v>
      </c>
      <c r="Z114" s="42">
        <v>23.59</v>
      </c>
      <c r="AA114" s="42">
        <v>26.09</v>
      </c>
      <c r="AB114" s="42">
        <v>0.39</v>
      </c>
      <c r="AC114" s="42">
        <v>10.8</v>
      </c>
      <c r="AD114" s="42">
        <v>23.77</v>
      </c>
      <c r="AE114" s="42">
        <v>9.06</v>
      </c>
      <c r="AF114" s="23">
        <v>2.8233323E7</v>
      </c>
      <c r="AG114" s="23">
        <v>1.411666E7</v>
      </c>
      <c r="AH114" s="23">
        <v>2823332.0</v>
      </c>
      <c r="AI114" s="23">
        <v>1411667.0</v>
      </c>
      <c r="AJ114" s="23">
        <v>9881664.0</v>
      </c>
      <c r="AK114" s="23">
        <v>8469996.0</v>
      </c>
      <c r="AL114" s="42">
        <v>80.0</v>
      </c>
      <c r="AM114" s="42">
        <v>4.88</v>
      </c>
      <c r="AN114" s="42">
        <v>38.1</v>
      </c>
      <c r="AO114" s="42">
        <v>0.0</v>
      </c>
      <c r="AP114" s="42">
        <v>32.49</v>
      </c>
      <c r="AQ114" s="23">
        <v>50.0</v>
      </c>
      <c r="AR114" s="23">
        <v>10.0</v>
      </c>
      <c r="AS114" s="23">
        <v>5.0</v>
      </c>
      <c r="AT114" s="23">
        <v>35.0</v>
      </c>
      <c r="AU114" s="23">
        <v>30.0</v>
      </c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</row>
    <row r="115">
      <c r="A115" s="31">
        <v>45343.0</v>
      </c>
      <c r="B115" s="31">
        <v>45350.0</v>
      </c>
      <c r="C115" s="32">
        <v>22183.25</v>
      </c>
      <c r="D115" s="33">
        <v>22194.2</v>
      </c>
      <c r="E115" s="32">
        <v>-0.05</v>
      </c>
      <c r="F115" s="32" t="s">
        <v>70</v>
      </c>
      <c r="G115" s="34" t="s">
        <v>55</v>
      </c>
      <c r="H115" s="21" t="s">
        <v>195</v>
      </c>
      <c r="I115" s="16" t="s">
        <v>49</v>
      </c>
      <c r="J115" s="21">
        <v>10.0</v>
      </c>
      <c r="K115" s="42">
        <v>360.0</v>
      </c>
      <c r="L115" s="35">
        <v>1.0</v>
      </c>
      <c r="M115" s="35">
        <v>360.0</v>
      </c>
      <c r="N115" s="21">
        <v>365.0</v>
      </c>
      <c r="O115" s="35">
        <v>1.39</v>
      </c>
      <c r="P115" s="21">
        <v>401.5</v>
      </c>
      <c r="Q115" s="35">
        <v>11.53</v>
      </c>
      <c r="R115" s="21">
        <v>292.4</v>
      </c>
      <c r="S115" s="35">
        <v>-18.78</v>
      </c>
      <c r="T115" s="42">
        <v>3.11</v>
      </c>
      <c r="U115" s="42">
        <v>1.08</v>
      </c>
      <c r="V115" s="42">
        <v>0.5</v>
      </c>
      <c r="W115" s="42">
        <v>1.31</v>
      </c>
      <c r="X115" s="42">
        <v>859.67</v>
      </c>
      <c r="Y115" s="42">
        <v>44.9</v>
      </c>
      <c r="Z115" s="42">
        <v>-0.42</v>
      </c>
      <c r="AA115" s="42">
        <v>-0.4</v>
      </c>
      <c r="AB115" s="42">
        <v>5.77</v>
      </c>
      <c r="AC115" s="42">
        <v>-0.22</v>
      </c>
      <c r="AD115" s="42">
        <v>-0.42</v>
      </c>
      <c r="AE115" s="42">
        <v>3.0</v>
      </c>
      <c r="AF115" s="23">
        <v>5.0E7</v>
      </c>
      <c r="AG115" s="23">
        <v>3.75E7</v>
      </c>
      <c r="AH115" s="23">
        <v>5000000.0</v>
      </c>
      <c r="AI115" s="23">
        <v>2500000.0</v>
      </c>
      <c r="AJ115" s="23">
        <v>5000000.0</v>
      </c>
      <c r="AK115" s="23">
        <v>2.25E7</v>
      </c>
      <c r="AL115" s="42">
        <v>40.0</v>
      </c>
      <c r="AM115" s="42" t="s">
        <v>57</v>
      </c>
      <c r="AN115" s="42" t="s">
        <v>57</v>
      </c>
      <c r="AO115" s="42" t="s">
        <v>57</v>
      </c>
      <c r="AP115" s="42" t="s">
        <v>57</v>
      </c>
      <c r="AQ115" s="23">
        <v>75.0</v>
      </c>
      <c r="AR115" s="23">
        <v>10.0</v>
      </c>
      <c r="AS115" s="23">
        <v>5.0</v>
      </c>
      <c r="AT115" s="23">
        <v>10.0</v>
      </c>
      <c r="AU115" s="23">
        <v>45.0</v>
      </c>
      <c r="AV115" s="36"/>
      <c r="AW115" s="36"/>
      <c r="AX115" s="36"/>
      <c r="AY115" s="36"/>
      <c r="AZ115" s="36"/>
      <c r="BA115" s="36"/>
      <c r="BB115" s="36"/>
      <c r="BC115" s="36"/>
      <c r="BD115" s="36"/>
      <c r="BE115" s="36"/>
      <c r="BF115" s="36"/>
      <c r="BG115" s="36"/>
      <c r="BH115" s="36"/>
      <c r="BI115" s="36"/>
      <c r="BJ115" s="36"/>
      <c r="BK115" s="36"/>
      <c r="BL115" s="36"/>
      <c r="BM115" s="36"/>
      <c r="BN115" s="36"/>
      <c r="BO115" s="36"/>
      <c r="BP115" s="36"/>
      <c r="BQ115" s="36"/>
    </row>
    <row r="116">
      <c r="A116" s="31">
        <v>45335.0</v>
      </c>
      <c r="B116" s="31">
        <v>45342.0</v>
      </c>
      <c r="C116" s="32">
        <v>22070.85</v>
      </c>
      <c r="D116" s="33">
        <v>22116.95</v>
      </c>
      <c r="E116" s="32">
        <v>-0.21</v>
      </c>
      <c r="F116" s="32" t="s">
        <v>70</v>
      </c>
      <c r="G116" s="34" t="s">
        <v>81</v>
      </c>
      <c r="H116" s="21" t="s">
        <v>196</v>
      </c>
      <c r="I116" s="16" t="s">
        <v>49</v>
      </c>
      <c r="J116" s="21">
        <v>10.0</v>
      </c>
      <c r="K116" s="42">
        <v>151.0</v>
      </c>
      <c r="L116" s="35">
        <v>1405.0</v>
      </c>
      <c r="M116" s="35">
        <v>291.0</v>
      </c>
      <c r="N116" s="21">
        <v>425.0</v>
      </c>
      <c r="O116" s="35">
        <v>181.46</v>
      </c>
      <c r="P116" s="21">
        <v>446.25</v>
      </c>
      <c r="Q116" s="35">
        <v>195.53</v>
      </c>
      <c r="R116" s="21">
        <v>162.54</v>
      </c>
      <c r="S116" s="35">
        <v>7.64</v>
      </c>
      <c r="T116" s="42">
        <v>191.41</v>
      </c>
      <c r="U116" s="42">
        <v>754.37</v>
      </c>
      <c r="V116" s="42">
        <v>808.72</v>
      </c>
      <c r="W116" s="42">
        <v>201.52</v>
      </c>
      <c r="X116" s="42">
        <v>101.76</v>
      </c>
      <c r="Y116" s="42">
        <v>4.21</v>
      </c>
      <c r="Z116" s="42">
        <v>25.51</v>
      </c>
      <c r="AA116" s="42">
        <v>16.48</v>
      </c>
      <c r="AB116" s="42">
        <v>1.63</v>
      </c>
      <c r="AC116" s="42">
        <v>1.89</v>
      </c>
      <c r="AD116" s="42">
        <v>22.6</v>
      </c>
      <c r="AE116" s="42">
        <v>2.3</v>
      </c>
      <c r="AF116" s="23">
        <v>4779443.0</v>
      </c>
      <c r="AG116" s="23">
        <v>2374970.0</v>
      </c>
      <c r="AH116" s="23">
        <v>474994.0</v>
      </c>
      <c r="AI116" s="23">
        <v>237497.0</v>
      </c>
      <c r="AJ116" s="23">
        <v>1662479.0</v>
      </c>
      <c r="AK116" s="23">
        <v>1424907.0</v>
      </c>
      <c r="AL116" s="42">
        <v>99.0</v>
      </c>
      <c r="AM116" s="42">
        <v>14.85</v>
      </c>
      <c r="AN116" s="42">
        <v>10.17</v>
      </c>
      <c r="AO116" s="42">
        <v>8.99</v>
      </c>
      <c r="AP116" s="42">
        <v>16.8</v>
      </c>
      <c r="AQ116" s="23">
        <v>49.69</v>
      </c>
      <c r="AR116" s="23">
        <v>9.94</v>
      </c>
      <c r="AS116" s="23">
        <v>4.97</v>
      </c>
      <c r="AT116" s="23">
        <v>34.78</v>
      </c>
      <c r="AU116" s="23">
        <v>29.81</v>
      </c>
      <c r="AV116" s="36"/>
      <c r="AW116" s="36"/>
      <c r="AX116" s="36"/>
      <c r="AY116" s="36"/>
      <c r="AZ116" s="36"/>
      <c r="BA116" s="36"/>
      <c r="BB116" s="36"/>
      <c r="BC116" s="36"/>
      <c r="BD116" s="36"/>
      <c r="BE116" s="36"/>
      <c r="BF116" s="36"/>
      <c r="BG116" s="36"/>
      <c r="BH116" s="36"/>
      <c r="BI116" s="36"/>
      <c r="BJ116" s="36"/>
      <c r="BK116" s="36"/>
      <c r="BL116" s="36"/>
      <c r="BM116" s="36"/>
      <c r="BN116" s="36"/>
      <c r="BO116" s="36"/>
      <c r="BP116" s="36"/>
      <c r="BQ116" s="36"/>
    </row>
    <row r="117">
      <c r="A117" s="31">
        <v>45331.0</v>
      </c>
      <c r="B117" s="31">
        <v>45338.0</v>
      </c>
      <c r="C117" s="32">
        <v>22009.1</v>
      </c>
      <c r="D117" s="33">
        <v>21927.05</v>
      </c>
      <c r="E117" s="32">
        <v>0.37</v>
      </c>
      <c r="F117" s="32" t="s">
        <v>70</v>
      </c>
      <c r="G117" s="34" t="s">
        <v>62</v>
      </c>
      <c r="H117" s="21" t="s">
        <v>197</v>
      </c>
      <c r="I117" s="34" t="s">
        <v>49</v>
      </c>
      <c r="J117" s="21">
        <v>10.0</v>
      </c>
      <c r="K117" s="43">
        <v>1258.0</v>
      </c>
      <c r="L117" s="35">
        <v>21.0</v>
      </c>
      <c r="M117" s="35">
        <v>1260.0</v>
      </c>
      <c r="N117" s="21">
        <v>1228.7</v>
      </c>
      <c r="O117" s="35">
        <v>-2.33</v>
      </c>
      <c r="P117" s="21">
        <v>1149.55</v>
      </c>
      <c r="Q117" s="35">
        <v>-8.62</v>
      </c>
      <c r="R117" s="21">
        <v>1286.6</v>
      </c>
      <c r="S117" s="35">
        <v>2.27</v>
      </c>
      <c r="T117" s="42">
        <v>2.28</v>
      </c>
      <c r="U117" s="42">
        <v>0.16</v>
      </c>
      <c r="V117" s="42">
        <v>0.33</v>
      </c>
      <c r="W117" s="42">
        <v>1.33</v>
      </c>
      <c r="X117" s="42">
        <v>660.54</v>
      </c>
      <c r="Y117" s="42">
        <v>1.21</v>
      </c>
      <c r="Z117" s="42">
        <v>-2.66</v>
      </c>
      <c r="AA117" s="42">
        <v>6.06</v>
      </c>
      <c r="AB117" s="42">
        <v>0.45</v>
      </c>
      <c r="AC117" s="42">
        <v>-0.35</v>
      </c>
      <c r="AD117" s="42">
        <v>-1.86</v>
      </c>
      <c r="AE117" s="42">
        <v>7.22</v>
      </c>
      <c r="AF117" s="23">
        <v>1.2725244E7</v>
      </c>
      <c r="AG117" s="23">
        <v>9491256.0</v>
      </c>
      <c r="AH117" s="23">
        <v>1265500.0</v>
      </c>
      <c r="AI117" s="23">
        <v>632751.0</v>
      </c>
      <c r="AJ117" s="23">
        <v>1265500.0</v>
      </c>
      <c r="AK117" s="23">
        <v>5694753.0</v>
      </c>
      <c r="AL117" s="42">
        <v>11.0</v>
      </c>
      <c r="AM117" s="42">
        <v>0.0</v>
      </c>
      <c r="AN117" s="42">
        <v>0.0</v>
      </c>
      <c r="AO117" s="42">
        <v>9.7</v>
      </c>
      <c r="AP117" s="42">
        <v>129.75</v>
      </c>
      <c r="AQ117" s="23">
        <v>74.59</v>
      </c>
      <c r="AR117" s="23">
        <v>9.94</v>
      </c>
      <c r="AS117" s="23">
        <v>4.97</v>
      </c>
      <c r="AT117" s="23">
        <v>9.94</v>
      </c>
      <c r="AU117" s="23">
        <v>44.75</v>
      </c>
      <c r="AV117" s="36"/>
      <c r="AW117" s="36"/>
      <c r="AX117" s="36"/>
      <c r="AY117" s="36"/>
      <c r="AZ117" s="36"/>
      <c r="BA117" s="36"/>
      <c r="BB117" s="36"/>
      <c r="BC117" s="36"/>
      <c r="BD117" s="36"/>
      <c r="BE117" s="36"/>
      <c r="BF117" s="36"/>
      <c r="BG117" s="36"/>
      <c r="BH117" s="36"/>
      <c r="BI117" s="36"/>
      <c r="BJ117" s="36"/>
      <c r="BK117" s="36"/>
      <c r="BL117" s="36"/>
      <c r="BM117" s="36"/>
      <c r="BN117" s="36"/>
      <c r="BO117" s="36"/>
      <c r="BP117" s="36"/>
      <c r="BQ117" s="36"/>
    </row>
    <row r="118">
      <c r="A118" s="31">
        <v>45329.0</v>
      </c>
      <c r="B118" s="31">
        <v>45336.0</v>
      </c>
      <c r="C118" s="32">
        <v>21613.6</v>
      </c>
      <c r="D118" s="33">
        <v>21728.0</v>
      </c>
      <c r="E118" s="32">
        <v>-0.53</v>
      </c>
      <c r="F118" s="32" t="s">
        <v>61</v>
      </c>
      <c r="G118" s="34" t="s">
        <v>52</v>
      </c>
      <c r="H118" s="21" t="s">
        <v>198</v>
      </c>
      <c r="I118" s="34" t="s">
        <v>69</v>
      </c>
      <c r="J118" s="21">
        <v>10.0</v>
      </c>
      <c r="K118" s="42">
        <v>414.0</v>
      </c>
      <c r="L118" s="35">
        <v>161.0</v>
      </c>
      <c r="M118" s="35">
        <v>430.0</v>
      </c>
      <c r="N118" s="21">
        <v>396.0</v>
      </c>
      <c r="O118" s="35">
        <v>-4.35</v>
      </c>
      <c r="P118" s="21">
        <v>368.2</v>
      </c>
      <c r="Q118" s="35">
        <v>-11.06</v>
      </c>
      <c r="R118" s="21">
        <v>473.95</v>
      </c>
      <c r="S118" s="35">
        <v>14.48</v>
      </c>
      <c r="T118" s="42">
        <v>39.81</v>
      </c>
      <c r="U118" s="42">
        <v>28.73</v>
      </c>
      <c r="V118" s="42">
        <v>20.94</v>
      </c>
      <c r="W118" s="42">
        <v>5.7</v>
      </c>
      <c r="X118" s="42">
        <v>1777.07</v>
      </c>
      <c r="Y118" s="42">
        <v>10.56</v>
      </c>
      <c r="Z118" s="42">
        <v>16.78</v>
      </c>
      <c r="AA118" s="42">
        <v>9.7</v>
      </c>
      <c r="AB118" s="42">
        <v>3.49</v>
      </c>
      <c r="AC118" s="42">
        <v>6.92</v>
      </c>
      <c r="AD118" s="42">
        <v>14.4</v>
      </c>
      <c r="AE118" s="42">
        <v>1.28</v>
      </c>
      <c r="AF118" s="23">
        <v>1.3768049E7</v>
      </c>
      <c r="AG118" s="23">
        <v>6720980.0</v>
      </c>
      <c r="AH118" s="23">
        <v>1344196.0</v>
      </c>
      <c r="AI118" s="23">
        <v>672099.0</v>
      </c>
      <c r="AJ118" s="23">
        <v>4704688.0</v>
      </c>
      <c r="AK118" s="23">
        <v>4032588.0</v>
      </c>
      <c r="AL118" s="42">
        <v>36.0</v>
      </c>
      <c r="AM118" s="42">
        <v>27.4</v>
      </c>
      <c r="AN118" s="42">
        <v>15.11</v>
      </c>
      <c r="AO118" s="42">
        <v>40.77</v>
      </c>
      <c r="AP118" s="42">
        <v>10.15</v>
      </c>
      <c r="AQ118" s="23">
        <v>48.82</v>
      </c>
      <c r="AR118" s="23">
        <v>9.76</v>
      </c>
      <c r="AS118" s="23">
        <v>4.88</v>
      </c>
      <c r="AT118" s="23">
        <v>34.17</v>
      </c>
      <c r="AU118" s="23">
        <v>29.29</v>
      </c>
      <c r="AV118" s="36"/>
      <c r="AW118" s="36"/>
      <c r="AX118" s="36"/>
      <c r="AY118" s="36"/>
      <c r="AZ118" s="36"/>
      <c r="BA118" s="36"/>
      <c r="BB118" s="36"/>
      <c r="BC118" s="36"/>
      <c r="BD118" s="36"/>
      <c r="BE118" s="36"/>
      <c r="BF118" s="36"/>
      <c r="BG118" s="36"/>
      <c r="BH118" s="36"/>
      <c r="BI118" s="36"/>
      <c r="BJ118" s="36"/>
      <c r="BK118" s="36"/>
      <c r="BL118" s="36"/>
      <c r="BM118" s="36"/>
      <c r="BN118" s="36"/>
      <c r="BO118" s="36"/>
      <c r="BP118" s="36"/>
      <c r="BQ118" s="36"/>
    </row>
    <row r="119">
      <c r="A119" s="31">
        <v>45329.0</v>
      </c>
      <c r="B119" s="31">
        <v>45336.0</v>
      </c>
      <c r="C119" s="32">
        <v>21613.6</v>
      </c>
      <c r="D119" s="33">
        <v>21728.0</v>
      </c>
      <c r="E119" s="32">
        <v>-0.53</v>
      </c>
      <c r="F119" s="32" t="s">
        <v>61</v>
      </c>
      <c r="G119" s="34" t="s">
        <v>52</v>
      </c>
      <c r="H119" s="21" t="s">
        <v>199</v>
      </c>
      <c r="I119" s="34" t="s">
        <v>49</v>
      </c>
      <c r="J119" s="21">
        <v>10.0</v>
      </c>
      <c r="K119" s="43">
        <v>468.0</v>
      </c>
      <c r="L119" s="35">
        <v>1.0</v>
      </c>
      <c r="M119" s="35">
        <v>468.0</v>
      </c>
      <c r="N119" s="21">
        <v>430.25</v>
      </c>
      <c r="O119" s="35">
        <v>-8.07</v>
      </c>
      <c r="P119" s="21">
        <v>435.0</v>
      </c>
      <c r="Q119" s="35">
        <v>-7.05</v>
      </c>
      <c r="R119" s="21">
        <v>304.45</v>
      </c>
      <c r="S119" s="35">
        <v>-34.95</v>
      </c>
      <c r="T119" s="42">
        <v>6.86</v>
      </c>
      <c r="U119" s="42">
        <v>3.63</v>
      </c>
      <c r="V119" s="42">
        <v>5.43</v>
      </c>
      <c r="W119" s="42">
        <v>2.6</v>
      </c>
      <c r="X119" s="42">
        <v>711.76</v>
      </c>
      <c r="Y119" s="42">
        <v>10.56</v>
      </c>
      <c r="Z119" s="42">
        <v>16.45</v>
      </c>
      <c r="AA119" s="42">
        <v>16.62</v>
      </c>
      <c r="AB119" s="42">
        <v>0.95</v>
      </c>
      <c r="AC119" s="42">
        <v>12.9</v>
      </c>
      <c r="AD119" s="42">
        <v>15.33</v>
      </c>
      <c r="AE119" s="42">
        <v>1.81</v>
      </c>
      <c r="AF119" s="23">
        <v>1.1176713E7</v>
      </c>
      <c r="AG119" s="23">
        <v>5588356.0</v>
      </c>
      <c r="AH119" s="23">
        <v>1117671.0</v>
      </c>
      <c r="AI119" s="23">
        <v>558836.0</v>
      </c>
      <c r="AJ119" s="23">
        <v>3911850.0</v>
      </c>
      <c r="AK119" s="23">
        <v>3353013.0</v>
      </c>
      <c r="AL119" s="42">
        <v>32.0</v>
      </c>
      <c r="AM119" s="42">
        <v>26.48</v>
      </c>
      <c r="AN119" s="42">
        <v>17.68</v>
      </c>
      <c r="AO119" s="42">
        <v>24.19</v>
      </c>
      <c r="AP119" s="42">
        <v>19.35</v>
      </c>
      <c r="AQ119" s="23">
        <v>50.0</v>
      </c>
      <c r="AR119" s="23">
        <v>10.0</v>
      </c>
      <c r="AS119" s="23">
        <v>5.0</v>
      </c>
      <c r="AT119" s="23">
        <v>35.0</v>
      </c>
      <c r="AU119" s="23">
        <v>30.0</v>
      </c>
      <c r="AV119" s="36"/>
      <c r="AW119" s="36"/>
      <c r="AX119" s="36"/>
      <c r="AY119" s="36"/>
      <c r="AZ119" s="36"/>
      <c r="BA119" s="36"/>
      <c r="BB119" s="36"/>
      <c r="BC119" s="36"/>
      <c r="BD119" s="36"/>
      <c r="BE119" s="36"/>
      <c r="BF119" s="36"/>
      <c r="BG119" s="36"/>
      <c r="BH119" s="36"/>
      <c r="BI119" s="36"/>
      <c r="BJ119" s="36"/>
      <c r="BK119" s="36"/>
      <c r="BL119" s="36"/>
      <c r="BM119" s="36"/>
      <c r="BN119" s="36"/>
      <c r="BO119" s="36"/>
      <c r="BP119" s="36"/>
      <c r="BQ119" s="36"/>
    </row>
    <row r="120">
      <c r="A120" s="31">
        <v>45329.0</v>
      </c>
      <c r="B120" s="31">
        <v>45336.0</v>
      </c>
      <c r="C120" s="32">
        <v>21613.6</v>
      </c>
      <c r="D120" s="33">
        <v>21728.0</v>
      </c>
      <c r="E120" s="32">
        <v>-0.53</v>
      </c>
      <c r="F120" s="32" t="s">
        <v>61</v>
      </c>
      <c r="G120" s="34" t="s">
        <v>50</v>
      </c>
      <c r="H120" s="21" t="s">
        <v>200</v>
      </c>
      <c r="I120" s="34" t="s">
        <v>49</v>
      </c>
      <c r="J120" s="21">
        <v>5.0</v>
      </c>
      <c r="K120" s="42">
        <v>311.0</v>
      </c>
      <c r="L120" s="35">
        <v>343.0</v>
      </c>
      <c r="M120" s="35">
        <v>345.0</v>
      </c>
      <c r="N120" s="21">
        <v>339.5</v>
      </c>
      <c r="O120" s="35">
        <v>9.16</v>
      </c>
      <c r="P120" s="21">
        <v>321.5</v>
      </c>
      <c r="Q120" s="35">
        <v>3.38</v>
      </c>
      <c r="R120" s="21">
        <v>286.75</v>
      </c>
      <c r="S120" s="35">
        <v>-7.8</v>
      </c>
      <c r="T120" s="42">
        <v>151.45</v>
      </c>
      <c r="U120" s="42">
        <v>74.51</v>
      </c>
      <c r="V120" s="42">
        <v>50.38</v>
      </c>
      <c r="W120" s="42">
        <v>11.01</v>
      </c>
      <c r="X120" s="42">
        <v>772.74</v>
      </c>
      <c r="Y120" s="42">
        <v>3.0</v>
      </c>
      <c r="Z120" s="42">
        <v>19.33</v>
      </c>
      <c r="AA120" s="42">
        <v>14.21</v>
      </c>
      <c r="AB120" s="42">
        <v>1.53</v>
      </c>
      <c r="AC120" s="42">
        <v>1.3</v>
      </c>
      <c r="AD120" s="42">
        <v>17.6</v>
      </c>
      <c r="AE120" s="42">
        <v>1.86</v>
      </c>
      <c r="AF120" s="23">
        <v>1.9292604E7</v>
      </c>
      <c r="AG120" s="23">
        <v>3858521.0</v>
      </c>
      <c r="AH120" s="23">
        <v>1929260.0</v>
      </c>
      <c r="AI120" s="23">
        <v>964631.0</v>
      </c>
      <c r="AJ120" s="23">
        <v>6752412.0</v>
      </c>
      <c r="AK120" s="23">
        <v>5787780.0</v>
      </c>
      <c r="AL120" s="42">
        <v>48.0</v>
      </c>
      <c r="AM120" s="42">
        <v>26.46</v>
      </c>
      <c r="AN120" s="42">
        <v>11.75</v>
      </c>
      <c r="AO120" s="42">
        <v>21.86</v>
      </c>
      <c r="AP120" s="42">
        <v>14.23</v>
      </c>
      <c r="AQ120" s="23">
        <v>20.0</v>
      </c>
      <c r="AR120" s="23">
        <v>10.0</v>
      </c>
      <c r="AS120" s="23">
        <v>5.0</v>
      </c>
      <c r="AT120" s="23">
        <v>35.0</v>
      </c>
      <c r="AU120" s="23">
        <v>30.0</v>
      </c>
      <c r="AV120" s="36"/>
      <c r="AW120" s="36"/>
      <c r="AX120" s="36"/>
      <c r="AY120" s="36"/>
      <c r="AZ120" s="36"/>
      <c r="BA120" s="36"/>
      <c r="BB120" s="36"/>
      <c r="BC120" s="36"/>
      <c r="BD120" s="36"/>
      <c r="BE120" s="36"/>
      <c r="BF120" s="36"/>
      <c r="BG120" s="36"/>
      <c r="BH120" s="36"/>
      <c r="BI120" s="36"/>
      <c r="BJ120" s="36"/>
      <c r="BK120" s="36"/>
      <c r="BL120" s="36"/>
      <c r="BM120" s="36"/>
      <c r="BN120" s="36"/>
      <c r="BO120" s="36"/>
      <c r="BP120" s="36"/>
      <c r="BQ120" s="36"/>
    </row>
    <row r="121">
      <c r="A121" s="31">
        <v>45327.0</v>
      </c>
      <c r="B121" s="31">
        <v>45334.0</v>
      </c>
      <c r="C121" s="32">
        <v>21711.1</v>
      </c>
      <c r="D121" s="33">
        <v>21786.0</v>
      </c>
      <c r="E121" s="32">
        <v>-0.34</v>
      </c>
      <c r="F121" s="32" t="s">
        <v>61</v>
      </c>
      <c r="G121" s="34" t="s">
        <v>55</v>
      </c>
      <c r="H121" s="21" t="s">
        <v>201</v>
      </c>
      <c r="I121" s="34" t="s">
        <v>49</v>
      </c>
      <c r="J121" s="21">
        <v>1.0</v>
      </c>
      <c r="K121" s="42">
        <v>155.0</v>
      </c>
      <c r="L121" s="35">
        <v>384.0</v>
      </c>
      <c r="M121" s="35">
        <v>193.0</v>
      </c>
      <c r="N121" s="21">
        <v>186.0</v>
      </c>
      <c r="O121" s="35">
        <v>20.0</v>
      </c>
      <c r="P121" s="21">
        <v>203.55</v>
      </c>
      <c r="Q121" s="35">
        <v>31.32</v>
      </c>
      <c r="R121" s="21">
        <v>155.05</v>
      </c>
      <c r="S121" s="35">
        <v>0.03</v>
      </c>
      <c r="T121" s="42">
        <v>79.23</v>
      </c>
      <c r="U121" s="42">
        <v>61.55</v>
      </c>
      <c r="V121" s="42">
        <v>42.68</v>
      </c>
      <c r="W121" s="42">
        <v>32.0</v>
      </c>
      <c r="X121" s="42">
        <v>578.71</v>
      </c>
      <c r="Y121" s="42">
        <v>34.0</v>
      </c>
      <c r="Z121" s="42">
        <v>8.66</v>
      </c>
      <c r="AA121" s="42">
        <v>11.0</v>
      </c>
      <c r="AB121" s="42">
        <v>0.99</v>
      </c>
      <c r="AC121" s="42">
        <v>9.56</v>
      </c>
      <c r="AD121" s="42">
        <v>9.03</v>
      </c>
      <c r="AE121" s="42">
        <v>4.87</v>
      </c>
      <c r="AF121" s="23">
        <v>5.9385351E7</v>
      </c>
      <c r="AG121" s="23">
        <v>4.4032258E7</v>
      </c>
      <c r="AH121" s="23">
        <v>5870967.0</v>
      </c>
      <c r="AI121" s="23">
        <v>2935484.0</v>
      </c>
      <c r="AJ121" s="23">
        <v>5870967.0</v>
      </c>
      <c r="AK121" s="23">
        <v>2.6419354E7</v>
      </c>
      <c r="AL121" s="42">
        <v>96.0</v>
      </c>
      <c r="AM121" s="42">
        <v>2.75</v>
      </c>
      <c r="AN121" s="42">
        <v>56.33</v>
      </c>
      <c r="AO121" s="42">
        <v>2.15</v>
      </c>
      <c r="AP121" s="42">
        <v>72.05</v>
      </c>
      <c r="AQ121" s="23">
        <v>74.15</v>
      </c>
      <c r="AR121" s="23">
        <v>9.89</v>
      </c>
      <c r="AS121" s="23">
        <v>4.94</v>
      </c>
      <c r="AT121" s="23">
        <v>9.89</v>
      </c>
      <c r="AU121" s="23">
        <v>44.49</v>
      </c>
      <c r="AV121" s="36"/>
      <c r="AW121" s="36"/>
      <c r="AX121" s="36"/>
      <c r="AY121" s="36"/>
      <c r="AZ121" s="36"/>
      <c r="BA121" s="36"/>
      <c r="BB121" s="36"/>
      <c r="BC121" s="36"/>
      <c r="BD121" s="36"/>
      <c r="BE121" s="36"/>
      <c r="BF121" s="36"/>
      <c r="BG121" s="36"/>
      <c r="BH121" s="36"/>
      <c r="BI121" s="36"/>
      <c r="BJ121" s="36"/>
      <c r="BK121" s="36"/>
      <c r="BL121" s="36"/>
      <c r="BM121" s="36"/>
      <c r="BN121" s="36"/>
      <c r="BO121" s="36"/>
      <c r="BP121" s="36"/>
      <c r="BQ121" s="36"/>
    </row>
    <row r="122">
      <c r="A122" s="31">
        <v>45321.0</v>
      </c>
      <c r="B122" s="31">
        <v>45328.0</v>
      </c>
      <c r="C122" s="32">
        <v>21862.4</v>
      </c>
      <c r="D122" s="33">
        <v>21761.3</v>
      </c>
      <c r="E122" s="32">
        <v>0.46</v>
      </c>
      <c r="F122" s="32" t="s">
        <v>70</v>
      </c>
      <c r="G122" s="34" t="s">
        <v>55</v>
      </c>
      <c r="H122" s="21" t="s">
        <v>202</v>
      </c>
      <c r="I122" s="34" t="s">
        <v>49</v>
      </c>
      <c r="J122" s="21">
        <v>10.0</v>
      </c>
      <c r="K122" s="42">
        <v>135.0</v>
      </c>
      <c r="L122" s="35">
        <v>1555.0</v>
      </c>
      <c r="M122" s="35">
        <v>290.0</v>
      </c>
      <c r="N122" s="21">
        <v>305.0</v>
      </c>
      <c r="O122" s="35">
        <v>125.93</v>
      </c>
      <c r="P122" s="21">
        <v>370.75</v>
      </c>
      <c r="Q122" s="35">
        <v>174.63</v>
      </c>
      <c r="R122" s="21">
        <v>184.47</v>
      </c>
      <c r="S122" s="35">
        <v>36.64</v>
      </c>
      <c r="T122" s="42">
        <v>123.3</v>
      </c>
      <c r="U122" s="42">
        <v>305.27</v>
      </c>
      <c r="V122" s="42">
        <v>289.59</v>
      </c>
      <c r="W122" s="42">
        <v>236.53</v>
      </c>
      <c r="X122" s="42">
        <v>120.37</v>
      </c>
      <c r="Y122" s="42">
        <v>14.7</v>
      </c>
      <c r="Z122" s="42">
        <v>33.33</v>
      </c>
      <c r="AA122" s="42">
        <v>30.62</v>
      </c>
      <c r="AB122" s="42">
        <v>0.05</v>
      </c>
      <c r="AC122" s="42">
        <v>8.36</v>
      </c>
      <c r="AD122" s="42">
        <v>16.46</v>
      </c>
      <c r="AE122" s="42">
        <v>7.2</v>
      </c>
      <c r="AF122" s="23">
        <v>2.303E7</v>
      </c>
      <c r="AG122" s="23">
        <v>1.554525E7</v>
      </c>
      <c r="AH122" s="23">
        <v>2072700.0</v>
      </c>
      <c r="AI122" s="23">
        <v>1036350.0</v>
      </c>
      <c r="AJ122" s="23">
        <v>2072700.0</v>
      </c>
      <c r="AK122" s="23">
        <v>9327096.0</v>
      </c>
      <c r="AL122" s="42">
        <v>108.0</v>
      </c>
      <c r="AM122" s="42">
        <v>3.05</v>
      </c>
      <c r="AN122" s="42">
        <v>44.31</v>
      </c>
      <c r="AO122" s="42">
        <v>2.24</v>
      </c>
      <c r="AP122" s="42">
        <v>60.33</v>
      </c>
      <c r="AQ122" s="23">
        <v>67.5</v>
      </c>
      <c r="AR122" s="23">
        <v>9.0</v>
      </c>
      <c r="AS122" s="23">
        <v>4.5</v>
      </c>
      <c r="AT122" s="23">
        <v>9.0</v>
      </c>
      <c r="AU122" s="23">
        <v>40.5</v>
      </c>
      <c r="AV122" s="36"/>
      <c r="AW122" s="36"/>
      <c r="AX122" s="36"/>
      <c r="AY122" s="36"/>
      <c r="AZ122" s="36"/>
      <c r="BA122" s="36"/>
      <c r="BB122" s="36"/>
      <c r="BC122" s="36"/>
      <c r="BD122" s="36"/>
      <c r="BE122" s="36"/>
      <c r="BF122" s="36"/>
      <c r="BG122" s="36"/>
      <c r="BH122" s="36"/>
      <c r="BI122" s="36"/>
      <c r="BJ122" s="36"/>
      <c r="BK122" s="36"/>
      <c r="BL122" s="36"/>
      <c r="BM122" s="36"/>
      <c r="BN122" s="36"/>
      <c r="BO122" s="36"/>
      <c r="BP122" s="36"/>
      <c r="BQ122" s="36"/>
    </row>
    <row r="123">
      <c r="A123" s="31">
        <v>45314.0</v>
      </c>
      <c r="B123" s="31">
        <v>45322.0</v>
      </c>
      <c r="C123" s="32">
        <v>21540.5</v>
      </c>
      <c r="D123" s="33">
        <v>21530.55</v>
      </c>
      <c r="E123" s="32">
        <v>0.05</v>
      </c>
      <c r="F123" s="32" t="s">
        <v>61</v>
      </c>
      <c r="G123" s="34" t="s">
        <v>73</v>
      </c>
      <c r="H123" s="21" t="s">
        <v>203</v>
      </c>
      <c r="I123" s="34" t="s">
        <v>49</v>
      </c>
      <c r="J123" s="21">
        <v>2.0</v>
      </c>
      <c r="K123" s="42">
        <v>41.0</v>
      </c>
      <c r="L123" s="35">
        <v>134.0</v>
      </c>
      <c r="M123" s="35">
        <v>54.0</v>
      </c>
      <c r="N123" s="21">
        <v>55.0</v>
      </c>
      <c r="O123" s="35">
        <v>34.15</v>
      </c>
      <c r="P123" s="21">
        <v>58.79</v>
      </c>
      <c r="Q123" s="35">
        <v>43.39</v>
      </c>
      <c r="R123" s="21">
        <v>54.63</v>
      </c>
      <c r="S123" s="35">
        <v>33.24</v>
      </c>
      <c r="T123" s="42">
        <v>81.13</v>
      </c>
      <c r="U123" s="42">
        <v>231.4</v>
      </c>
      <c r="V123" s="42">
        <v>236.27</v>
      </c>
      <c r="W123" s="42">
        <v>80.2</v>
      </c>
      <c r="X123" s="42">
        <v>74.23</v>
      </c>
      <c r="Y123" s="42">
        <v>18.4</v>
      </c>
      <c r="Z123" s="42">
        <v>38.27</v>
      </c>
      <c r="AA123" s="42">
        <v>27.25</v>
      </c>
      <c r="AB123" s="42">
        <v>1.11</v>
      </c>
      <c r="AC123" s="42">
        <v>9.75</v>
      </c>
      <c r="AD123" s="42">
        <v>32.08</v>
      </c>
      <c r="AE123" s="42">
        <v>4.06</v>
      </c>
      <c r="AF123" s="23">
        <v>3.5075693E7</v>
      </c>
      <c r="AG123" s="23">
        <v>1.7537846E7</v>
      </c>
      <c r="AH123" s="23">
        <v>3507569.0</v>
      </c>
      <c r="AI123" s="23">
        <v>1753785.0</v>
      </c>
      <c r="AJ123" s="23">
        <v>1.2276493E7</v>
      </c>
      <c r="AK123" s="23">
        <v>1.052222E7</v>
      </c>
      <c r="AL123" s="42">
        <v>365.0</v>
      </c>
      <c r="AM123" s="42">
        <v>3.14</v>
      </c>
      <c r="AN123" s="42">
        <v>13.05</v>
      </c>
      <c r="AO123" s="42">
        <v>2.24</v>
      </c>
      <c r="AP123" s="42">
        <v>18.27</v>
      </c>
      <c r="AQ123" s="23">
        <v>50.0</v>
      </c>
      <c r="AR123" s="23">
        <v>10.0</v>
      </c>
      <c r="AS123" s="23">
        <v>5.0</v>
      </c>
      <c r="AT123" s="23">
        <v>35.0</v>
      </c>
      <c r="AU123" s="23">
        <v>30.0</v>
      </c>
      <c r="AV123" s="36"/>
      <c r="AW123" s="36"/>
      <c r="AX123" s="36"/>
      <c r="AY123" s="36"/>
      <c r="AZ123" s="36"/>
      <c r="BA123" s="36"/>
      <c r="BB123" s="36"/>
      <c r="BC123" s="36"/>
      <c r="BD123" s="36"/>
      <c r="BE123" s="36"/>
      <c r="BF123" s="36"/>
      <c r="BG123" s="36"/>
      <c r="BH123" s="36"/>
      <c r="BI123" s="36"/>
      <c r="BJ123" s="36"/>
      <c r="BK123" s="36"/>
      <c r="BL123" s="36"/>
      <c r="BM123" s="36"/>
      <c r="BN123" s="36"/>
      <c r="BO123" s="36"/>
      <c r="BP123" s="36"/>
      <c r="BQ123" s="36"/>
    </row>
    <row r="124">
      <c r="A124" s="31">
        <v>45310.0</v>
      </c>
      <c r="B124" s="31">
        <v>45321.0</v>
      </c>
      <c r="C124" s="32">
        <v>21745.8</v>
      </c>
      <c r="D124" s="33">
        <v>21744.8</v>
      </c>
      <c r="E124" s="32">
        <v>0.0</v>
      </c>
      <c r="F124" s="32" t="s">
        <v>61</v>
      </c>
      <c r="G124" s="34" t="s">
        <v>71</v>
      </c>
      <c r="H124" s="21" t="s">
        <v>204</v>
      </c>
      <c r="I124" s="34" t="s">
        <v>49</v>
      </c>
      <c r="J124" s="21">
        <v>10.0</v>
      </c>
      <c r="K124" s="42">
        <v>230.0</v>
      </c>
      <c r="L124" s="35">
        <v>51.0</v>
      </c>
      <c r="M124" s="35">
        <v>235.0</v>
      </c>
      <c r="N124" s="21">
        <v>221.0</v>
      </c>
      <c r="O124" s="35">
        <v>-3.91</v>
      </c>
      <c r="P124" s="21">
        <v>207.7</v>
      </c>
      <c r="Q124" s="35">
        <v>-9.7</v>
      </c>
      <c r="R124" s="21">
        <v>390.9</v>
      </c>
      <c r="S124" s="35">
        <v>69.96</v>
      </c>
      <c r="T124" s="42">
        <v>25.59</v>
      </c>
      <c r="U124" s="42">
        <v>31.6</v>
      </c>
      <c r="V124" s="42">
        <v>21.74</v>
      </c>
      <c r="W124" s="42">
        <v>6.5</v>
      </c>
      <c r="X124" s="42">
        <v>313.62</v>
      </c>
      <c r="Y124" s="42">
        <v>6.66</v>
      </c>
      <c r="Z124" s="42">
        <v>14.68</v>
      </c>
      <c r="AA124" s="42">
        <v>11.85</v>
      </c>
      <c r="AB124" s="42">
        <v>1.58</v>
      </c>
      <c r="AC124" s="42">
        <v>2.08</v>
      </c>
      <c r="AD124" s="42">
        <v>14.68</v>
      </c>
      <c r="AE124" s="42">
        <v>4.98</v>
      </c>
      <c r="AF124" s="23">
        <v>2.7828351E7</v>
      </c>
      <c r="AG124" s="23">
        <v>1.3914175E7</v>
      </c>
      <c r="AH124" s="23">
        <v>2782835.0</v>
      </c>
      <c r="AI124" s="23">
        <v>1391418.0</v>
      </c>
      <c r="AJ124" s="23">
        <v>9739923.0</v>
      </c>
      <c r="AK124" s="23">
        <v>8348504.0</v>
      </c>
      <c r="AL124" s="42">
        <v>65.0</v>
      </c>
      <c r="AM124" s="42">
        <v>4.08</v>
      </c>
      <c r="AN124" s="42">
        <v>56.4</v>
      </c>
      <c r="AO124" s="42">
        <v>0.55</v>
      </c>
      <c r="AP124" s="42">
        <v>415.1</v>
      </c>
      <c r="AQ124" s="23">
        <v>50.0</v>
      </c>
      <c r="AR124" s="23">
        <v>10.0</v>
      </c>
      <c r="AS124" s="23">
        <v>5.0</v>
      </c>
      <c r="AT124" s="23">
        <v>35.0</v>
      </c>
      <c r="AU124" s="23">
        <v>30.0</v>
      </c>
      <c r="AV124" s="36"/>
      <c r="AW124" s="36"/>
      <c r="AX124" s="36"/>
      <c r="AY124" s="36"/>
      <c r="AZ124" s="36"/>
      <c r="BA124" s="36"/>
      <c r="BB124" s="36"/>
      <c r="BC124" s="36"/>
      <c r="BD124" s="36"/>
      <c r="BE124" s="36"/>
      <c r="BF124" s="36"/>
      <c r="BG124" s="36"/>
      <c r="BH124" s="36"/>
      <c r="BI124" s="36"/>
      <c r="BJ124" s="36"/>
      <c r="BK124" s="36"/>
      <c r="BL124" s="36"/>
      <c r="BM124" s="36"/>
      <c r="BN124" s="36"/>
      <c r="BO124" s="36"/>
      <c r="BP124" s="36"/>
      <c r="BQ124" s="36"/>
    </row>
    <row r="125">
      <c r="A125" s="31">
        <v>45306.0</v>
      </c>
      <c r="B125" s="31">
        <v>45314.0</v>
      </c>
      <c r="C125" s="32">
        <v>21661.4</v>
      </c>
      <c r="D125" s="33">
        <v>21586.95</v>
      </c>
      <c r="E125" s="32">
        <v>0.34</v>
      </c>
      <c r="F125" s="32" t="s">
        <v>61</v>
      </c>
      <c r="G125" s="34" t="s">
        <v>52</v>
      </c>
      <c r="H125" s="21" t="s">
        <v>205</v>
      </c>
      <c r="I125" s="34" t="s">
        <v>49</v>
      </c>
      <c r="J125" s="21">
        <v>5.0</v>
      </c>
      <c r="K125" s="42">
        <v>418.0</v>
      </c>
      <c r="L125" s="35">
        <v>342.0</v>
      </c>
      <c r="M125" s="35">
        <v>452.0</v>
      </c>
      <c r="N125" s="21">
        <v>460.0</v>
      </c>
      <c r="O125" s="35">
        <v>10.05</v>
      </c>
      <c r="P125" s="21">
        <v>464.25</v>
      </c>
      <c r="Q125" s="35">
        <v>11.06</v>
      </c>
      <c r="R125" s="21">
        <v>532.7</v>
      </c>
      <c r="S125" s="35">
        <v>27.44</v>
      </c>
      <c r="T125" s="42">
        <v>40.14</v>
      </c>
      <c r="U125" s="42">
        <v>17.22</v>
      </c>
      <c r="V125" s="42">
        <v>10.12</v>
      </c>
      <c r="W125" s="42">
        <v>3.19</v>
      </c>
      <c r="X125" s="42">
        <v>416.64</v>
      </c>
      <c r="Y125" s="42">
        <v>23.64</v>
      </c>
      <c r="Z125" s="42">
        <v>19.63</v>
      </c>
      <c r="AA125" s="42">
        <v>24.95</v>
      </c>
      <c r="AB125" s="42">
        <v>0.0</v>
      </c>
      <c r="AC125" s="42">
        <v>14.56</v>
      </c>
      <c r="AD125" s="42">
        <v>19.63</v>
      </c>
      <c r="AE125" s="42">
        <v>0.0</v>
      </c>
      <c r="AF125" s="23">
        <v>2.8028168E7</v>
      </c>
      <c r="AG125" s="23">
        <v>1.4014083E7</v>
      </c>
      <c r="AH125" s="23">
        <v>2802817.0</v>
      </c>
      <c r="AI125" s="23">
        <v>1401409.0</v>
      </c>
      <c r="AJ125" s="23">
        <v>9809859.0</v>
      </c>
      <c r="AK125" s="23">
        <v>8408449.0</v>
      </c>
      <c r="AL125" s="42">
        <v>35.0</v>
      </c>
      <c r="AM125" s="42">
        <v>10.94</v>
      </c>
      <c r="AN125" s="42">
        <v>38.22</v>
      </c>
      <c r="AO125" s="42">
        <v>13.15</v>
      </c>
      <c r="AP125" s="42">
        <v>31.8</v>
      </c>
      <c r="AQ125" s="23">
        <v>50.0</v>
      </c>
      <c r="AR125" s="23">
        <v>10.0</v>
      </c>
      <c r="AS125" s="23">
        <v>5.0</v>
      </c>
      <c r="AT125" s="23">
        <v>35.0</v>
      </c>
      <c r="AU125" s="23">
        <v>30.0</v>
      </c>
      <c r="AV125" s="36"/>
      <c r="AW125" s="36"/>
      <c r="AX125" s="36"/>
      <c r="AY125" s="36"/>
      <c r="AZ125" s="36"/>
      <c r="BA125" s="36"/>
      <c r="BB125" s="36"/>
      <c r="BC125" s="36"/>
      <c r="BD125" s="36"/>
      <c r="BE125" s="36"/>
      <c r="BF125" s="36"/>
      <c r="BG125" s="36"/>
      <c r="BH125" s="36"/>
      <c r="BI125" s="36"/>
      <c r="BJ125" s="36"/>
      <c r="BK125" s="36"/>
      <c r="BL125" s="36"/>
      <c r="BM125" s="36"/>
      <c r="BN125" s="36"/>
      <c r="BO125" s="36"/>
      <c r="BP125" s="36"/>
      <c r="BQ125" s="36"/>
    </row>
    <row r="126">
      <c r="A126" s="31">
        <v>45300.0</v>
      </c>
      <c r="B126" s="31">
        <v>45307.0</v>
      </c>
      <c r="C126" s="32">
        <v>22074.65</v>
      </c>
      <c r="D126" s="33">
        <v>22109.8</v>
      </c>
      <c r="E126" s="32">
        <v>-0.16</v>
      </c>
      <c r="F126" s="32" t="s">
        <v>70</v>
      </c>
      <c r="G126" s="34" t="s">
        <v>47</v>
      </c>
      <c r="H126" s="21" t="s">
        <v>206</v>
      </c>
      <c r="I126" s="34" t="s">
        <v>69</v>
      </c>
      <c r="J126" s="21">
        <v>2.0</v>
      </c>
      <c r="K126" s="42">
        <v>331.0</v>
      </c>
      <c r="L126" s="35">
        <v>383.0</v>
      </c>
      <c r="M126" s="35">
        <v>369.0</v>
      </c>
      <c r="N126" s="21">
        <v>370.0</v>
      </c>
      <c r="O126" s="35">
        <v>11.78</v>
      </c>
      <c r="P126" s="21">
        <v>434.2</v>
      </c>
      <c r="Q126" s="35">
        <v>31.18</v>
      </c>
      <c r="R126" s="21">
        <v>1020.0</v>
      </c>
      <c r="S126" s="35">
        <v>208.16</v>
      </c>
      <c r="T126" s="42">
        <v>46.37</v>
      </c>
      <c r="U126" s="42">
        <v>42.77</v>
      </c>
      <c r="V126" s="42">
        <v>29.47</v>
      </c>
      <c r="W126" s="42">
        <v>27.5</v>
      </c>
      <c r="X126" s="42">
        <v>205.63</v>
      </c>
      <c r="Y126" s="42">
        <v>10.48</v>
      </c>
      <c r="Z126" s="42">
        <v>18.35</v>
      </c>
      <c r="AA126" s="42">
        <v>9.5</v>
      </c>
      <c r="AB126" s="42">
        <v>10.17</v>
      </c>
      <c r="AC126" s="42">
        <v>1.58</v>
      </c>
      <c r="AD126" s="42">
        <v>18.35</v>
      </c>
      <c r="AE126" s="42">
        <v>59.43</v>
      </c>
      <c r="AF126" s="23">
        <v>3.0218649E7</v>
      </c>
      <c r="AG126" s="23">
        <v>2.2545317E7</v>
      </c>
      <c r="AH126" s="23">
        <v>3006042.0</v>
      </c>
      <c r="AI126" s="23">
        <v>1503021.0</v>
      </c>
      <c r="AJ126" s="23">
        <v>3006042.0</v>
      </c>
      <c r="AK126" s="23">
        <v>1.352719E7</v>
      </c>
      <c r="AL126" s="42">
        <v>45.0</v>
      </c>
      <c r="AM126" s="42">
        <v>0.76</v>
      </c>
      <c r="AN126" s="42">
        <v>433.43</v>
      </c>
      <c r="AO126" s="42">
        <v>0.29</v>
      </c>
      <c r="AP126" s="42">
        <v>1122.83</v>
      </c>
      <c r="AQ126" s="23">
        <v>74.61</v>
      </c>
      <c r="AR126" s="23">
        <v>9.95</v>
      </c>
      <c r="AS126" s="23">
        <v>4.97</v>
      </c>
      <c r="AT126" s="23">
        <v>9.95</v>
      </c>
      <c r="AU126" s="23">
        <v>44.76</v>
      </c>
      <c r="AV126" s="36"/>
      <c r="AW126" s="36"/>
      <c r="AX126" s="36"/>
      <c r="AY126" s="36"/>
      <c r="AZ126" s="36"/>
      <c r="BA126" s="36"/>
      <c r="BB126" s="36"/>
      <c r="BC126" s="36"/>
      <c r="BD126" s="36"/>
      <c r="BE126" s="36"/>
      <c r="BF126" s="36"/>
      <c r="BG126" s="36"/>
      <c r="BH126" s="36"/>
      <c r="BI126" s="36"/>
      <c r="BJ126" s="36"/>
      <c r="BK126" s="36"/>
      <c r="BL126" s="36"/>
      <c r="BM126" s="36"/>
      <c r="BN126" s="36"/>
      <c r="BO126" s="36"/>
      <c r="BP126" s="36"/>
      <c r="BQ126" s="36"/>
    </row>
    <row r="127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45"/>
      <c r="AN127" s="45"/>
      <c r="AO127" s="45"/>
      <c r="AP127" s="45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  <c r="BC127" s="36"/>
      <c r="BD127" s="36"/>
      <c r="BE127" s="36"/>
      <c r="BF127" s="36"/>
      <c r="BG127" s="36"/>
      <c r="BH127" s="36"/>
      <c r="BI127" s="36"/>
      <c r="BJ127" s="36"/>
      <c r="BK127" s="36"/>
      <c r="BL127" s="36"/>
      <c r="BM127" s="36"/>
      <c r="BN127" s="36"/>
      <c r="BO127" s="36"/>
      <c r="BP127" s="36"/>
      <c r="BQ127" s="36"/>
    </row>
    <row r="128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  <c r="AL128" s="45"/>
      <c r="AM128" s="45"/>
      <c r="AN128" s="45"/>
      <c r="AO128" s="45"/>
      <c r="AP128" s="45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  <c r="BA128" s="36"/>
      <c r="BB128" s="36"/>
      <c r="BC128" s="36"/>
      <c r="BD128" s="36"/>
      <c r="BE128" s="36"/>
      <c r="BF128" s="36"/>
      <c r="BG128" s="36"/>
      <c r="BH128" s="36"/>
      <c r="BI128" s="36"/>
      <c r="BJ128" s="36"/>
      <c r="BK128" s="36"/>
      <c r="BL128" s="36"/>
      <c r="BM128" s="36"/>
      <c r="BN128" s="36"/>
      <c r="BO128" s="36"/>
      <c r="BP128" s="36"/>
      <c r="BQ128" s="36"/>
    </row>
    <row r="129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  <c r="AL129" s="45"/>
      <c r="AM129" s="45"/>
      <c r="AN129" s="45"/>
      <c r="AO129" s="45"/>
      <c r="AP129" s="45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  <c r="BB129" s="36"/>
      <c r="BC129" s="36"/>
      <c r="BD129" s="36"/>
      <c r="BE129" s="36"/>
      <c r="BF129" s="36"/>
      <c r="BG129" s="36"/>
      <c r="BH129" s="36"/>
      <c r="BI129" s="36"/>
      <c r="BJ129" s="36"/>
      <c r="BK129" s="36"/>
      <c r="BL129" s="36"/>
      <c r="BM129" s="36"/>
      <c r="BN129" s="36"/>
      <c r="BO129" s="36"/>
      <c r="BP129" s="36"/>
      <c r="BQ129" s="36"/>
    </row>
    <row r="130">
      <c r="A130" s="46"/>
      <c r="B130" s="46"/>
      <c r="C130" s="46"/>
      <c r="D130" s="46"/>
      <c r="E130" s="46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45"/>
      <c r="AM130" s="45"/>
      <c r="AN130" s="45"/>
      <c r="AO130" s="45"/>
      <c r="AP130" s="45"/>
      <c r="AQ130" s="36"/>
      <c r="AR130" s="36"/>
      <c r="AS130" s="36"/>
      <c r="AT130" s="36"/>
      <c r="AU130" s="36"/>
      <c r="AV130" s="36"/>
      <c r="AW130" s="36"/>
      <c r="AX130" s="36"/>
      <c r="AY130" s="36"/>
      <c r="AZ130" s="36"/>
      <c r="BA130" s="36"/>
      <c r="BB130" s="36"/>
      <c r="BC130" s="36"/>
      <c r="BD130" s="36"/>
      <c r="BE130" s="36"/>
      <c r="BF130" s="36"/>
      <c r="BG130" s="36"/>
      <c r="BH130" s="36"/>
      <c r="BI130" s="36"/>
      <c r="BJ130" s="36"/>
      <c r="BK130" s="36"/>
      <c r="BL130" s="36"/>
      <c r="BM130" s="36"/>
      <c r="BN130" s="36"/>
      <c r="BO130" s="36"/>
      <c r="BP130" s="36"/>
      <c r="BQ130" s="36"/>
    </row>
    <row r="131">
      <c r="A131" s="46"/>
      <c r="B131" s="46"/>
      <c r="C131" s="46"/>
      <c r="D131" s="46"/>
      <c r="E131" s="46"/>
      <c r="F131" s="31"/>
      <c r="G131" s="46"/>
      <c r="H131" s="46"/>
      <c r="I131" s="46"/>
      <c r="J131" s="46"/>
      <c r="K131" s="47"/>
      <c r="L131" s="48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45"/>
      <c r="AN131" s="45"/>
      <c r="AO131" s="45"/>
      <c r="AP131" s="45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  <c r="BC131" s="36"/>
      <c r="BD131" s="36"/>
      <c r="BE131" s="36"/>
      <c r="BF131" s="36"/>
      <c r="BG131" s="36"/>
      <c r="BH131" s="36"/>
      <c r="BI131" s="36"/>
      <c r="BJ131" s="36"/>
      <c r="BK131" s="36"/>
      <c r="BL131" s="36"/>
      <c r="BM131" s="36"/>
      <c r="BN131" s="36"/>
      <c r="BO131" s="36"/>
      <c r="BP131" s="36"/>
      <c r="BQ131" s="36"/>
    </row>
    <row r="132">
      <c r="A132" s="45"/>
      <c r="B132" s="45"/>
      <c r="C132" s="45"/>
      <c r="D132" s="45"/>
      <c r="E132" s="45"/>
      <c r="F132" s="45"/>
      <c r="G132" s="46"/>
      <c r="H132" s="46"/>
      <c r="I132" s="46"/>
      <c r="J132" s="46"/>
      <c r="K132" s="46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  <c r="AL132" s="45"/>
      <c r="AM132" s="45"/>
      <c r="AN132" s="45"/>
      <c r="AO132" s="45"/>
      <c r="AP132" s="45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  <c r="BB132" s="36"/>
      <c r="BC132" s="36"/>
      <c r="BD132" s="36"/>
      <c r="BE132" s="36"/>
      <c r="BF132" s="36"/>
      <c r="BG132" s="36"/>
      <c r="BH132" s="36"/>
      <c r="BI132" s="36"/>
      <c r="BJ132" s="36"/>
      <c r="BK132" s="36"/>
      <c r="BL132" s="36"/>
      <c r="BM132" s="36"/>
      <c r="BN132" s="36"/>
      <c r="BO132" s="36"/>
      <c r="BP132" s="36"/>
      <c r="BQ132" s="36"/>
    </row>
    <row r="133">
      <c r="A133" s="45"/>
      <c r="B133" s="45"/>
      <c r="C133" s="45"/>
      <c r="D133" s="45"/>
      <c r="E133" s="45"/>
      <c r="F133" s="45"/>
      <c r="G133" s="46"/>
      <c r="H133" s="46"/>
      <c r="I133" s="46"/>
      <c r="J133" s="46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  <c r="AM133" s="45"/>
      <c r="AN133" s="45"/>
      <c r="AO133" s="45"/>
      <c r="AP133" s="45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36"/>
      <c r="BC133" s="36"/>
      <c r="BD133" s="36"/>
      <c r="BE133" s="36"/>
      <c r="BF133" s="36"/>
      <c r="BG133" s="36"/>
      <c r="BH133" s="36"/>
      <c r="BI133" s="36"/>
      <c r="BJ133" s="36"/>
      <c r="BK133" s="36"/>
      <c r="BL133" s="36"/>
      <c r="BM133" s="36"/>
      <c r="BN133" s="36"/>
      <c r="BO133" s="36"/>
      <c r="BP133" s="36"/>
      <c r="BQ133" s="36"/>
    </row>
    <row r="134">
      <c r="A134" s="45"/>
      <c r="B134" s="45"/>
      <c r="C134" s="45"/>
      <c r="D134" s="45"/>
      <c r="E134" s="45"/>
      <c r="F134" s="45"/>
      <c r="G134" s="46"/>
      <c r="H134" s="46"/>
      <c r="I134" s="46"/>
      <c r="J134" s="46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  <c r="AL134" s="45"/>
      <c r="AM134" s="45"/>
      <c r="AN134" s="45"/>
      <c r="AO134" s="45"/>
      <c r="AP134" s="45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  <c r="BB134" s="36"/>
      <c r="BC134" s="36"/>
      <c r="BD134" s="36"/>
      <c r="BE134" s="36"/>
      <c r="BF134" s="36"/>
      <c r="BG134" s="36"/>
      <c r="BH134" s="36"/>
      <c r="BI134" s="36"/>
      <c r="BJ134" s="36"/>
      <c r="BK134" s="36"/>
      <c r="BL134" s="36"/>
      <c r="BM134" s="36"/>
      <c r="BN134" s="36"/>
      <c r="BO134" s="36"/>
      <c r="BP134" s="36"/>
      <c r="BQ134" s="36"/>
    </row>
    <row r="135">
      <c r="A135" s="45"/>
      <c r="B135" s="45"/>
      <c r="C135" s="45"/>
      <c r="D135" s="45"/>
      <c r="E135" s="45"/>
      <c r="F135" s="45"/>
      <c r="G135" s="46"/>
      <c r="H135" s="46"/>
      <c r="I135" s="46"/>
      <c r="J135" s="46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45"/>
      <c r="AM135" s="45"/>
      <c r="AN135" s="45"/>
      <c r="AO135" s="45"/>
      <c r="AP135" s="45"/>
      <c r="AQ135" s="36"/>
      <c r="AR135" s="36"/>
      <c r="AS135" s="36"/>
      <c r="AT135" s="36"/>
      <c r="AU135" s="36"/>
      <c r="AV135" s="36"/>
      <c r="AW135" s="36"/>
      <c r="AX135" s="36"/>
      <c r="AY135" s="36"/>
      <c r="AZ135" s="36"/>
      <c r="BA135" s="36"/>
      <c r="BB135" s="36"/>
      <c r="BC135" s="36"/>
      <c r="BD135" s="36"/>
      <c r="BE135" s="36"/>
      <c r="BF135" s="36"/>
      <c r="BG135" s="36"/>
      <c r="BH135" s="36"/>
      <c r="BI135" s="36"/>
      <c r="BJ135" s="36"/>
      <c r="BK135" s="36"/>
      <c r="BL135" s="36"/>
      <c r="BM135" s="36"/>
      <c r="BN135" s="36"/>
      <c r="BO135" s="36"/>
      <c r="BP135" s="36"/>
      <c r="BQ135" s="36"/>
    </row>
    <row r="136">
      <c r="A136" s="45"/>
      <c r="B136" s="45"/>
      <c r="C136" s="45"/>
      <c r="D136" s="45"/>
      <c r="E136" s="45"/>
      <c r="F136" s="45"/>
      <c r="G136" s="46"/>
      <c r="H136" s="46"/>
      <c r="I136" s="46"/>
      <c r="J136" s="46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45"/>
      <c r="AN136" s="45"/>
      <c r="AO136" s="45"/>
      <c r="AP136" s="45"/>
      <c r="AQ136" s="36"/>
      <c r="AR136" s="36"/>
      <c r="AS136" s="36"/>
      <c r="AT136" s="36"/>
      <c r="AU136" s="36"/>
      <c r="AV136" s="36"/>
      <c r="AW136" s="36"/>
      <c r="AX136" s="36"/>
      <c r="AY136" s="36"/>
      <c r="AZ136" s="36"/>
      <c r="BA136" s="36"/>
      <c r="BB136" s="36"/>
      <c r="BC136" s="36"/>
      <c r="BD136" s="36"/>
      <c r="BE136" s="36"/>
      <c r="BF136" s="36"/>
      <c r="BG136" s="36"/>
      <c r="BH136" s="36"/>
      <c r="BI136" s="36"/>
      <c r="BJ136" s="36"/>
      <c r="BK136" s="36"/>
      <c r="BL136" s="36"/>
      <c r="BM136" s="36"/>
      <c r="BN136" s="36"/>
      <c r="BO136" s="36"/>
      <c r="BP136" s="36"/>
      <c r="BQ136" s="36"/>
    </row>
    <row r="137">
      <c r="A137" s="45"/>
      <c r="B137" s="45"/>
      <c r="C137" s="45"/>
      <c r="D137" s="45"/>
      <c r="E137" s="45"/>
      <c r="F137" s="45"/>
      <c r="G137" s="46"/>
      <c r="H137" s="46"/>
      <c r="I137" s="46"/>
      <c r="J137" s="46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  <c r="AM137" s="45"/>
      <c r="AN137" s="45"/>
      <c r="AO137" s="45"/>
      <c r="AP137" s="45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  <c r="BC137" s="36"/>
      <c r="BD137" s="36"/>
      <c r="BE137" s="36"/>
      <c r="BF137" s="36"/>
      <c r="BG137" s="36"/>
      <c r="BH137" s="36"/>
      <c r="BI137" s="36"/>
      <c r="BJ137" s="36"/>
      <c r="BK137" s="36"/>
      <c r="BL137" s="36"/>
      <c r="BM137" s="36"/>
      <c r="BN137" s="36"/>
      <c r="BO137" s="36"/>
      <c r="BP137" s="36"/>
      <c r="BQ137" s="36"/>
    </row>
    <row r="138">
      <c r="A138" s="45"/>
      <c r="B138" s="45"/>
      <c r="C138" s="45"/>
      <c r="D138" s="45"/>
      <c r="E138" s="45"/>
      <c r="F138" s="45"/>
      <c r="G138" s="46"/>
      <c r="H138" s="46"/>
      <c r="I138" s="46"/>
      <c r="J138" s="46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  <c r="AM138" s="45"/>
      <c r="AN138" s="45"/>
      <c r="AO138" s="45"/>
      <c r="AP138" s="45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  <c r="BC138" s="36"/>
      <c r="BD138" s="36"/>
      <c r="BE138" s="36"/>
      <c r="BF138" s="36"/>
      <c r="BG138" s="36"/>
      <c r="BH138" s="36"/>
      <c r="BI138" s="36"/>
      <c r="BJ138" s="36"/>
      <c r="BK138" s="36"/>
      <c r="BL138" s="36"/>
      <c r="BM138" s="36"/>
      <c r="BN138" s="36"/>
      <c r="BO138" s="36"/>
      <c r="BP138" s="36"/>
      <c r="BQ138" s="36"/>
    </row>
    <row r="139">
      <c r="A139" s="45"/>
      <c r="B139" s="45"/>
      <c r="C139" s="45"/>
      <c r="D139" s="45"/>
      <c r="E139" s="45"/>
      <c r="F139" s="45"/>
      <c r="G139" s="46"/>
      <c r="H139" s="46"/>
      <c r="I139" s="46"/>
      <c r="J139" s="46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5"/>
      <c r="AM139" s="45"/>
      <c r="AN139" s="45"/>
      <c r="AO139" s="45"/>
      <c r="AP139" s="45"/>
      <c r="AQ139" s="36"/>
      <c r="AR139" s="36"/>
      <c r="AS139" s="36"/>
      <c r="AT139" s="36"/>
      <c r="AU139" s="36"/>
      <c r="AV139" s="36"/>
      <c r="AW139" s="36"/>
      <c r="AX139" s="36"/>
      <c r="AY139" s="36"/>
      <c r="AZ139" s="36"/>
      <c r="BA139" s="36"/>
      <c r="BB139" s="36"/>
      <c r="BC139" s="36"/>
      <c r="BD139" s="36"/>
      <c r="BE139" s="36"/>
      <c r="BF139" s="36"/>
      <c r="BG139" s="36"/>
      <c r="BH139" s="36"/>
      <c r="BI139" s="36"/>
      <c r="BJ139" s="36"/>
      <c r="BK139" s="36"/>
      <c r="BL139" s="36"/>
      <c r="BM139" s="36"/>
      <c r="BN139" s="36"/>
      <c r="BO139" s="36"/>
      <c r="BP139" s="36"/>
      <c r="BQ139" s="36"/>
    </row>
    <row r="140">
      <c r="A140" s="45"/>
      <c r="B140" s="45"/>
      <c r="C140" s="45"/>
      <c r="D140" s="45"/>
      <c r="E140" s="45"/>
      <c r="F140" s="45"/>
      <c r="G140" s="46"/>
      <c r="H140" s="46"/>
      <c r="I140" s="46"/>
      <c r="J140" s="46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  <c r="AL140" s="45"/>
      <c r="AM140" s="45"/>
      <c r="AN140" s="45"/>
      <c r="AO140" s="45"/>
      <c r="AP140" s="45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/>
      <c r="BB140" s="36"/>
      <c r="BC140" s="36"/>
      <c r="BD140" s="36"/>
      <c r="BE140" s="36"/>
      <c r="BF140" s="36"/>
      <c r="BG140" s="36"/>
      <c r="BH140" s="36"/>
      <c r="BI140" s="36"/>
      <c r="BJ140" s="36"/>
      <c r="BK140" s="36"/>
      <c r="BL140" s="36"/>
      <c r="BM140" s="36"/>
      <c r="BN140" s="36"/>
      <c r="BO140" s="36"/>
      <c r="BP140" s="36"/>
      <c r="BQ140" s="36"/>
    </row>
    <row r="141">
      <c r="A141" s="45"/>
      <c r="B141" s="45"/>
      <c r="C141" s="45"/>
      <c r="D141" s="45"/>
      <c r="E141" s="45"/>
      <c r="F141" s="45"/>
      <c r="G141" s="46"/>
      <c r="H141" s="46"/>
      <c r="I141" s="46"/>
      <c r="J141" s="46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5"/>
      <c r="AN141" s="45"/>
      <c r="AO141" s="45"/>
      <c r="AP141" s="45"/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36"/>
      <c r="BC141" s="36"/>
      <c r="BD141" s="36"/>
      <c r="BE141" s="36"/>
      <c r="BF141" s="36"/>
      <c r="BG141" s="36"/>
      <c r="BH141" s="36"/>
      <c r="BI141" s="36"/>
      <c r="BJ141" s="36"/>
      <c r="BK141" s="36"/>
      <c r="BL141" s="36"/>
      <c r="BM141" s="36"/>
      <c r="BN141" s="36"/>
      <c r="BO141" s="36"/>
      <c r="BP141" s="36"/>
      <c r="BQ141" s="36"/>
    </row>
    <row r="142">
      <c r="A142" s="45"/>
      <c r="B142" s="45"/>
      <c r="C142" s="45"/>
      <c r="D142" s="45"/>
      <c r="E142" s="45"/>
      <c r="F142" s="45"/>
      <c r="G142" s="46"/>
      <c r="H142" s="46"/>
      <c r="I142" s="46"/>
      <c r="J142" s="46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45"/>
      <c r="AN142" s="45"/>
      <c r="AO142" s="45"/>
      <c r="AP142" s="45"/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/>
      <c r="BB142" s="36"/>
      <c r="BC142" s="36"/>
      <c r="BD142" s="36"/>
      <c r="BE142" s="36"/>
      <c r="BF142" s="36"/>
      <c r="BG142" s="36"/>
      <c r="BH142" s="36"/>
      <c r="BI142" s="36"/>
      <c r="BJ142" s="36"/>
      <c r="BK142" s="36"/>
      <c r="BL142" s="36"/>
      <c r="BM142" s="36"/>
      <c r="BN142" s="36"/>
      <c r="BO142" s="36"/>
      <c r="BP142" s="36"/>
      <c r="BQ142" s="36"/>
    </row>
    <row r="143">
      <c r="A143" s="45"/>
      <c r="B143" s="45"/>
      <c r="C143" s="45"/>
      <c r="D143" s="45"/>
      <c r="E143" s="45"/>
      <c r="F143" s="45"/>
      <c r="G143" s="46"/>
      <c r="H143" s="46"/>
      <c r="I143" s="46"/>
      <c r="J143" s="46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  <c r="AL143" s="45"/>
      <c r="AM143" s="45"/>
      <c r="AN143" s="45"/>
      <c r="AO143" s="45"/>
      <c r="AP143" s="45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  <c r="BC143" s="36"/>
      <c r="BD143" s="36"/>
      <c r="BE143" s="36"/>
      <c r="BF143" s="36"/>
      <c r="BG143" s="36"/>
      <c r="BH143" s="36"/>
      <c r="BI143" s="36"/>
      <c r="BJ143" s="36"/>
      <c r="BK143" s="36"/>
      <c r="BL143" s="36"/>
      <c r="BM143" s="36"/>
      <c r="BN143" s="36"/>
      <c r="BO143" s="36"/>
      <c r="BP143" s="36"/>
      <c r="BQ143" s="36"/>
    </row>
    <row r="144">
      <c r="A144" s="45"/>
      <c r="B144" s="45"/>
      <c r="C144" s="45"/>
      <c r="D144" s="45"/>
      <c r="E144" s="45"/>
      <c r="F144" s="45"/>
      <c r="G144" s="46"/>
      <c r="H144" s="46"/>
      <c r="I144" s="46"/>
      <c r="J144" s="46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36"/>
      <c r="AR144" s="36"/>
      <c r="AS144" s="36"/>
      <c r="AT144" s="36"/>
      <c r="AU144" s="36"/>
      <c r="AV144" s="36"/>
      <c r="AW144" s="36"/>
      <c r="AX144" s="36"/>
      <c r="AY144" s="36"/>
      <c r="AZ144" s="36"/>
      <c r="BA144" s="36"/>
      <c r="BB144" s="36"/>
      <c r="BC144" s="36"/>
      <c r="BD144" s="36"/>
      <c r="BE144" s="36"/>
      <c r="BF144" s="36"/>
      <c r="BG144" s="36"/>
      <c r="BH144" s="36"/>
      <c r="BI144" s="36"/>
      <c r="BJ144" s="36"/>
      <c r="BK144" s="36"/>
      <c r="BL144" s="36"/>
      <c r="BM144" s="36"/>
      <c r="BN144" s="36"/>
      <c r="BO144" s="36"/>
      <c r="BP144" s="36"/>
      <c r="BQ144" s="36"/>
    </row>
    <row r="145">
      <c r="A145" s="45"/>
      <c r="B145" s="45"/>
      <c r="C145" s="45"/>
      <c r="D145" s="45"/>
      <c r="E145" s="45"/>
      <c r="F145" s="45"/>
      <c r="G145" s="46"/>
      <c r="H145" s="46"/>
      <c r="I145" s="46"/>
      <c r="J145" s="46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21"/>
      <c r="AH145" s="21"/>
      <c r="AI145" s="45"/>
      <c r="AJ145" s="45"/>
      <c r="AK145" s="45"/>
      <c r="AL145" s="45"/>
      <c r="AM145" s="45"/>
      <c r="AN145" s="45"/>
      <c r="AO145" s="45"/>
      <c r="AP145" s="45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  <c r="BA145" s="36"/>
      <c r="BB145" s="36"/>
      <c r="BC145" s="36"/>
      <c r="BD145" s="36"/>
      <c r="BE145" s="36"/>
      <c r="BF145" s="36"/>
      <c r="BG145" s="36"/>
      <c r="BH145" s="36"/>
      <c r="BI145" s="36"/>
      <c r="BJ145" s="36"/>
      <c r="BK145" s="36"/>
      <c r="BL145" s="36"/>
      <c r="BM145" s="36"/>
      <c r="BN145" s="36"/>
      <c r="BO145" s="36"/>
      <c r="BP145" s="36"/>
      <c r="BQ145" s="36"/>
    </row>
    <row r="146">
      <c r="A146" s="45"/>
      <c r="B146" s="45"/>
      <c r="C146" s="45"/>
      <c r="D146" s="45"/>
      <c r="E146" s="45"/>
      <c r="F146" s="45"/>
      <c r="G146" s="46"/>
      <c r="H146" s="46"/>
      <c r="I146" s="46"/>
      <c r="J146" s="46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21"/>
      <c r="AH146" s="21"/>
      <c r="AI146" s="45"/>
      <c r="AJ146" s="45"/>
      <c r="AK146" s="45"/>
      <c r="AL146" s="45"/>
      <c r="AM146" s="45"/>
      <c r="AN146" s="45"/>
      <c r="AO146" s="45"/>
      <c r="AP146" s="45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  <c r="BC146" s="36"/>
      <c r="BD146" s="36"/>
      <c r="BE146" s="36"/>
      <c r="BF146" s="36"/>
      <c r="BG146" s="36"/>
      <c r="BH146" s="36"/>
      <c r="BI146" s="36"/>
      <c r="BJ146" s="36"/>
      <c r="BK146" s="36"/>
      <c r="BL146" s="36"/>
      <c r="BM146" s="36"/>
      <c r="BN146" s="36"/>
      <c r="BO146" s="36"/>
      <c r="BP146" s="36"/>
      <c r="BQ146" s="36"/>
    </row>
    <row r="147">
      <c r="A147" s="45"/>
      <c r="B147" s="45"/>
      <c r="C147" s="45"/>
      <c r="D147" s="45"/>
      <c r="E147" s="45"/>
      <c r="F147" s="45"/>
      <c r="G147" s="46"/>
      <c r="H147" s="46"/>
      <c r="I147" s="46"/>
      <c r="J147" s="46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21"/>
      <c r="AH147" s="21"/>
      <c r="AI147" s="45"/>
      <c r="AJ147" s="45"/>
      <c r="AK147" s="45"/>
      <c r="AL147" s="45"/>
      <c r="AM147" s="45"/>
      <c r="AN147" s="45"/>
      <c r="AO147" s="45"/>
      <c r="AP147" s="45"/>
      <c r="AQ147" s="36"/>
      <c r="AR147" s="36"/>
      <c r="AS147" s="36"/>
      <c r="AT147" s="36"/>
      <c r="AU147" s="36"/>
      <c r="AV147" s="36"/>
      <c r="AW147" s="36"/>
      <c r="AX147" s="36"/>
      <c r="AY147" s="36"/>
      <c r="AZ147" s="36"/>
      <c r="BA147" s="36"/>
      <c r="BB147" s="36"/>
      <c r="BC147" s="36"/>
      <c r="BD147" s="36"/>
      <c r="BE147" s="36"/>
      <c r="BF147" s="36"/>
      <c r="BG147" s="36"/>
      <c r="BH147" s="36"/>
      <c r="BI147" s="36"/>
      <c r="BJ147" s="36"/>
      <c r="BK147" s="36"/>
      <c r="BL147" s="36"/>
      <c r="BM147" s="36"/>
      <c r="BN147" s="36"/>
      <c r="BO147" s="36"/>
      <c r="BP147" s="36"/>
      <c r="BQ147" s="36"/>
    </row>
    <row r="148">
      <c r="A148" s="45"/>
      <c r="B148" s="45"/>
      <c r="C148" s="45"/>
      <c r="D148" s="45"/>
      <c r="E148" s="45"/>
      <c r="F148" s="45"/>
      <c r="G148" s="46"/>
      <c r="H148" s="46"/>
      <c r="I148" s="46"/>
      <c r="J148" s="46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21"/>
      <c r="AH148" s="21"/>
      <c r="AI148" s="45"/>
      <c r="AJ148" s="45"/>
      <c r="AK148" s="45"/>
      <c r="AL148" s="45"/>
      <c r="AM148" s="45"/>
      <c r="AN148" s="45"/>
      <c r="AO148" s="45"/>
      <c r="AP148" s="45"/>
      <c r="AQ148" s="36"/>
      <c r="AR148" s="36"/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  <c r="BC148" s="36"/>
      <c r="BD148" s="36"/>
      <c r="BE148" s="36"/>
      <c r="BF148" s="36"/>
      <c r="BG148" s="36"/>
      <c r="BH148" s="36"/>
      <c r="BI148" s="36"/>
      <c r="BJ148" s="36"/>
      <c r="BK148" s="36"/>
      <c r="BL148" s="36"/>
      <c r="BM148" s="36"/>
      <c r="BN148" s="36"/>
      <c r="BO148" s="36"/>
      <c r="BP148" s="36"/>
      <c r="BQ148" s="36"/>
    </row>
    <row r="149">
      <c r="A149" s="45"/>
      <c r="B149" s="45"/>
      <c r="C149" s="45"/>
      <c r="D149" s="45"/>
      <c r="E149" s="45"/>
      <c r="F149" s="45"/>
      <c r="G149" s="46"/>
      <c r="H149" s="46"/>
      <c r="I149" s="46"/>
      <c r="J149" s="46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21"/>
      <c r="AH149" s="21"/>
      <c r="AI149" s="45"/>
      <c r="AJ149" s="45"/>
      <c r="AK149" s="45"/>
      <c r="AL149" s="45"/>
      <c r="AM149" s="45"/>
      <c r="AN149" s="45"/>
      <c r="AO149" s="45"/>
      <c r="AP149" s="45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6"/>
      <c r="BC149" s="36"/>
      <c r="BD149" s="36"/>
      <c r="BE149" s="36"/>
      <c r="BF149" s="36"/>
      <c r="BG149" s="36"/>
      <c r="BH149" s="36"/>
      <c r="BI149" s="36"/>
      <c r="BJ149" s="36"/>
      <c r="BK149" s="36"/>
      <c r="BL149" s="36"/>
      <c r="BM149" s="36"/>
      <c r="BN149" s="36"/>
      <c r="BO149" s="36"/>
      <c r="BP149" s="36"/>
      <c r="BQ149" s="36"/>
    </row>
    <row r="150">
      <c r="A150" s="45"/>
      <c r="B150" s="45"/>
      <c r="C150" s="45"/>
      <c r="D150" s="45"/>
      <c r="E150" s="45"/>
      <c r="F150" s="45"/>
      <c r="G150" s="46"/>
      <c r="H150" s="46"/>
      <c r="I150" s="46"/>
      <c r="J150" s="46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21"/>
      <c r="AH150" s="21"/>
      <c r="AI150" s="45"/>
      <c r="AJ150" s="45"/>
      <c r="AK150" s="45"/>
      <c r="AL150" s="45"/>
      <c r="AM150" s="45"/>
      <c r="AN150" s="45"/>
      <c r="AO150" s="45"/>
      <c r="AP150" s="45"/>
      <c r="AQ150" s="36"/>
      <c r="AR150" s="36"/>
      <c r="AS150" s="36"/>
      <c r="AT150" s="36"/>
      <c r="AU150" s="36"/>
      <c r="AV150" s="36"/>
      <c r="AW150" s="36"/>
      <c r="AX150" s="36"/>
      <c r="AY150" s="36"/>
      <c r="AZ150" s="36"/>
      <c r="BA150" s="36"/>
      <c r="BB150" s="36"/>
      <c r="BC150" s="36"/>
      <c r="BD150" s="36"/>
      <c r="BE150" s="36"/>
      <c r="BF150" s="36"/>
      <c r="BG150" s="36"/>
      <c r="BH150" s="36"/>
      <c r="BI150" s="36"/>
      <c r="BJ150" s="36"/>
      <c r="BK150" s="36"/>
      <c r="BL150" s="36"/>
      <c r="BM150" s="36"/>
      <c r="BN150" s="36"/>
      <c r="BO150" s="36"/>
      <c r="BP150" s="36"/>
      <c r="BQ150" s="36"/>
    </row>
    <row r="151">
      <c r="A151" s="45"/>
      <c r="B151" s="45"/>
      <c r="C151" s="45"/>
      <c r="D151" s="45"/>
      <c r="E151" s="45"/>
      <c r="F151" s="45"/>
      <c r="G151" s="46"/>
      <c r="H151" s="46"/>
      <c r="I151" s="46"/>
      <c r="J151" s="46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21"/>
      <c r="AH151" s="21"/>
      <c r="AI151" s="45"/>
      <c r="AJ151" s="45"/>
      <c r="AK151" s="45"/>
      <c r="AL151" s="45"/>
      <c r="AM151" s="45"/>
      <c r="AN151" s="45"/>
      <c r="AO151" s="45"/>
      <c r="AP151" s="45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  <c r="BC151" s="36"/>
      <c r="BD151" s="36"/>
      <c r="BE151" s="36"/>
      <c r="BF151" s="36"/>
      <c r="BG151" s="36"/>
      <c r="BH151" s="36"/>
      <c r="BI151" s="36"/>
      <c r="BJ151" s="36"/>
      <c r="BK151" s="36"/>
      <c r="BL151" s="36"/>
      <c r="BM151" s="36"/>
      <c r="BN151" s="36"/>
      <c r="BO151" s="36"/>
      <c r="BP151" s="36"/>
      <c r="BQ151" s="36"/>
    </row>
    <row r="152">
      <c r="A152" s="45"/>
      <c r="B152" s="45"/>
      <c r="C152" s="45"/>
      <c r="D152" s="45"/>
      <c r="E152" s="45"/>
      <c r="F152" s="45"/>
      <c r="G152" s="46"/>
      <c r="H152" s="46"/>
      <c r="I152" s="46"/>
      <c r="J152" s="46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21"/>
      <c r="AH152" s="21"/>
      <c r="AI152" s="45"/>
      <c r="AJ152" s="45"/>
      <c r="AK152" s="45"/>
      <c r="AL152" s="45"/>
      <c r="AM152" s="45"/>
      <c r="AN152" s="45"/>
      <c r="AO152" s="45"/>
      <c r="AP152" s="45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  <c r="BC152" s="36"/>
      <c r="BD152" s="36"/>
      <c r="BE152" s="36"/>
      <c r="BF152" s="36"/>
      <c r="BG152" s="36"/>
      <c r="BH152" s="36"/>
      <c r="BI152" s="36"/>
      <c r="BJ152" s="36"/>
      <c r="BK152" s="36"/>
      <c r="BL152" s="36"/>
      <c r="BM152" s="36"/>
      <c r="BN152" s="36"/>
      <c r="BO152" s="36"/>
      <c r="BP152" s="36"/>
      <c r="BQ152" s="36"/>
    </row>
    <row r="153">
      <c r="A153" s="45"/>
      <c r="B153" s="45"/>
      <c r="C153" s="45"/>
      <c r="D153" s="45"/>
      <c r="E153" s="45"/>
      <c r="F153" s="45"/>
      <c r="G153" s="46"/>
      <c r="H153" s="46"/>
      <c r="I153" s="46"/>
      <c r="J153" s="46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21"/>
      <c r="AH153" s="21"/>
      <c r="AI153" s="45"/>
      <c r="AJ153" s="45"/>
      <c r="AK153" s="45"/>
      <c r="AL153" s="45"/>
      <c r="AM153" s="45"/>
      <c r="AN153" s="45"/>
      <c r="AO153" s="45"/>
      <c r="AP153" s="45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  <c r="BC153" s="36"/>
      <c r="BD153" s="36"/>
      <c r="BE153" s="36"/>
      <c r="BF153" s="36"/>
      <c r="BG153" s="36"/>
      <c r="BH153" s="36"/>
      <c r="BI153" s="36"/>
      <c r="BJ153" s="36"/>
      <c r="BK153" s="36"/>
      <c r="BL153" s="36"/>
      <c r="BM153" s="36"/>
      <c r="BN153" s="36"/>
      <c r="BO153" s="36"/>
      <c r="BP153" s="36"/>
      <c r="BQ153" s="36"/>
    </row>
    <row r="154">
      <c r="A154" s="45"/>
      <c r="B154" s="45"/>
      <c r="C154" s="45"/>
      <c r="D154" s="45"/>
      <c r="E154" s="45"/>
      <c r="F154" s="45"/>
      <c r="G154" s="46"/>
      <c r="H154" s="46"/>
      <c r="I154" s="46"/>
      <c r="J154" s="46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21"/>
      <c r="AH154" s="21"/>
      <c r="AI154" s="45"/>
      <c r="AJ154" s="45"/>
      <c r="AK154" s="45"/>
      <c r="AL154" s="45"/>
      <c r="AM154" s="45"/>
      <c r="AN154" s="45"/>
      <c r="AO154" s="45"/>
      <c r="AP154" s="45"/>
      <c r="AQ154" s="36"/>
      <c r="AR154" s="36"/>
      <c r="AS154" s="36"/>
      <c r="AT154" s="36"/>
      <c r="AU154" s="36"/>
      <c r="AV154" s="36"/>
      <c r="AW154" s="36"/>
      <c r="AX154" s="36"/>
      <c r="AY154" s="36"/>
      <c r="AZ154" s="36"/>
      <c r="BA154" s="36"/>
      <c r="BB154" s="36"/>
      <c r="BC154" s="36"/>
      <c r="BD154" s="36"/>
      <c r="BE154" s="36"/>
      <c r="BF154" s="36"/>
      <c r="BG154" s="36"/>
      <c r="BH154" s="36"/>
      <c r="BI154" s="36"/>
      <c r="BJ154" s="36"/>
      <c r="BK154" s="36"/>
      <c r="BL154" s="36"/>
      <c r="BM154" s="36"/>
      <c r="BN154" s="36"/>
      <c r="BO154" s="36"/>
      <c r="BP154" s="36"/>
      <c r="BQ154" s="36"/>
    </row>
    <row r="155">
      <c r="A155" s="45"/>
      <c r="B155" s="45"/>
      <c r="C155" s="45"/>
      <c r="D155" s="45"/>
      <c r="E155" s="45"/>
      <c r="F155" s="45"/>
      <c r="G155" s="46"/>
      <c r="H155" s="46"/>
      <c r="I155" s="46"/>
      <c r="J155" s="46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21"/>
      <c r="AH155" s="21"/>
      <c r="AI155" s="45"/>
      <c r="AJ155" s="45"/>
      <c r="AK155" s="45"/>
      <c r="AL155" s="45"/>
      <c r="AM155" s="45"/>
      <c r="AN155" s="45"/>
      <c r="AO155" s="45"/>
      <c r="AP155" s="45"/>
      <c r="AQ155" s="36"/>
      <c r="AR155" s="36"/>
      <c r="AS155" s="36"/>
      <c r="AT155" s="36"/>
      <c r="AU155" s="36"/>
      <c r="AV155" s="36"/>
      <c r="AW155" s="36"/>
      <c r="AX155" s="36"/>
      <c r="AY155" s="36"/>
      <c r="AZ155" s="36"/>
      <c r="BA155" s="36"/>
      <c r="BB155" s="36"/>
      <c r="BC155" s="36"/>
      <c r="BD155" s="36"/>
      <c r="BE155" s="36"/>
      <c r="BF155" s="36"/>
      <c r="BG155" s="36"/>
      <c r="BH155" s="36"/>
      <c r="BI155" s="36"/>
      <c r="BJ155" s="36"/>
      <c r="BK155" s="36"/>
      <c r="BL155" s="36"/>
      <c r="BM155" s="36"/>
      <c r="BN155" s="36"/>
      <c r="BO155" s="36"/>
      <c r="BP155" s="36"/>
      <c r="BQ155" s="36"/>
    </row>
    <row r="156">
      <c r="A156" s="45"/>
      <c r="B156" s="45"/>
      <c r="C156" s="45"/>
      <c r="D156" s="45"/>
      <c r="E156" s="45"/>
      <c r="F156" s="45"/>
      <c r="G156" s="46"/>
      <c r="H156" s="46"/>
      <c r="I156" s="46"/>
      <c r="J156" s="46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21"/>
      <c r="AH156" s="21"/>
      <c r="AI156" s="45"/>
      <c r="AJ156" s="45"/>
      <c r="AK156" s="45"/>
      <c r="AL156" s="45"/>
      <c r="AM156" s="45"/>
      <c r="AN156" s="45"/>
      <c r="AO156" s="45"/>
      <c r="AP156" s="45"/>
      <c r="AQ156" s="36"/>
      <c r="AR156" s="36"/>
      <c r="AS156" s="36"/>
      <c r="AT156" s="36"/>
      <c r="AU156" s="36"/>
      <c r="AV156" s="36"/>
      <c r="AW156" s="36"/>
      <c r="AX156" s="36"/>
      <c r="AY156" s="36"/>
      <c r="AZ156" s="36"/>
      <c r="BA156" s="36"/>
      <c r="BB156" s="36"/>
      <c r="BC156" s="36"/>
      <c r="BD156" s="36"/>
      <c r="BE156" s="36"/>
      <c r="BF156" s="36"/>
      <c r="BG156" s="36"/>
      <c r="BH156" s="36"/>
      <c r="BI156" s="36"/>
      <c r="BJ156" s="36"/>
      <c r="BK156" s="36"/>
      <c r="BL156" s="36"/>
      <c r="BM156" s="36"/>
      <c r="BN156" s="36"/>
      <c r="BO156" s="36"/>
      <c r="BP156" s="36"/>
      <c r="BQ156" s="36"/>
    </row>
    <row r="157">
      <c r="A157" s="45"/>
      <c r="B157" s="45"/>
      <c r="C157" s="45"/>
      <c r="D157" s="45"/>
      <c r="E157" s="45"/>
      <c r="F157" s="45"/>
      <c r="G157" s="46"/>
      <c r="H157" s="46"/>
      <c r="I157" s="46"/>
      <c r="J157" s="46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21"/>
      <c r="AH157" s="21"/>
      <c r="AI157" s="45"/>
      <c r="AJ157" s="45"/>
      <c r="AK157" s="45"/>
      <c r="AL157" s="45"/>
      <c r="AM157" s="45"/>
      <c r="AN157" s="45"/>
      <c r="AO157" s="45"/>
      <c r="AP157" s="45"/>
      <c r="AQ157" s="36"/>
      <c r="AR157" s="36"/>
      <c r="AS157" s="36"/>
      <c r="AT157" s="36"/>
      <c r="AU157" s="36"/>
      <c r="AV157" s="36"/>
      <c r="AW157" s="36"/>
      <c r="AX157" s="36"/>
      <c r="AY157" s="36"/>
      <c r="AZ157" s="36"/>
      <c r="BA157" s="36"/>
      <c r="BB157" s="36"/>
      <c r="BC157" s="36"/>
      <c r="BD157" s="36"/>
      <c r="BE157" s="36"/>
      <c r="BF157" s="36"/>
      <c r="BG157" s="36"/>
      <c r="BH157" s="36"/>
      <c r="BI157" s="36"/>
      <c r="BJ157" s="36"/>
      <c r="BK157" s="36"/>
      <c r="BL157" s="36"/>
      <c r="BM157" s="36"/>
      <c r="BN157" s="36"/>
      <c r="BO157" s="36"/>
      <c r="BP157" s="36"/>
      <c r="BQ157" s="36"/>
    </row>
    <row r="158">
      <c r="A158" s="45"/>
      <c r="B158" s="45"/>
      <c r="C158" s="45"/>
      <c r="D158" s="45"/>
      <c r="E158" s="45"/>
      <c r="F158" s="45"/>
      <c r="G158" s="46"/>
      <c r="H158" s="46"/>
      <c r="I158" s="46"/>
      <c r="J158" s="46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21"/>
      <c r="AH158" s="21"/>
      <c r="AI158" s="45"/>
      <c r="AJ158" s="45"/>
      <c r="AK158" s="45"/>
      <c r="AL158" s="45"/>
      <c r="AM158" s="45"/>
      <c r="AN158" s="45"/>
      <c r="AO158" s="45"/>
      <c r="AP158" s="45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  <c r="BA158" s="36"/>
      <c r="BB158" s="36"/>
      <c r="BC158" s="36"/>
      <c r="BD158" s="36"/>
      <c r="BE158" s="36"/>
      <c r="BF158" s="36"/>
      <c r="BG158" s="36"/>
      <c r="BH158" s="36"/>
      <c r="BI158" s="36"/>
      <c r="BJ158" s="36"/>
      <c r="BK158" s="36"/>
      <c r="BL158" s="36"/>
      <c r="BM158" s="36"/>
      <c r="BN158" s="36"/>
      <c r="BO158" s="36"/>
      <c r="BP158" s="36"/>
      <c r="BQ158" s="36"/>
    </row>
    <row r="159">
      <c r="A159" s="45"/>
      <c r="B159" s="45"/>
      <c r="C159" s="45"/>
      <c r="D159" s="45"/>
      <c r="E159" s="45"/>
      <c r="F159" s="45"/>
      <c r="G159" s="46"/>
      <c r="H159" s="46"/>
      <c r="I159" s="46"/>
      <c r="J159" s="46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21"/>
      <c r="AH159" s="21"/>
      <c r="AI159" s="45"/>
      <c r="AJ159" s="45"/>
      <c r="AK159" s="45"/>
      <c r="AL159" s="45"/>
      <c r="AM159" s="45"/>
      <c r="AN159" s="45"/>
      <c r="AO159" s="45"/>
      <c r="AP159" s="45"/>
      <c r="AQ159" s="36"/>
      <c r="AR159" s="36"/>
      <c r="AS159" s="36"/>
      <c r="AT159" s="36"/>
      <c r="AU159" s="36"/>
      <c r="AV159" s="36"/>
      <c r="AW159" s="36"/>
      <c r="AX159" s="36"/>
      <c r="AY159" s="36"/>
      <c r="AZ159" s="36"/>
      <c r="BA159" s="36"/>
      <c r="BB159" s="36"/>
      <c r="BC159" s="36"/>
      <c r="BD159" s="36"/>
      <c r="BE159" s="36"/>
      <c r="BF159" s="36"/>
      <c r="BG159" s="36"/>
      <c r="BH159" s="36"/>
      <c r="BI159" s="36"/>
      <c r="BJ159" s="36"/>
      <c r="BK159" s="36"/>
      <c r="BL159" s="36"/>
      <c r="BM159" s="36"/>
      <c r="BN159" s="36"/>
      <c r="BO159" s="36"/>
      <c r="BP159" s="36"/>
      <c r="BQ159" s="36"/>
    </row>
    <row r="160">
      <c r="A160" s="45"/>
      <c r="B160" s="45"/>
      <c r="C160" s="45"/>
      <c r="D160" s="45"/>
      <c r="E160" s="45"/>
      <c r="F160" s="45"/>
      <c r="G160" s="46"/>
      <c r="H160" s="46"/>
      <c r="I160" s="46"/>
      <c r="J160" s="46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21"/>
      <c r="AH160" s="21"/>
      <c r="AI160" s="45"/>
      <c r="AJ160" s="45"/>
      <c r="AK160" s="45"/>
      <c r="AL160" s="45"/>
      <c r="AM160" s="45"/>
      <c r="AN160" s="45"/>
      <c r="AO160" s="45"/>
      <c r="AP160" s="45"/>
      <c r="AQ160" s="36"/>
      <c r="AR160" s="36"/>
      <c r="AS160" s="36"/>
      <c r="AT160" s="36"/>
      <c r="AU160" s="36"/>
      <c r="AV160" s="36"/>
      <c r="AW160" s="36"/>
      <c r="AX160" s="36"/>
      <c r="AY160" s="36"/>
      <c r="AZ160" s="36"/>
      <c r="BA160" s="36"/>
      <c r="BB160" s="36"/>
      <c r="BC160" s="36"/>
      <c r="BD160" s="36"/>
      <c r="BE160" s="36"/>
      <c r="BF160" s="36"/>
      <c r="BG160" s="36"/>
      <c r="BH160" s="36"/>
      <c r="BI160" s="36"/>
      <c r="BJ160" s="36"/>
      <c r="BK160" s="36"/>
      <c r="BL160" s="36"/>
      <c r="BM160" s="36"/>
      <c r="BN160" s="36"/>
      <c r="BO160" s="36"/>
      <c r="BP160" s="36"/>
      <c r="BQ160" s="36"/>
    </row>
    <row r="161">
      <c r="A161" s="45"/>
      <c r="B161" s="45"/>
      <c r="C161" s="45"/>
      <c r="D161" s="45"/>
      <c r="E161" s="45"/>
      <c r="F161" s="45"/>
      <c r="G161" s="46"/>
      <c r="H161" s="46"/>
      <c r="I161" s="46"/>
      <c r="J161" s="46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21"/>
      <c r="AH161" s="21"/>
      <c r="AI161" s="45"/>
      <c r="AJ161" s="45"/>
      <c r="AK161" s="45"/>
      <c r="AL161" s="45"/>
      <c r="AM161" s="45"/>
      <c r="AN161" s="45"/>
      <c r="AO161" s="45"/>
      <c r="AP161" s="45"/>
      <c r="AQ161" s="36"/>
      <c r="AR161" s="36"/>
      <c r="AS161" s="36"/>
      <c r="AT161" s="36"/>
      <c r="AU161" s="36"/>
      <c r="AV161" s="36"/>
      <c r="AW161" s="36"/>
      <c r="AX161" s="36"/>
      <c r="AY161" s="36"/>
      <c r="AZ161" s="36"/>
      <c r="BA161" s="36"/>
      <c r="BB161" s="36"/>
      <c r="BC161" s="36"/>
      <c r="BD161" s="36"/>
      <c r="BE161" s="36"/>
      <c r="BF161" s="36"/>
      <c r="BG161" s="36"/>
      <c r="BH161" s="36"/>
      <c r="BI161" s="36"/>
      <c r="BJ161" s="36"/>
      <c r="BK161" s="36"/>
      <c r="BL161" s="36"/>
      <c r="BM161" s="36"/>
      <c r="BN161" s="36"/>
      <c r="BO161" s="36"/>
      <c r="BP161" s="36"/>
      <c r="BQ161" s="36"/>
    </row>
    <row r="162">
      <c r="A162" s="45"/>
      <c r="B162" s="45"/>
      <c r="C162" s="45"/>
      <c r="D162" s="45"/>
      <c r="E162" s="45"/>
      <c r="F162" s="45"/>
      <c r="G162" s="46"/>
      <c r="H162" s="46"/>
      <c r="I162" s="46"/>
      <c r="J162" s="46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21"/>
      <c r="AH162" s="21"/>
      <c r="AI162" s="45"/>
      <c r="AJ162" s="45"/>
      <c r="AK162" s="45"/>
      <c r="AL162" s="45"/>
      <c r="AM162" s="45"/>
      <c r="AN162" s="45"/>
      <c r="AO162" s="45"/>
      <c r="AP162" s="45"/>
      <c r="AQ162" s="36"/>
      <c r="AR162" s="36"/>
      <c r="AS162" s="36"/>
      <c r="AT162" s="36"/>
      <c r="AU162" s="36"/>
      <c r="AV162" s="36"/>
      <c r="AW162" s="36"/>
      <c r="AX162" s="36"/>
      <c r="AY162" s="36"/>
      <c r="AZ162" s="36"/>
      <c r="BA162" s="36"/>
      <c r="BB162" s="36"/>
      <c r="BC162" s="36"/>
      <c r="BD162" s="36"/>
      <c r="BE162" s="36"/>
      <c r="BF162" s="36"/>
      <c r="BG162" s="36"/>
      <c r="BH162" s="36"/>
      <c r="BI162" s="36"/>
      <c r="BJ162" s="36"/>
      <c r="BK162" s="36"/>
      <c r="BL162" s="36"/>
      <c r="BM162" s="36"/>
      <c r="BN162" s="36"/>
      <c r="BO162" s="36"/>
      <c r="BP162" s="36"/>
      <c r="BQ162" s="36"/>
    </row>
    <row r="163">
      <c r="A163" s="45"/>
      <c r="B163" s="45"/>
      <c r="C163" s="45"/>
      <c r="D163" s="45"/>
      <c r="E163" s="45"/>
      <c r="F163" s="45"/>
      <c r="G163" s="46"/>
      <c r="H163" s="46"/>
      <c r="I163" s="46"/>
      <c r="J163" s="46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21"/>
      <c r="AH163" s="21"/>
      <c r="AI163" s="45"/>
      <c r="AJ163" s="45"/>
      <c r="AK163" s="45"/>
      <c r="AL163" s="45"/>
      <c r="AM163" s="45"/>
      <c r="AN163" s="45"/>
      <c r="AO163" s="45"/>
      <c r="AP163" s="45"/>
      <c r="AQ163" s="36"/>
      <c r="AR163" s="36"/>
      <c r="AS163" s="36"/>
      <c r="AT163" s="36"/>
      <c r="AU163" s="36"/>
      <c r="AV163" s="36"/>
      <c r="AW163" s="36"/>
      <c r="AX163" s="36"/>
      <c r="AY163" s="36"/>
      <c r="AZ163" s="36"/>
      <c r="BA163" s="36"/>
      <c r="BB163" s="36"/>
      <c r="BC163" s="36"/>
      <c r="BD163" s="36"/>
      <c r="BE163" s="36"/>
      <c r="BF163" s="36"/>
      <c r="BG163" s="36"/>
      <c r="BH163" s="36"/>
      <c r="BI163" s="36"/>
      <c r="BJ163" s="36"/>
      <c r="BK163" s="36"/>
      <c r="BL163" s="36"/>
      <c r="BM163" s="36"/>
      <c r="BN163" s="36"/>
      <c r="BO163" s="36"/>
      <c r="BP163" s="36"/>
      <c r="BQ163" s="36"/>
    </row>
    <row r="164">
      <c r="A164" s="45"/>
      <c r="B164" s="45"/>
      <c r="C164" s="45"/>
      <c r="D164" s="45"/>
      <c r="E164" s="45"/>
      <c r="F164" s="45"/>
      <c r="G164" s="46"/>
      <c r="H164" s="46"/>
      <c r="I164" s="46"/>
      <c r="J164" s="46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21"/>
      <c r="AH164" s="21"/>
      <c r="AI164" s="45"/>
      <c r="AJ164" s="45"/>
      <c r="AK164" s="45"/>
      <c r="AL164" s="45"/>
      <c r="AM164" s="45"/>
      <c r="AN164" s="45"/>
      <c r="AO164" s="45"/>
      <c r="AP164" s="45"/>
      <c r="AQ164" s="36"/>
      <c r="AR164" s="36"/>
      <c r="AS164" s="36"/>
      <c r="AT164" s="36"/>
      <c r="AU164" s="36"/>
      <c r="AV164" s="36"/>
      <c r="AW164" s="36"/>
      <c r="AX164" s="36"/>
      <c r="AY164" s="36"/>
      <c r="AZ164" s="36"/>
      <c r="BA164" s="36"/>
      <c r="BB164" s="36"/>
      <c r="BC164" s="36"/>
      <c r="BD164" s="36"/>
      <c r="BE164" s="36"/>
      <c r="BF164" s="36"/>
      <c r="BG164" s="36"/>
      <c r="BH164" s="36"/>
      <c r="BI164" s="36"/>
      <c r="BJ164" s="36"/>
      <c r="BK164" s="36"/>
      <c r="BL164" s="36"/>
      <c r="BM164" s="36"/>
      <c r="BN164" s="36"/>
      <c r="BO164" s="36"/>
      <c r="BP164" s="36"/>
      <c r="BQ164" s="36"/>
    </row>
    <row r="165">
      <c r="A165" s="45"/>
      <c r="B165" s="45"/>
      <c r="C165" s="45"/>
      <c r="D165" s="45"/>
      <c r="E165" s="45"/>
      <c r="F165" s="45"/>
      <c r="G165" s="46"/>
      <c r="H165" s="46"/>
      <c r="I165" s="46"/>
      <c r="J165" s="46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21"/>
      <c r="AI165" s="21"/>
      <c r="AJ165" s="45"/>
      <c r="AK165" s="45"/>
      <c r="AL165" s="45"/>
      <c r="AM165" s="45"/>
      <c r="AN165" s="45"/>
      <c r="AO165" s="45"/>
      <c r="AP165" s="45"/>
      <c r="AQ165" s="36"/>
      <c r="AR165" s="36"/>
      <c r="AS165" s="36"/>
      <c r="AT165" s="36"/>
      <c r="AU165" s="36"/>
      <c r="AV165" s="36"/>
      <c r="AW165" s="36"/>
      <c r="AX165" s="36"/>
      <c r="AY165" s="36"/>
      <c r="AZ165" s="36"/>
      <c r="BA165" s="36"/>
      <c r="BB165" s="36"/>
      <c r="BC165" s="36"/>
      <c r="BD165" s="36"/>
      <c r="BE165" s="36"/>
      <c r="BF165" s="36"/>
      <c r="BG165" s="36"/>
      <c r="BH165" s="36"/>
      <c r="BI165" s="36"/>
      <c r="BJ165" s="36"/>
      <c r="BK165" s="36"/>
      <c r="BL165" s="36"/>
      <c r="BM165" s="36"/>
      <c r="BN165" s="36"/>
      <c r="BO165" s="36"/>
      <c r="BP165" s="36"/>
      <c r="BQ165" s="36"/>
    </row>
    <row r="166">
      <c r="A166" s="45"/>
      <c r="B166" s="45"/>
      <c r="C166" s="45"/>
      <c r="D166" s="45"/>
      <c r="E166" s="45"/>
      <c r="F166" s="45"/>
      <c r="G166" s="46"/>
      <c r="H166" s="46"/>
      <c r="I166" s="46"/>
      <c r="J166" s="46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21"/>
      <c r="AI166" s="21"/>
      <c r="AJ166" s="45"/>
      <c r="AK166" s="45"/>
      <c r="AL166" s="45"/>
      <c r="AM166" s="45"/>
      <c r="AN166" s="45"/>
      <c r="AO166" s="45"/>
      <c r="AP166" s="45"/>
      <c r="AQ166" s="36"/>
      <c r="AR166" s="36"/>
      <c r="AS166" s="36"/>
      <c r="AT166" s="36"/>
      <c r="AU166" s="36"/>
      <c r="AV166" s="36"/>
      <c r="AW166" s="36"/>
      <c r="AX166" s="36"/>
      <c r="AY166" s="36"/>
      <c r="AZ166" s="36"/>
      <c r="BA166" s="36"/>
      <c r="BB166" s="36"/>
      <c r="BC166" s="36"/>
      <c r="BD166" s="36"/>
      <c r="BE166" s="36"/>
      <c r="BF166" s="36"/>
      <c r="BG166" s="36"/>
      <c r="BH166" s="36"/>
      <c r="BI166" s="36"/>
      <c r="BJ166" s="36"/>
      <c r="BK166" s="36"/>
      <c r="BL166" s="36"/>
      <c r="BM166" s="36"/>
      <c r="BN166" s="36"/>
      <c r="BO166" s="36"/>
      <c r="BP166" s="36"/>
      <c r="BQ166" s="36"/>
    </row>
    <row r="167">
      <c r="A167" s="45"/>
      <c r="B167" s="45"/>
      <c r="C167" s="45"/>
      <c r="D167" s="45"/>
      <c r="E167" s="45"/>
      <c r="F167" s="45"/>
      <c r="G167" s="46"/>
      <c r="H167" s="46"/>
      <c r="I167" s="46"/>
      <c r="J167" s="46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21"/>
      <c r="AI167" s="45"/>
      <c r="AJ167" s="45"/>
      <c r="AK167" s="45"/>
      <c r="AL167" s="45"/>
      <c r="AM167" s="45"/>
      <c r="AN167" s="45"/>
      <c r="AO167" s="45"/>
      <c r="AP167" s="45"/>
      <c r="AQ167" s="36"/>
      <c r="AR167" s="36"/>
      <c r="AS167" s="36"/>
      <c r="AT167" s="36"/>
      <c r="AU167" s="36"/>
      <c r="AV167" s="36"/>
      <c r="AW167" s="36"/>
      <c r="AX167" s="36"/>
      <c r="AY167" s="36"/>
      <c r="AZ167" s="36"/>
      <c r="BA167" s="36"/>
      <c r="BB167" s="36"/>
      <c r="BC167" s="36"/>
      <c r="BD167" s="36"/>
      <c r="BE167" s="36"/>
      <c r="BF167" s="36"/>
      <c r="BG167" s="36"/>
      <c r="BH167" s="36"/>
      <c r="BI167" s="36"/>
      <c r="BJ167" s="36"/>
      <c r="BK167" s="36"/>
      <c r="BL167" s="36"/>
      <c r="BM167" s="36"/>
      <c r="BN167" s="36"/>
      <c r="BO167" s="36"/>
      <c r="BP167" s="36"/>
      <c r="BQ167" s="36"/>
    </row>
    <row r="168">
      <c r="A168" s="45"/>
      <c r="B168" s="45"/>
      <c r="C168" s="45"/>
      <c r="D168" s="45"/>
      <c r="E168" s="45"/>
      <c r="F168" s="45"/>
      <c r="G168" s="46"/>
      <c r="H168" s="46"/>
      <c r="I168" s="46"/>
      <c r="J168" s="46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21"/>
      <c r="AI168" s="45"/>
      <c r="AJ168" s="45"/>
      <c r="AK168" s="45"/>
      <c r="AL168" s="45"/>
      <c r="AM168" s="45"/>
      <c r="AN168" s="45"/>
      <c r="AO168" s="45"/>
      <c r="AP168" s="45"/>
      <c r="AQ168" s="36"/>
      <c r="AR168" s="36"/>
      <c r="AS168" s="36"/>
      <c r="AT168" s="36"/>
      <c r="AU168" s="36"/>
      <c r="AV168" s="36"/>
      <c r="AW168" s="36"/>
      <c r="AX168" s="36"/>
      <c r="AY168" s="36"/>
      <c r="AZ168" s="36"/>
      <c r="BA168" s="36"/>
      <c r="BB168" s="36"/>
      <c r="BC168" s="36"/>
      <c r="BD168" s="36"/>
      <c r="BE168" s="36"/>
      <c r="BF168" s="36"/>
      <c r="BG168" s="36"/>
      <c r="BH168" s="36"/>
      <c r="BI168" s="36"/>
      <c r="BJ168" s="36"/>
      <c r="BK168" s="36"/>
      <c r="BL168" s="36"/>
      <c r="BM168" s="36"/>
      <c r="BN168" s="36"/>
      <c r="BO168" s="36"/>
      <c r="BP168" s="36"/>
      <c r="BQ168" s="36"/>
    </row>
    <row r="169">
      <c r="A169" s="45"/>
      <c r="B169" s="45"/>
      <c r="C169" s="45"/>
      <c r="D169" s="45"/>
      <c r="E169" s="45"/>
      <c r="F169" s="45"/>
      <c r="G169" s="46"/>
      <c r="H169" s="46"/>
      <c r="I169" s="46"/>
      <c r="J169" s="46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34"/>
      <c r="V169" s="21"/>
      <c r="W169" s="21"/>
      <c r="X169" s="21"/>
      <c r="Z169" s="21"/>
      <c r="AA169" s="45"/>
      <c r="AB169" s="45"/>
      <c r="AI169" s="45"/>
      <c r="AJ169" s="45"/>
      <c r="AK169" s="45"/>
      <c r="AL169" s="45"/>
      <c r="AM169" s="45"/>
      <c r="AN169" s="45"/>
      <c r="AO169" s="45"/>
      <c r="AP169" s="45"/>
      <c r="AQ169" s="36"/>
      <c r="AR169" s="36"/>
      <c r="AS169" s="36"/>
      <c r="AT169" s="36"/>
      <c r="AU169" s="36"/>
      <c r="AV169" s="36"/>
      <c r="AW169" s="36"/>
      <c r="AX169" s="36"/>
      <c r="AY169" s="36"/>
      <c r="AZ169" s="36"/>
      <c r="BA169" s="36"/>
      <c r="BB169" s="36"/>
      <c r="BC169" s="36"/>
      <c r="BD169" s="36"/>
      <c r="BE169" s="36"/>
      <c r="BF169" s="36"/>
      <c r="BG169" s="36"/>
      <c r="BH169" s="36"/>
      <c r="BI169" s="36"/>
      <c r="BJ169" s="36"/>
      <c r="BK169" s="36"/>
      <c r="BL169" s="36"/>
      <c r="BM169" s="36"/>
      <c r="BN169" s="36"/>
      <c r="BO169" s="36"/>
      <c r="BP169" s="36"/>
      <c r="BQ169" s="36"/>
    </row>
    <row r="170">
      <c r="A170" s="45"/>
      <c r="B170" s="45"/>
      <c r="C170" s="45"/>
      <c r="D170" s="45"/>
      <c r="E170" s="45"/>
      <c r="F170" s="45"/>
      <c r="G170" s="46"/>
      <c r="H170" s="46"/>
      <c r="I170" s="46"/>
      <c r="J170" s="46"/>
      <c r="K170" s="45"/>
      <c r="L170" s="45"/>
      <c r="M170" s="45"/>
      <c r="N170" s="45"/>
      <c r="O170" s="45"/>
      <c r="P170" s="45"/>
      <c r="Q170" s="45"/>
      <c r="R170" s="49"/>
      <c r="AI170" s="45"/>
      <c r="AJ170" s="45"/>
      <c r="AK170" s="45"/>
      <c r="AL170" s="45"/>
      <c r="AM170" s="45"/>
      <c r="AN170" s="45"/>
      <c r="AO170" s="45"/>
      <c r="AP170" s="45"/>
      <c r="AQ170" s="36"/>
      <c r="AR170" s="36"/>
      <c r="AS170" s="36"/>
      <c r="AT170" s="36"/>
      <c r="AU170" s="36"/>
      <c r="AV170" s="36"/>
      <c r="AW170" s="36"/>
      <c r="AX170" s="36"/>
      <c r="AY170" s="36"/>
      <c r="AZ170" s="36"/>
      <c r="BA170" s="36"/>
      <c r="BB170" s="36"/>
      <c r="BC170" s="36"/>
      <c r="BD170" s="36"/>
      <c r="BE170" s="36"/>
      <c r="BF170" s="36"/>
      <c r="BG170" s="36"/>
      <c r="BH170" s="36"/>
      <c r="BI170" s="36"/>
      <c r="BJ170" s="36"/>
      <c r="BK170" s="36"/>
      <c r="BL170" s="36"/>
      <c r="BM170" s="36"/>
      <c r="BN170" s="36"/>
      <c r="BO170" s="36"/>
      <c r="BP170" s="36"/>
      <c r="BQ170" s="36"/>
    </row>
    <row r="171">
      <c r="A171" s="45"/>
      <c r="B171" s="45"/>
      <c r="C171" s="45"/>
      <c r="D171" s="45"/>
      <c r="E171" s="45"/>
      <c r="F171" s="45"/>
      <c r="G171" s="46"/>
      <c r="H171" s="46"/>
      <c r="I171" s="46"/>
      <c r="J171" s="46"/>
      <c r="K171" s="45"/>
      <c r="L171" s="45"/>
      <c r="M171" s="45"/>
      <c r="N171" s="45"/>
      <c r="O171" s="45"/>
      <c r="P171" s="45"/>
      <c r="Q171" s="45"/>
      <c r="R171" s="50"/>
      <c r="AI171" s="45"/>
      <c r="AJ171" s="45"/>
      <c r="AK171" s="45"/>
      <c r="AL171" s="45"/>
      <c r="AM171" s="45"/>
      <c r="AN171" s="45"/>
      <c r="AO171" s="45"/>
      <c r="AP171" s="45"/>
      <c r="AQ171" s="36"/>
      <c r="AR171" s="36"/>
      <c r="AS171" s="36"/>
      <c r="AT171" s="36"/>
      <c r="AU171" s="36"/>
      <c r="AV171" s="36"/>
      <c r="AW171" s="36"/>
      <c r="AX171" s="36"/>
      <c r="AY171" s="36"/>
      <c r="AZ171" s="36"/>
      <c r="BA171" s="36"/>
      <c r="BB171" s="36"/>
      <c r="BC171" s="36"/>
      <c r="BD171" s="36"/>
      <c r="BE171" s="36"/>
      <c r="BF171" s="36"/>
      <c r="BG171" s="36"/>
      <c r="BH171" s="36"/>
      <c r="BI171" s="36"/>
      <c r="BJ171" s="36"/>
      <c r="BK171" s="36"/>
      <c r="BL171" s="36"/>
      <c r="BM171" s="36"/>
      <c r="BN171" s="36"/>
      <c r="BO171" s="36"/>
      <c r="BP171" s="36"/>
      <c r="BQ171" s="36"/>
    </row>
    <row r="172">
      <c r="A172" s="45"/>
      <c r="B172" s="45"/>
      <c r="C172" s="45"/>
      <c r="D172" s="45"/>
      <c r="E172" s="45"/>
      <c r="F172" s="45"/>
      <c r="G172" s="46"/>
      <c r="H172" s="46"/>
      <c r="I172" s="46"/>
      <c r="J172" s="46"/>
      <c r="K172" s="45"/>
      <c r="L172" s="45"/>
      <c r="M172" s="45"/>
      <c r="N172" s="45"/>
      <c r="O172" s="45"/>
      <c r="P172" s="45"/>
      <c r="Q172" s="45"/>
      <c r="R172" s="50"/>
      <c r="AI172" s="45"/>
      <c r="AJ172" s="42"/>
      <c r="AK172" s="42"/>
      <c r="AL172" s="42"/>
      <c r="AM172" s="42"/>
      <c r="AN172" s="42"/>
      <c r="AO172" s="42"/>
      <c r="AP172" s="42"/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  <c r="BC172" s="36"/>
      <c r="BD172" s="36"/>
      <c r="BE172" s="36"/>
      <c r="BF172" s="36"/>
      <c r="BG172" s="36"/>
      <c r="BH172" s="36"/>
      <c r="BI172" s="36"/>
      <c r="BJ172" s="36"/>
      <c r="BK172" s="36"/>
      <c r="BL172" s="36"/>
      <c r="BM172" s="36"/>
      <c r="BN172" s="36"/>
      <c r="BO172" s="36"/>
      <c r="BP172" s="36"/>
      <c r="BQ172" s="36"/>
    </row>
    <row r="173">
      <c r="A173" s="45"/>
      <c r="B173" s="45"/>
      <c r="C173" s="45"/>
      <c r="D173" s="45"/>
      <c r="E173" s="45"/>
      <c r="F173" s="45"/>
      <c r="G173" s="46"/>
      <c r="H173" s="46"/>
      <c r="I173" s="46"/>
      <c r="J173" s="46"/>
      <c r="K173" s="45"/>
      <c r="L173" s="45"/>
      <c r="M173" s="45"/>
      <c r="N173" s="45"/>
      <c r="O173" s="45"/>
      <c r="P173" s="45"/>
      <c r="Q173" s="45"/>
      <c r="R173" s="50"/>
      <c r="AI173" s="45"/>
      <c r="AJ173" s="42"/>
      <c r="AK173" s="42"/>
      <c r="AL173" s="42"/>
      <c r="AM173" s="42"/>
      <c r="AN173" s="51"/>
      <c r="AO173" s="50"/>
      <c r="AP173" s="50"/>
      <c r="AQ173" s="50"/>
      <c r="AR173" s="50"/>
      <c r="AS173" s="50"/>
      <c r="AT173" s="50"/>
      <c r="AU173" s="50"/>
      <c r="AV173" s="36"/>
      <c r="AW173" s="36"/>
      <c r="AX173" s="36"/>
      <c r="AY173" s="36"/>
      <c r="AZ173" s="36"/>
      <c r="BA173" s="36"/>
      <c r="BB173" s="36"/>
      <c r="BC173" s="36"/>
      <c r="BD173" s="36"/>
      <c r="BE173" s="36"/>
      <c r="BF173" s="36"/>
      <c r="BG173" s="36"/>
      <c r="BH173" s="36"/>
      <c r="BI173" s="36"/>
      <c r="BJ173" s="36"/>
      <c r="BK173" s="36"/>
      <c r="BL173" s="36"/>
      <c r="BM173" s="36"/>
      <c r="BN173" s="36"/>
      <c r="BO173" s="36"/>
      <c r="BP173" s="36"/>
      <c r="BQ173" s="36"/>
    </row>
    <row r="174">
      <c r="A174" s="45"/>
      <c r="B174" s="45"/>
      <c r="C174" s="45"/>
      <c r="D174" s="45"/>
      <c r="E174" s="45"/>
      <c r="F174" s="45"/>
      <c r="G174" s="46"/>
      <c r="H174" s="46"/>
      <c r="I174" s="46"/>
      <c r="J174" s="46"/>
      <c r="K174" s="45"/>
      <c r="L174" s="45"/>
      <c r="M174" s="45"/>
      <c r="N174" s="45"/>
      <c r="O174" s="45"/>
      <c r="P174" s="45"/>
      <c r="Q174" s="45"/>
      <c r="R174" s="50"/>
      <c r="AI174" s="45"/>
      <c r="AJ174" s="42"/>
      <c r="AK174" s="42"/>
      <c r="AL174" s="42"/>
      <c r="AM174" s="42"/>
      <c r="AN174" s="42"/>
      <c r="AO174" s="50"/>
      <c r="AP174" s="50"/>
      <c r="AQ174" s="50"/>
      <c r="AR174" s="50"/>
      <c r="AS174" s="50"/>
      <c r="AT174" s="50"/>
      <c r="AU174" s="50"/>
      <c r="AV174" s="36"/>
      <c r="AW174" s="36"/>
      <c r="AX174" s="36"/>
      <c r="AY174" s="36"/>
      <c r="AZ174" s="36"/>
      <c r="BA174" s="36"/>
      <c r="BB174" s="36"/>
      <c r="BC174" s="36"/>
      <c r="BD174" s="36"/>
      <c r="BE174" s="36"/>
      <c r="BF174" s="36"/>
      <c r="BG174" s="36"/>
      <c r="BH174" s="36"/>
      <c r="BI174" s="36"/>
      <c r="BJ174" s="36"/>
      <c r="BK174" s="36"/>
      <c r="BL174" s="36"/>
      <c r="BM174" s="36"/>
      <c r="BN174" s="36"/>
      <c r="BO174" s="36"/>
      <c r="BP174" s="36"/>
      <c r="BQ174" s="36"/>
    </row>
    <row r="175">
      <c r="A175" s="45"/>
      <c r="B175" s="45"/>
      <c r="C175" s="45"/>
      <c r="D175" s="45"/>
      <c r="E175" s="45"/>
      <c r="F175" s="45"/>
      <c r="G175" s="46"/>
      <c r="H175" s="46"/>
      <c r="I175" s="46"/>
      <c r="J175" s="46"/>
      <c r="K175" s="45"/>
      <c r="L175" s="45"/>
      <c r="M175" s="45"/>
      <c r="N175" s="45"/>
      <c r="O175" s="45"/>
      <c r="P175" s="45"/>
      <c r="Q175" s="45"/>
      <c r="R175" s="50"/>
      <c r="AI175" s="45"/>
      <c r="AJ175" s="42"/>
      <c r="AK175" s="42"/>
      <c r="AL175" s="42"/>
      <c r="AM175" s="42"/>
      <c r="AN175" s="42"/>
      <c r="AO175" s="50"/>
      <c r="AP175" s="50"/>
      <c r="AQ175" s="50"/>
      <c r="AR175" s="50"/>
      <c r="AS175" s="50"/>
      <c r="AT175" s="50"/>
      <c r="AU175" s="50"/>
      <c r="AV175" s="36"/>
      <c r="AW175" s="36"/>
      <c r="AX175" s="36"/>
      <c r="AY175" s="36"/>
      <c r="AZ175" s="36"/>
      <c r="BA175" s="36"/>
      <c r="BB175" s="36"/>
      <c r="BC175" s="36"/>
      <c r="BD175" s="36"/>
      <c r="BE175" s="36"/>
      <c r="BF175" s="36"/>
      <c r="BG175" s="36"/>
      <c r="BH175" s="36"/>
      <c r="BI175" s="36"/>
      <c r="BJ175" s="36"/>
      <c r="BK175" s="36"/>
      <c r="BL175" s="36"/>
      <c r="BM175" s="36"/>
      <c r="BN175" s="36"/>
      <c r="BO175" s="36"/>
      <c r="BP175" s="36"/>
      <c r="BQ175" s="36"/>
    </row>
    <row r="176">
      <c r="A176" s="45"/>
      <c r="B176" s="45"/>
      <c r="C176" s="45"/>
      <c r="D176" s="45"/>
      <c r="E176" s="45"/>
      <c r="F176" s="45"/>
      <c r="G176" s="46"/>
      <c r="H176" s="46"/>
      <c r="I176" s="46"/>
      <c r="J176" s="46"/>
      <c r="K176" s="45"/>
      <c r="L176" s="45"/>
      <c r="M176" s="45"/>
      <c r="N176" s="45"/>
      <c r="O176" s="45"/>
      <c r="P176" s="45"/>
      <c r="Q176" s="45"/>
      <c r="R176" s="50"/>
      <c r="AI176" s="45"/>
      <c r="AJ176" s="42"/>
      <c r="AK176" s="42"/>
      <c r="AL176" s="42"/>
      <c r="AM176" s="42"/>
      <c r="AN176" s="42"/>
      <c r="AO176" s="42"/>
      <c r="AP176" s="42"/>
      <c r="AQ176" s="36"/>
      <c r="AR176" s="36"/>
      <c r="AS176" s="36"/>
      <c r="AT176" s="36"/>
      <c r="AU176" s="36"/>
      <c r="AV176" s="36"/>
      <c r="AW176" s="36"/>
      <c r="AX176" s="36"/>
      <c r="AY176" s="36"/>
      <c r="AZ176" s="36"/>
      <c r="BA176" s="36"/>
      <c r="BB176" s="36"/>
      <c r="BC176" s="36"/>
      <c r="BD176" s="36"/>
      <c r="BE176" s="36"/>
      <c r="BF176" s="36"/>
      <c r="BG176" s="36"/>
      <c r="BH176" s="36"/>
      <c r="BI176" s="36"/>
      <c r="BJ176" s="36"/>
      <c r="BK176" s="36"/>
      <c r="BL176" s="36"/>
      <c r="BM176" s="36"/>
      <c r="BN176" s="36"/>
      <c r="BO176" s="36"/>
      <c r="BP176" s="36"/>
      <c r="BQ176" s="36"/>
    </row>
    <row r="177">
      <c r="A177" s="45"/>
      <c r="B177" s="45"/>
      <c r="C177" s="45"/>
      <c r="D177" s="45"/>
      <c r="E177" s="45"/>
      <c r="F177" s="45"/>
      <c r="G177" s="46"/>
      <c r="H177" s="46"/>
      <c r="I177" s="46"/>
      <c r="J177" s="46"/>
      <c r="K177" s="45"/>
      <c r="L177" s="45"/>
      <c r="M177" s="45"/>
      <c r="N177" s="45"/>
      <c r="O177" s="45"/>
      <c r="P177" s="45"/>
      <c r="Q177" s="45"/>
      <c r="R177" s="50"/>
      <c r="AI177" s="45"/>
      <c r="AJ177" s="51"/>
      <c r="AK177" s="42"/>
      <c r="AL177" s="42"/>
      <c r="AM177" s="42"/>
      <c r="AN177" s="42"/>
      <c r="AO177" s="42"/>
      <c r="AP177" s="42"/>
      <c r="AQ177" s="36"/>
      <c r="AR177" s="36"/>
      <c r="AS177" s="36"/>
      <c r="AT177" s="36"/>
      <c r="AU177" s="36"/>
      <c r="AV177" s="36"/>
      <c r="AW177" s="36"/>
      <c r="AX177" s="36"/>
      <c r="AY177" s="36"/>
      <c r="AZ177" s="36"/>
      <c r="BA177" s="36"/>
      <c r="BB177" s="36"/>
      <c r="BC177" s="36"/>
      <c r="BD177" s="36"/>
      <c r="BE177" s="36"/>
      <c r="BF177" s="36"/>
      <c r="BG177" s="36"/>
      <c r="BH177" s="36"/>
      <c r="BI177" s="36"/>
      <c r="BJ177" s="36"/>
      <c r="BK177" s="36"/>
      <c r="BL177" s="36"/>
      <c r="BM177" s="36"/>
      <c r="BN177" s="36"/>
      <c r="BO177" s="36"/>
      <c r="BP177" s="36"/>
      <c r="BQ177" s="36"/>
    </row>
    <row r="178">
      <c r="A178" s="45"/>
      <c r="B178" s="45"/>
      <c r="C178" s="45"/>
      <c r="D178" s="45"/>
      <c r="E178" s="45"/>
      <c r="F178" s="45"/>
      <c r="G178" s="46"/>
      <c r="H178" s="46"/>
      <c r="I178" s="46"/>
      <c r="J178" s="46"/>
      <c r="K178" s="45"/>
      <c r="L178" s="45"/>
      <c r="M178" s="45"/>
      <c r="N178" s="45"/>
      <c r="O178" s="45"/>
      <c r="P178" s="45"/>
      <c r="Q178" s="45"/>
      <c r="R178" s="50"/>
      <c r="AJ178" s="42"/>
      <c r="AK178" s="51"/>
      <c r="AL178" s="51"/>
      <c r="AM178" s="42"/>
      <c r="AN178" s="42"/>
      <c r="AO178" s="42"/>
      <c r="AP178" s="51"/>
      <c r="AQ178" s="36"/>
      <c r="AR178" s="36"/>
      <c r="AS178" s="36"/>
      <c r="AT178" s="36"/>
      <c r="AU178" s="36"/>
      <c r="AV178" s="36"/>
      <c r="AW178" s="36"/>
      <c r="AX178" s="36"/>
      <c r="AY178" s="36"/>
      <c r="AZ178" s="36"/>
      <c r="BA178" s="36"/>
      <c r="BB178" s="36"/>
      <c r="BC178" s="36"/>
      <c r="BD178" s="36"/>
      <c r="BE178" s="36"/>
      <c r="BF178" s="36"/>
      <c r="BG178" s="36"/>
      <c r="BH178" s="36"/>
      <c r="BI178" s="36"/>
      <c r="BJ178" s="36"/>
      <c r="BK178" s="36"/>
      <c r="BL178" s="36"/>
      <c r="BM178" s="36"/>
      <c r="BN178" s="36"/>
      <c r="BO178" s="36"/>
      <c r="BP178" s="36"/>
      <c r="BQ178" s="36"/>
    </row>
    <row r="179">
      <c r="A179" s="45"/>
      <c r="B179" s="45"/>
      <c r="C179" s="45"/>
      <c r="D179" s="45"/>
      <c r="E179" s="45"/>
      <c r="F179" s="45"/>
      <c r="G179" s="46"/>
      <c r="H179" s="46"/>
      <c r="I179" s="46"/>
      <c r="J179" s="46"/>
      <c r="K179" s="45"/>
      <c r="L179" s="45"/>
      <c r="M179" s="45"/>
      <c r="N179" s="45"/>
      <c r="O179" s="45"/>
      <c r="P179" s="45"/>
      <c r="Q179" s="45"/>
      <c r="R179" s="50"/>
      <c r="AJ179" s="51"/>
      <c r="AK179" s="51"/>
      <c r="AL179" s="51"/>
      <c r="AM179" s="42"/>
      <c r="AN179" s="51"/>
      <c r="AO179" s="42"/>
      <c r="AP179" s="42"/>
      <c r="AQ179" s="36"/>
      <c r="AR179" s="36"/>
      <c r="AS179" s="36"/>
      <c r="AT179" s="36"/>
      <c r="AU179" s="36"/>
      <c r="AV179" s="36"/>
      <c r="AW179" s="36"/>
      <c r="AX179" s="36"/>
      <c r="AY179" s="36"/>
      <c r="AZ179" s="36"/>
      <c r="BA179" s="36"/>
      <c r="BB179" s="36"/>
      <c r="BC179" s="36"/>
      <c r="BD179" s="36"/>
      <c r="BE179" s="36"/>
      <c r="BF179" s="36"/>
      <c r="BG179" s="36"/>
      <c r="BH179" s="36"/>
      <c r="BI179" s="36"/>
      <c r="BJ179" s="36"/>
      <c r="BK179" s="36"/>
      <c r="BL179" s="36"/>
      <c r="BM179" s="36"/>
      <c r="BN179" s="36"/>
      <c r="BO179" s="36"/>
      <c r="BP179" s="36"/>
      <c r="BQ179" s="36"/>
    </row>
    <row r="180">
      <c r="A180" s="45"/>
      <c r="B180" s="45"/>
      <c r="C180" s="45"/>
      <c r="D180" s="45"/>
      <c r="E180" s="45"/>
      <c r="F180" s="45"/>
      <c r="G180" s="46"/>
      <c r="H180" s="46"/>
      <c r="I180" s="46"/>
      <c r="J180" s="46"/>
      <c r="K180" s="45"/>
      <c r="L180" s="45"/>
      <c r="M180" s="45"/>
      <c r="N180" s="45"/>
      <c r="O180" s="45"/>
      <c r="P180" s="45"/>
      <c r="Q180" s="45"/>
      <c r="R180" s="50"/>
      <c r="AD180" s="50"/>
      <c r="AE180" s="50"/>
      <c r="AF180" s="50"/>
      <c r="AG180" s="50"/>
      <c r="AH180" s="50"/>
      <c r="AI180" s="50"/>
      <c r="AJ180" s="42"/>
      <c r="AK180" s="42"/>
      <c r="AL180" s="42"/>
      <c r="AM180" s="51"/>
      <c r="AN180" s="42"/>
      <c r="AO180" s="42"/>
      <c r="AP180" s="42"/>
      <c r="AQ180" s="36"/>
      <c r="AR180" s="36"/>
      <c r="AS180" s="36"/>
      <c r="AT180" s="36"/>
      <c r="AU180" s="36"/>
      <c r="AV180" s="36"/>
      <c r="AW180" s="36"/>
      <c r="AX180" s="36"/>
      <c r="AY180" s="36"/>
      <c r="AZ180" s="36"/>
      <c r="BA180" s="36"/>
      <c r="BB180" s="36"/>
      <c r="BC180" s="36"/>
      <c r="BD180" s="36"/>
      <c r="BE180" s="36"/>
      <c r="BF180" s="36"/>
      <c r="BG180" s="36"/>
      <c r="BH180" s="36"/>
      <c r="BI180" s="36"/>
      <c r="BJ180" s="36"/>
      <c r="BK180" s="36"/>
      <c r="BL180" s="36"/>
      <c r="BM180" s="36"/>
      <c r="BN180" s="36"/>
      <c r="BO180" s="36"/>
      <c r="BP180" s="36"/>
      <c r="BQ180" s="36"/>
    </row>
    <row r="181">
      <c r="A181" s="45"/>
      <c r="B181" s="45"/>
      <c r="C181" s="45"/>
      <c r="D181" s="45"/>
      <c r="E181" s="45"/>
      <c r="F181" s="45"/>
      <c r="G181" s="46"/>
      <c r="H181" s="46"/>
      <c r="I181" s="46"/>
      <c r="J181" s="46"/>
      <c r="K181" s="45"/>
      <c r="L181" s="45"/>
      <c r="M181" s="45"/>
      <c r="N181" s="45"/>
      <c r="O181" s="45"/>
      <c r="P181" s="45"/>
      <c r="Q181" s="45"/>
      <c r="R181" s="50"/>
      <c r="AD181" s="50"/>
      <c r="AE181" s="50"/>
      <c r="AF181" s="50"/>
      <c r="AG181" s="50"/>
      <c r="AH181" s="50"/>
      <c r="AI181" s="50"/>
      <c r="AJ181" s="45"/>
      <c r="AK181" s="45"/>
      <c r="AL181" s="45"/>
      <c r="AM181" s="45"/>
      <c r="AN181" s="45"/>
      <c r="AO181" s="45"/>
      <c r="AP181" s="45"/>
      <c r="AQ181" s="36"/>
      <c r="AR181" s="36"/>
      <c r="AS181" s="36"/>
      <c r="AT181" s="36"/>
      <c r="AU181" s="36"/>
      <c r="AV181" s="36"/>
      <c r="AW181" s="36"/>
      <c r="AX181" s="36"/>
      <c r="AY181" s="36"/>
      <c r="AZ181" s="36"/>
      <c r="BA181" s="36"/>
      <c r="BB181" s="36"/>
      <c r="BC181" s="36"/>
      <c r="BD181" s="36"/>
      <c r="BE181" s="36"/>
      <c r="BF181" s="36"/>
      <c r="BG181" s="36"/>
      <c r="BH181" s="36"/>
      <c r="BI181" s="36"/>
      <c r="BJ181" s="36"/>
      <c r="BK181" s="36"/>
      <c r="BL181" s="36"/>
      <c r="BM181" s="36"/>
      <c r="BN181" s="36"/>
      <c r="BO181" s="36"/>
      <c r="BP181" s="36"/>
      <c r="BQ181" s="36"/>
    </row>
    <row r="182">
      <c r="A182" s="45"/>
      <c r="B182" s="45"/>
      <c r="C182" s="45"/>
      <c r="D182" s="45"/>
      <c r="E182" s="45"/>
      <c r="F182" s="45"/>
      <c r="G182" s="46"/>
      <c r="H182" s="46"/>
      <c r="I182" s="46"/>
      <c r="J182" s="46"/>
      <c r="K182" s="45"/>
      <c r="L182" s="45"/>
      <c r="M182" s="45"/>
      <c r="N182" s="45"/>
      <c r="O182" s="45"/>
      <c r="P182" s="45"/>
      <c r="Q182" s="45"/>
      <c r="R182" s="50"/>
      <c r="AD182" s="50"/>
      <c r="AE182" s="50"/>
      <c r="AF182" s="50"/>
      <c r="AG182" s="50"/>
      <c r="AH182" s="50"/>
      <c r="AI182" s="50"/>
      <c r="AJ182" s="45"/>
      <c r="AK182" s="45"/>
      <c r="AL182" s="45"/>
      <c r="AM182" s="45"/>
      <c r="AN182" s="45"/>
      <c r="AO182" s="45"/>
      <c r="AP182" s="45"/>
      <c r="AQ182" s="36"/>
      <c r="AR182" s="36"/>
      <c r="AS182" s="36"/>
      <c r="AT182" s="36"/>
      <c r="AU182" s="36"/>
      <c r="AV182" s="36"/>
      <c r="AW182" s="36"/>
      <c r="AX182" s="36"/>
      <c r="AY182" s="36"/>
      <c r="AZ182" s="36"/>
      <c r="BA182" s="36"/>
      <c r="BB182" s="36"/>
      <c r="BC182" s="36"/>
      <c r="BD182" s="36"/>
      <c r="BE182" s="36"/>
      <c r="BF182" s="36"/>
      <c r="BG182" s="36"/>
      <c r="BH182" s="36"/>
      <c r="BI182" s="36"/>
      <c r="BJ182" s="36"/>
      <c r="BK182" s="36"/>
      <c r="BL182" s="36"/>
      <c r="BM182" s="36"/>
      <c r="BN182" s="36"/>
      <c r="BO182" s="36"/>
      <c r="BP182" s="36"/>
      <c r="BQ182" s="36"/>
    </row>
    <row r="183">
      <c r="A183" s="45"/>
      <c r="B183" s="45"/>
      <c r="C183" s="45"/>
      <c r="D183" s="45"/>
      <c r="E183" s="45"/>
      <c r="F183" s="45"/>
      <c r="G183" s="46"/>
      <c r="H183" s="46"/>
      <c r="I183" s="46"/>
      <c r="J183" s="46"/>
      <c r="K183" s="45"/>
      <c r="L183" s="45"/>
      <c r="M183" s="45"/>
      <c r="N183" s="45"/>
      <c r="O183" s="45"/>
      <c r="P183" s="45"/>
      <c r="Q183" s="45"/>
      <c r="R183" s="50"/>
      <c r="AM183" s="45"/>
      <c r="AN183" s="45"/>
      <c r="AO183" s="45"/>
      <c r="AP183" s="45"/>
      <c r="AQ183" s="36"/>
      <c r="AR183" s="36"/>
      <c r="AS183" s="36"/>
      <c r="AT183" s="36"/>
      <c r="AU183" s="36"/>
      <c r="AV183" s="36"/>
      <c r="AW183" s="36"/>
      <c r="AX183" s="36"/>
      <c r="AY183" s="36"/>
      <c r="AZ183" s="36"/>
      <c r="BA183" s="36"/>
      <c r="BB183" s="36"/>
      <c r="BC183" s="36"/>
      <c r="BD183" s="36"/>
      <c r="BE183" s="36"/>
      <c r="BF183" s="36"/>
      <c r="BG183" s="36"/>
      <c r="BH183" s="36"/>
      <c r="BI183" s="36"/>
      <c r="BJ183" s="36"/>
      <c r="BK183" s="36"/>
      <c r="BL183" s="36"/>
      <c r="BM183" s="36"/>
      <c r="BN183" s="36"/>
      <c r="BO183" s="36"/>
      <c r="BP183" s="36"/>
      <c r="BQ183" s="36"/>
    </row>
    <row r="184">
      <c r="A184" s="45"/>
      <c r="B184" s="45"/>
      <c r="C184" s="45"/>
      <c r="D184" s="45"/>
      <c r="E184" s="45"/>
      <c r="F184" s="45"/>
      <c r="G184" s="46"/>
      <c r="H184" s="46"/>
      <c r="I184" s="46"/>
      <c r="J184" s="46"/>
      <c r="K184" s="45"/>
      <c r="L184" s="45"/>
      <c r="M184" s="45"/>
      <c r="N184" s="45"/>
      <c r="O184" s="45"/>
      <c r="P184" s="45"/>
      <c r="Q184" s="45"/>
      <c r="R184" s="50"/>
      <c r="AM184" s="45"/>
      <c r="AN184" s="45"/>
      <c r="AO184" s="45"/>
      <c r="AP184" s="45"/>
      <c r="AQ184" s="36"/>
      <c r="AR184" s="36"/>
      <c r="AS184" s="36"/>
      <c r="AT184" s="36"/>
      <c r="AU184" s="36"/>
      <c r="AV184" s="36"/>
      <c r="AW184" s="36"/>
      <c r="AX184" s="36"/>
      <c r="AY184" s="36"/>
      <c r="AZ184" s="36"/>
      <c r="BA184" s="36"/>
      <c r="BB184" s="36"/>
      <c r="BC184" s="36"/>
      <c r="BD184" s="36"/>
      <c r="BE184" s="36"/>
      <c r="BF184" s="36"/>
      <c r="BG184" s="36"/>
      <c r="BH184" s="36"/>
      <c r="BI184" s="36"/>
      <c r="BJ184" s="36"/>
      <c r="BK184" s="36"/>
      <c r="BL184" s="36"/>
      <c r="BM184" s="36"/>
      <c r="BN184" s="36"/>
      <c r="BO184" s="36"/>
      <c r="BP184" s="36"/>
      <c r="BQ184" s="36"/>
    </row>
    <row r="185">
      <c r="A185" s="45"/>
      <c r="B185" s="45"/>
      <c r="C185" s="45"/>
      <c r="D185" s="45"/>
      <c r="E185" s="45"/>
      <c r="F185" s="45"/>
      <c r="G185" s="46"/>
      <c r="H185" s="46"/>
      <c r="I185" s="46"/>
      <c r="J185" s="46"/>
      <c r="K185" s="45"/>
      <c r="L185" s="45"/>
      <c r="M185" s="45"/>
      <c r="N185" s="45"/>
      <c r="O185" s="45"/>
      <c r="P185" s="45"/>
      <c r="Q185" s="45"/>
      <c r="R185" s="50"/>
      <c r="AM185" s="45"/>
      <c r="AN185" s="45"/>
      <c r="AO185" s="45"/>
      <c r="AP185" s="45"/>
      <c r="AQ185" s="36"/>
      <c r="AR185" s="36"/>
      <c r="AS185" s="36"/>
      <c r="AT185" s="36"/>
      <c r="AU185" s="36"/>
      <c r="AV185" s="36"/>
      <c r="AW185" s="36"/>
      <c r="AX185" s="36"/>
      <c r="AY185" s="36"/>
      <c r="AZ185" s="36"/>
      <c r="BA185" s="36"/>
      <c r="BB185" s="36"/>
      <c r="BC185" s="36"/>
      <c r="BD185" s="36"/>
      <c r="BE185" s="36"/>
      <c r="BF185" s="36"/>
      <c r="BG185" s="36"/>
      <c r="BH185" s="36"/>
      <c r="BI185" s="36"/>
      <c r="BJ185" s="36"/>
      <c r="BK185" s="36"/>
      <c r="BL185" s="36"/>
      <c r="BM185" s="36"/>
      <c r="BN185" s="36"/>
      <c r="BO185" s="36"/>
      <c r="BP185" s="36"/>
      <c r="BQ185" s="36"/>
    </row>
    <row r="186">
      <c r="A186" s="45"/>
      <c r="B186" s="45"/>
      <c r="C186" s="45"/>
      <c r="D186" s="45"/>
      <c r="E186" s="45"/>
      <c r="F186" s="45"/>
      <c r="G186" s="46"/>
      <c r="H186" s="46"/>
      <c r="I186" s="46"/>
      <c r="J186" s="46"/>
      <c r="K186" s="45"/>
      <c r="L186" s="45"/>
      <c r="M186" s="45"/>
      <c r="N186" s="45"/>
      <c r="O186" s="45"/>
      <c r="P186" s="45"/>
      <c r="Q186" s="45"/>
      <c r="R186" s="50"/>
      <c r="AM186" s="45"/>
      <c r="AN186" s="45"/>
      <c r="AO186" s="45"/>
      <c r="AP186" s="45"/>
      <c r="AQ186" s="36"/>
      <c r="AR186" s="36"/>
      <c r="AS186" s="36"/>
      <c r="AT186" s="36"/>
      <c r="AU186" s="36"/>
      <c r="AV186" s="36"/>
      <c r="AW186" s="36"/>
      <c r="AX186" s="36"/>
      <c r="AY186" s="36"/>
      <c r="AZ186" s="36"/>
      <c r="BA186" s="36"/>
      <c r="BB186" s="36"/>
      <c r="BC186" s="36"/>
      <c r="BD186" s="36"/>
      <c r="BE186" s="36"/>
      <c r="BF186" s="36"/>
      <c r="BG186" s="36"/>
      <c r="BH186" s="36"/>
      <c r="BI186" s="36"/>
      <c r="BJ186" s="36"/>
      <c r="BK186" s="36"/>
      <c r="BL186" s="36"/>
      <c r="BM186" s="36"/>
      <c r="BN186" s="36"/>
      <c r="BO186" s="36"/>
      <c r="BP186" s="36"/>
      <c r="BQ186" s="36"/>
    </row>
    <row r="187">
      <c r="A187" s="45"/>
      <c r="B187" s="45"/>
      <c r="C187" s="45"/>
      <c r="D187" s="45"/>
      <c r="E187" s="45"/>
      <c r="F187" s="45"/>
      <c r="G187" s="46"/>
      <c r="H187" s="46"/>
      <c r="I187" s="46"/>
      <c r="J187" s="46"/>
      <c r="K187" s="45"/>
      <c r="L187" s="45"/>
      <c r="M187" s="45"/>
      <c r="N187" s="45"/>
      <c r="O187" s="45"/>
      <c r="P187" s="45"/>
      <c r="Q187" s="45"/>
      <c r="R187" s="50"/>
      <c r="AM187" s="45"/>
      <c r="AN187" s="45"/>
      <c r="AO187" s="45"/>
      <c r="AP187" s="45"/>
      <c r="AQ187" s="36"/>
      <c r="AR187" s="36"/>
      <c r="AS187" s="36"/>
      <c r="AT187" s="36"/>
      <c r="AU187" s="36"/>
      <c r="AV187" s="36"/>
      <c r="AW187" s="36"/>
      <c r="AX187" s="36"/>
      <c r="AY187" s="36"/>
      <c r="AZ187" s="36"/>
      <c r="BA187" s="36"/>
      <c r="BB187" s="36"/>
      <c r="BC187" s="36"/>
      <c r="BD187" s="36"/>
      <c r="BE187" s="36"/>
      <c r="BF187" s="36"/>
      <c r="BG187" s="36"/>
      <c r="BH187" s="36"/>
      <c r="BI187" s="36"/>
      <c r="BJ187" s="36"/>
      <c r="BK187" s="36"/>
      <c r="BL187" s="36"/>
      <c r="BM187" s="36"/>
      <c r="BN187" s="36"/>
      <c r="BO187" s="36"/>
      <c r="BP187" s="36"/>
      <c r="BQ187" s="36"/>
    </row>
    <row r="188">
      <c r="A188" s="45"/>
      <c r="B188" s="45"/>
      <c r="C188" s="45"/>
      <c r="D188" s="45"/>
      <c r="E188" s="45"/>
      <c r="F188" s="45"/>
      <c r="G188" s="46"/>
      <c r="H188" s="46"/>
      <c r="I188" s="46"/>
      <c r="J188" s="46"/>
      <c r="K188" s="45"/>
      <c r="L188" s="45"/>
      <c r="M188" s="45"/>
      <c r="N188" s="45"/>
      <c r="O188" s="45"/>
      <c r="P188" s="45"/>
      <c r="Q188" s="45"/>
      <c r="R188" s="50"/>
      <c r="AM188" s="45"/>
      <c r="AN188" s="45"/>
      <c r="AO188" s="45"/>
      <c r="AP188" s="45"/>
      <c r="AQ188" s="36"/>
      <c r="AR188" s="36"/>
      <c r="AS188" s="36"/>
      <c r="AT188" s="36"/>
      <c r="AU188" s="36"/>
      <c r="AV188" s="36"/>
      <c r="AW188" s="36"/>
      <c r="AX188" s="36"/>
      <c r="AY188" s="36"/>
      <c r="AZ188" s="36"/>
      <c r="BA188" s="36"/>
      <c r="BB188" s="36"/>
      <c r="BC188" s="36"/>
      <c r="BD188" s="36"/>
      <c r="BE188" s="36"/>
      <c r="BF188" s="36"/>
      <c r="BG188" s="36"/>
      <c r="BH188" s="36"/>
      <c r="BI188" s="36"/>
      <c r="BJ188" s="36"/>
      <c r="BK188" s="36"/>
      <c r="BL188" s="36"/>
      <c r="BM188" s="36"/>
      <c r="BN188" s="36"/>
      <c r="BO188" s="36"/>
      <c r="BP188" s="36"/>
      <c r="BQ188" s="36"/>
    </row>
    <row r="189">
      <c r="A189" s="45"/>
      <c r="B189" s="45"/>
      <c r="C189" s="45"/>
      <c r="D189" s="45"/>
      <c r="E189" s="45"/>
      <c r="F189" s="45"/>
      <c r="G189" s="46"/>
      <c r="H189" s="46"/>
      <c r="I189" s="46"/>
      <c r="J189" s="46"/>
      <c r="K189" s="45"/>
      <c r="L189" s="45"/>
      <c r="M189" s="45"/>
      <c r="N189" s="45"/>
      <c r="O189" s="45"/>
      <c r="P189" s="45"/>
      <c r="Q189" s="45"/>
      <c r="R189" s="50"/>
      <c r="AN189" s="45"/>
      <c r="AO189" s="45"/>
      <c r="AP189" s="45"/>
      <c r="AQ189" s="36"/>
      <c r="AR189" s="36"/>
      <c r="AS189" s="36"/>
      <c r="AT189" s="36"/>
      <c r="AU189" s="36"/>
      <c r="AV189" s="36"/>
      <c r="AW189" s="36"/>
      <c r="AX189" s="36"/>
      <c r="AY189" s="36"/>
      <c r="AZ189" s="36"/>
      <c r="BA189" s="36"/>
      <c r="BB189" s="36"/>
      <c r="BC189" s="36"/>
      <c r="BD189" s="36"/>
      <c r="BE189" s="36"/>
      <c r="BF189" s="36"/>
      <c r="BG189" s="36"/>
      <c r="BH189" s="36"/>
      <c r="BI189" s="36"/>
      <c r="BJ189" s="36"/>
      <c r="BK189" s="36"/>
      <c r="BL189" s="36"/>
      <c r="BM189" s="36"/>
      <c r="BN189" s="36"/>
      <c r="BO189" s="36"/>
      <c r="BP189" s="36"/>
      <c r="BQ189" s="36"/>
    </row>
    <row r="190">
      <c r="A190" s="45"/>
      <c r="B190" s="45"/>
      <c r="C190" s="45"/>
      <c r="D190" s="45"/>
      <c r="E190" s="45"/>
      <c r="F190" s="45"/>
      <c r="G190" s="46"/>
      <c r="H190" s="46"/>
      <c r="I190" s="46"/>
      <c r="J190" s="46"/>
      <c r="K190" s="45"/>
      <c r="L190" s="45"/>
      <c r="M190" s="45"/>
      <c r="N190" s="45"/>
      <c r="O190" s="45"/>
      <c r="P190" s="45"/>
      <c r="Q190" s="45"/>
      <c r="R190" s="50"/>
      <c r="AN190" s="45"/>
      <c r="AO190" s="45"/>
      <c r="AP190" s="45"/>
      <c r="AQ190" s="36"/>
      <c r="AR190" s="36"/>
      <c r="AS190" s="36"/>
      <c r="AT190" s="36"/>
      <c r="AU190" s="36"/>
      <c r="AV190" s="36"/>
      <c r="AW190" s="36"/>
      <c r="AX190" s="36"/>
      <c r="AY190" s="36"/>
      <c r="AZ190" s="36"/>
      <c r="BA190" s="36"/>
      <c r="BB190" s="36"/>
      <c r="BC190" s="36"/>
      <c r="BD190" s="36"/>
      <c r="BE190" s="36"/>
      <c r="BF190" s="36"/>
      <c r="BG190" s="36"/>
      <c r="BH190" s="36"/>
      <c r="BI190" s="36"/>
      <c r="BJ190" s="36"/>
      <c r="BK190" s="36"/>
      <c r="BL190" s="36"/>
      <c r="BM190" s="36"/>
      <c r="BN190" s="36"/>
      <c r="BO190" s="36"/>
      <c r="BP190" s="36"/>
      <c r="BQ190" s="36"/>
    </row>
    <row r="191">
      <c r="A191" s="45"/>
      <c r="B191" s="45"/>
      <c r="C191" s="45"/>
      <c r="D191" s="45"/>
      <c r="E191" s="45"/>
      <c r="F191" s="45"/>
      <c r="G191" s="46"/>
      <c r="H191" s="46"/>
      <c r="I191" s="46"/>
      <c r="J191" s="46"/>
      <c r="K191" s="45"/>
      <c r="L191" s="45"/>
      <c r="M191" s="45"/>
      <c r="N191" s="45"/>
      <c r="O191" s="45"/>
      <c r="P191" s="45"/>
      <c r="Q191" s="45"/>
      <c r="R191" s="50"/>
      <c r="AN191" s="45"/>
      <c r="AO191" s="45"/>
      <c r="AP191" s="45"/>
      <c r="AQ191" s="36"/>
      <c r="AR191" s="36"/>
      <c r="AS191" s="36"/>
      <c r="AT191" s="36"/>
      <c r="AU191" s="36"/>
      <c r="AV191" s="36"/>
      <c r="AW191" s="36"/>
      <c r="AX191" s="36"/>
      <c r="AY191" s="36"/>
      <c r="AZ191" s="36"/>
      <c r="BA191" s="36"/>
      <c r="BB191" s="36"/>
      <c r="BC191" s="36"/>
      <c r="BD191" s="36"/>
      <c r="BE191" s="36"/>
      <c r="BF191" s="36"/>
      <c r="BG191" s="36"/>
      <c r="BH191" s="36"/>
      <c r="BI191" s="36"/>
      <c r="BJ191" s="36"/>
      <c r="BK191" s="36"/>
      <c r="BL191" s="36"/>
      <c r="BM191" s="36"/>
      <c r="BN191" s="36"/>
      <c r="BO191" s="36"/>
      <c r="BP191" s="36"/>
      <c r="BQ191" s="36"/>
    </row>
    <row r="192">
      <c r="A192" s="45"/>
      <c r="B192" s="45"/>
      <c r="C192" s="45"/>
      <c r="D192" s="45"/>
      <c r="E192" s="45"/>
      <c r="F192" s="45"/>
      <c r="G192" s="46"/>
      <c r="H192" s="46"/>
      <c r="I192" s="46"/>
      <c r="J192" s="46"/>
      <c r="K192" s="45"/>
      <c r="L192" s="45"/>
      <c r="M192" s="45"/>
      <c r="N192" s="45"/>
      <c r="O192" s="45"/>
      <c r="P192" s="45"/>
      <c r="Q192" s="45"/>
      <c r="R192" s="50"/>
      <c r="AN192" s="45"/>
      <c r="AO192" s="45"/>
      <c r="AP192" s="45"/>
      <c r="AQ192" s="36"/>
      <c r="AR192" s="36"/>
      <c r="AS192" s="36"/>
      <c r="AT192" s="36"/>
      <c r="AU192" s="36"/>
      <c r="AV192" s="36"/>
      <c r="AW192" s="36"/>
      <c r="AX192" s="36"/>
      <c r="AY192" s="36"/>
      <c r="AZ192" s="36"/>
      <c r="BA192" s="36"/>
      <c r="BB192" s="36"/>
      <c r="BC192" s="36"/>
      <c r="BD192" s="36"/>
      <c r="BE192" s="36"/>
      <c r="BF192" s="36"/>
      <c r="BG192" s="36"/>
      <c r="BH192" s="36"/>
      <c r="BI192" s="36"/>
      <c r="BJ192" s="36"/>
      <c r="BK192" s="36"/>
      <c r="BL192" s="36"/>
      <c r="BM192" s="36"/>
      <c r="BN192" s="36"/>
      <c r="BO192" s="36"/>
      <c r="BP192" s="36"/>
      <c r="BQ192" s="36"/>
    </row>
    <row r="193">
      <c r="A193" s="45"/>
      <c r="B193" s="45"/>
      <c r="C193" s="45"/>
      <c r="D193" s="45"/>
      <c r="E193" s="45"/>
      <c r="F193" s="45"/>
      <c r="G193" s="46"/>
      <c r="H193" s="46"/>
      <c r="I193" s="46"/>
      <c r="J193" s="46"/>
      <c r="K193" s="45"/>
      <c r="L193" s="45"/>
      <c r="M193" s="45"/>
      <c r="N193" s="45"/>
      <c r="O193" s="45"/>
      <c r="P193" s="45"/>
      <c r="Q193" s="45"/>
      <c r="R193" s="50"/>
      <c r="AN193" s="45"/>
      <c r="AO193" s="45"/>
      <c r="AP193" s="45"/>
      <c r="AQ193" s="36"/>
      <c r="AR193" s="36"/>
      <c r="AS193" s="36"/>
      <c r="AT193" s="36"/>
      <c r="AU193" s="36"/>
      <c r="AV193" s="36"/>
      <c r="AW193" s="36"/>
      <c r="AX193" s="36"/>
      <c r="AY193" s="36"/>
      <c r="AZ193" s="36"/>
      <c r="BA193" s="36"/>
      <c r="BB193" s="36"/>
      <c r="BC193" s="36"/>
      <c r="BD193" s="36"/>
      <c r="BE193" s="36"/>
      <c r="BF193" s="36"/>
      <c r="BG193" s="36"/>
      <c r="BH193" s="36"/>
      <c r="BI193" s="36"/>
      <c r="BJ193" s="36"/>
      <c r="BK193" s="36"/>
      <c r="BL193" s="36"/>
      <c r="BM193" s="36"/>
      <c r="BN193" s="36"/>
      <c r="BO193" s="36"/>
      <c r="BP193" s="36"/>
      <c r="BQ193" s="36"/>
    </row>
    <row r="194">
      <c r="A194" s="45"/>
      <c r="B194" s="45"/>
      <c r="C194" s="45"/>
      <c r="D194" s="45"/>
      <c r="E194" s="45"/>
      <c r="F194" s="45"/>
      <c r="G194" s="46"/>
      <c r="H194" s="46"/>
      <c r="I194" s="46"/>
      <c r="J194" s="46"/>
      <c r="K194" s="45"/>
      <c r="L194" s="45"/>
      <c r="M194" s="45"/>
      <c r="N194" s="45"/>
      <c r="O194" s="45"/>
      <c r="P194" s="45"/>
      <c r="Q194" s="45"/>
      <c r="R194" s="50"/>
      <c r="AN194" s="45"/>
      <c r="AO194" s="45"/>
      <c r="AP194" s="45"/>
      <c r="AQ194" s="36"/>
      <c r="AR194" s="36"/>
      <c r="AS194" s="36"/>
      <c r="AT194" s="36"/>
      <c r="AU194" s="36"/>
      <c r="AV194" s="36"/>
      <c r="AW194" s="36"/>
      <c r="AX194" s="36"/>
      <c r="AY194" s="36"/>
      <c r="AZ194" s="36"/>
      <c r="BA194" s="36"/>
      <c r="BB194" s="36"/>
      <c r="BC194" s="36"/>
      <c r="BD194" s="36"/>
      <c r="BE194" s="36"/>
      <c r="BF194" s="36"/>
      <c r="BG194" s="36"/>
      <c r="BH194" s="36"/>
      <c r="BI194" s="36"/>
      <c r="BJ194" s="36"/>
      <c r="BK194" s="36"/>
      <c r="BL194" s="36"/>
      <c r="BM194" s="36"/>
      <c r="BN194" s="36"/>
      <c r="BO194" s="36"/>
      <c r="BP194" s="36"/>
      <c r="BQ194" s="36"/>
    </row>
    <row r="195">
      <c r="A195" s="45"/>
      <c r="B195" s="45"/>
      <c r="C195" s="45"/>
      <c r="D195" s="45"/>
      <c r="E195" s="45"/>
      <c r="F195" s="45"/>
      <c r="G195" s="46"/>
      <c r="H195" s="46"/>
      <c r="I195" s="46"/>
      <c r="J195" s="46"/>
      <c r="K195" s="45"/>
      <c r="L195" s="45"/>
      <c r="M195" s="45"/>
      <c r="N195" s="45"/>
      <c r="O195" s="45"/>
      <c r="P195" s="45"/>
      <c r="Q195" s="45"/>
      <c r="R195" s="50"/>
      <c r="AN195" s="45"/>
      <c r="AO195" s="45"/>
      <c r="AP195" s="45"/>
      <c r="AQ195" s="36"/>
      <c r="AR195" s="36"/>
      <c r="AS195" s="36"/>
      <c r="AT195" s="36"/>
      <c r="AU195" s="36"/>
      <c r="AV195" s="36"/>
      <c r="AW195" s="36"/>
      <c r="AX195" s="36"/>
      <c r="AY195" s="36"/>
      <c r="AZ195" s="36"/>
      <c r="BA195" s="36"/>
      <c r="BB195" s="36"/>
      <c r="BC195" s="36"/>
      <c r="BD195" s="36"/>
      <c r="BE195" s="36"/>
      <c r="BF195" s="36"/>
      <c r="BG195" s="36"/>
      <c r="BH195" s="36"/>
      <c r="BI195" s="36"/>
      <c r="BJ195" s="36"/>
      <c r="BK195" s="36"/>
      <c r="BL195" s="36"/>
      <c r="BM195" s="36"/>
      <c r="BN195" s="36"/>
      <c r="BO195" s="36"/>
      <c r="BP195" s="36"/>
      <c r="BQ195" s="36"/>
    </row>
    <row r="196">
      <c r="A196" s="45"/>
      <c r="B196" s="45"/>
      <c r="C196" s="45"/>
      <c r="D196" s="45"/>
      <c r="E196" s="45"/>
      <c r="F196" s="45"/>
      <c r="G196" s="46"/>
      <c r="H196" s="46"/>
      <c r="I196" s="46"/>
      <c r="J196" s="46"/>
      <c r="K196" s="45"/>
      <c r="L196" s="45"/>
      <c r="M196" s="45"/>
      <c r="N196" s="45"/>
      <c r="O196" s="45"/>
      <c r="P196" s="45"/>
      <c r="Q196" s="45"/>
      <c r="R196" s="50"/>
      <c r="AN196" s="45"/>
      <c r="AO196" s="45"/>
      <c r="AP196" s="45"/>
      <c r="AQ196" s="36"/>
      <c r="AR196" s="36"/>
      <c r="AS196" s="36"/>
      <c r="AT196" s="36"/>
      <c r="AU196" s="36"/>
      <c r="AV196" s="36"/>
      <c r="AW196" s="36"/>
      <c r="AX196" s="36"/>
      <c r="AY196" s="36"/>
      <c r="AZ196" s="36"/>
      <c r="BA196" s="36"/>
      <c r="BB196" s="36"/>
      <c r="BC196" s="36"/>
      <c r="BD196" s="36"/>
      <c r="BE196" s="36"/>
      <c r="BF196" s="36"/>
      <c r="BG196" s="36"/>
      <c r="BH196" s="36"/>
      <c r="BI196" s="36"/>
      <c r="BJ196" s="36"/>
      <c r="BK196" s="36"/>
      <c r="BL196" s="36"/>
      <c r="BM196" s="36"/>
      <c r="BN196" s="36"/>
      <c r="BO196" s="36"/>
      <c r="BP196" s="36"/>
      <c r="BQ196" s="36"/>
    </row>
    <row r="197">
      <c r="A197" s="45"/>
      <c r="B197" s="45"/>
      <c r="C197" s="45"/>
      <c r="D197" s="45"/>
      <c r="E197" s="45"/>
      <c r="F197" s="45"/>
      <c r="G197" s="46"/>
      <c r="H197" s="46"/>
      <c r="I197" s="46"/>
      <c r="J197" s="46"/>
      <c r="K197" s="45"/>
      <c r="L197" s="45"/>
      <c r="M197" s="45"/>
      <c r="N197" s="45"/>
      <c r="O197" s="45"/>
      <c r="P197" s="45"/>
      <c r="Q197" s="45"/>
      <c r="R197" s="50"/>
      <c r="AN197" s="45"/>
      <c r="AO197" s="45"/>
      <c r="AP197" s="45"/>
      <c r="AQ197" s="36"/>
      <c r="AR197" s="36"/>
      <c r="AS197" s="36"/>
      <c r="AT197" s="36"/>
      <c r="AU197" s="36"/>
      <c r="AV197" s="36"/>
      <c r="AW197" s="36"/>
      <c r="AX197" s="36"/>
      <c r="AY197" s="36"/>
      <c r="AZ197" s="36"/>
      <c r="BA197" s="36"/>
      <c r="BB197" s="36"/>
      <c r="BC197" s="36"/>
      <c r="BD197" s="36"/>
      <c r="BE197" s="36"/>
      <c r="BF197" s="36"/>
      <c r="BG197" s="36"/>
      <c r="BH197" s="36"/>
      <c r="BI197" s="36"/>
      <c r="BJ197" s="36"/>
      <c r="BK197" s="36"/>
      <c r="BL197" s="36"/>
      <c r="BM197" s="36"/>
      <c r="BN197" s="36"/>
      <c r="BO197" s="36"/>
      <c r="BP197" s="36"/>
      <c r="BQ197" s="36"/>
    </row>
    <row r="198">
      <c r="A198" s="45"/>
      <c r="B198" s="45"/>
      <c r="C198" s="45"/>
      <c r="D198" s="45"/>
      <c r="E198" s="45"/>
      <c r="F198" s="45"/>
      <c r="G198" s="46"/>
      <c r="H198" s="46"/>
      <c r="I198" s="46"/>
      <c r="J198" s="46"/>
      <c r="K198" s="45"/>
      <c r="L198" s="45"/>
      <c r="M198" s="45"/>
      <c r="N198" s="45"/>
      <c r="O198" s="45"/>
      <c r="P198" s="45"/>
      <c r="Q198" s="45"/>
      <c r="R198" s="50"/>
      <c r="AN198" s="45"/>
      <c r="AO198" s="45"/>
      <c r="AP198" s="45"/>
      <c r="AQ198" s="36"/>
      <c r="AR198" s="36"/>
      <c r="AS198" s="36"/>
      <c r="AT198" s="36"/>
      <c r="AU198" s="36"/>
      <c r="AV198" s="36"/>
      <c r="AW198" s="36"/>
      <c r="AX198" s="36"/>
      <c r="AY198" s="36"/>
      <c r="AZ198" s="36"/>
      <c r="BA198" s="36"/>
      <c r="BB198" s="36"/>
      <c r="BC198" s="36"/>
      <c r="BD198" s="36"/>
      <c r="BE198" s="36"/>
      <c r="BF198" s="36"/>
      <c r="BG198" s="36"/>
      <c r="BH198" s="36"/>
      <c r="BI198" s="36"/>
      <c r="BJ198" s="36"/>
      <c r="BK198" s="36"/>
      <c r="BL198" s="36"/>
      <c r="BM198" s="36"/>
      <c r="BN198" s="36"/>
      <c r="BO198" s="36"/>
      <c r="BP198" s="36"/>
      <c r="BQ198" s="36"/>
    </row>
    <row r="199">
      <c r="A199" s="45"/>
      <c r="B199" s="45"/>
      <c r="C199" s="45"/>
      <c r="D199" s="45"/>
      <c r="E199" s="45"/>
      <c r="F199" s="45"/>
      <c r="G199" s="46"/>
      <c r="H199" s="46"/>
      <c r="I199" s="46"/>
      <c r="J199" s="46"/>
      <c r="K199" s="45"/>
      <c r="L199" s="45"/>
      <c r="M199" s="45"/>
      <c r="N199" s="45"/>
      <c r="O199" s="45"/>
      <c r="P199" s="45"/>
      <c r="Q199" s="45"/>
      <c r="R199" s="50"/>
      <c r="AN199" s="45"/>
      <c r="AO199" s="45"/>
      <c r="AP199" s="45"/>
      <c r="AQ199" s="36"/>
      <c r="AR199" s="36"/>
      <c r="AS199" s="36"/>
      <c r="AT199" s="36"/>
      <c r="AU199" s="36"/>
      <c r="AV199" s="36"/>
      <c r="AW199" s="36"/>
      <c r="AX199" s="36"/>
      <c r="AY199" s="36"/>
      <c r="AZ199" s="36"/>
      <c r="BA199" s="36"/>
      <c r="BB199" s="36"/>
      <c r="BC199" s="36"/>
      <c r="BD199" s="36"/>
      <c r="BE199" s="36"/>
      <c r="BF199" s="36"/>
      <c r="BG199" s="36"/>
      <c r="BH199" s="36"/>
      <c r="BI199" s="36"/>
      <c r="BJ199" s="36"/>
      <c r="BK199" s="36"/>
      <c r="BL199" s="36"/>
      <c r="BM199" s="36"/>
      <c r="BN199" s="36"/>
      <c r="BO199" s="36"/>
      <c r="BP199" s="36"/>
      <c r="BQ199" s="36"/>
    </row>
    <row r="200">
      <c r="A200" s="45"/>
      <c r="B200" s="45"/>
      <c r="C200" s="45"/>
      <c r="D200" s="45"/>
      <c r="E200" s="45"/>
      <c r="F200" s="45"/>
      <c r="G200" s="46"/>
      <c r="H200" s="46"/>
      <c r="I200" s="46"/>
      <c r="J200" s="46"/>
      <c r="K200" s="45"/>
      <c r="L200" s="45"/>
      <c r="M200" s="45"/>
      <c r="N200" s="45"/>
      <c r="O200" s="45"/>
      <c r="P200" s="45"/>
      <c r="Q200" s="45"/>
      <c r="R200" s="50"/>
      <c r="AM200" s="45"/>
      <c r="AN200" s="45"/>
      <c r="AO200" s="45"/>
      <c r="AP200" s="45"/>
      <c r="AQ200" s="36"/>
      <c r="AR200" s="36"/>
      <c r="AS200" s="36"/>
      <c r="AT200" s="36"/>
      <c r="AU200" s="36"/>
      <c r="AV200" s="36"/>
      <c r="AW200" s="36"/>
      <c r="AX200" s="36"/>
      <c r="AY200" s="36"/>
      <c r="AZ200" s="36"/>
      <c r="BA200" s="36"/>
      <c r="BB200" s="36"/>
      <c r="BC200" s="36"/>
      <c r="BD200" s="36"/>
      <c r="BE200" s="36"/>
      <c r="BF200" s="36"/>
      <c r="BG200" s="36"/>
      <c r="BH200" s="36"/>
      <c r="BI200" s="36"/>
      <c r="BJ200" s="36"/>
      <c r="BK200" s="36"/>
      <c r="BL200" s="36"/>
      <c r="BM200" s="36"/>
      <c r="BN200" s="36"/>
      <c r="BO200" s="36"/>
      <c r="BP200" s="36"/>
      <c r="BQ200" s="36"/>
    </row>
    <row r="201">
      <c r="A201" s="45"/>
      <c r="B201" s="45"/>
      <c r="C201" s="45"/>
      <c r="D201" s="45"/>
      <c r="E201" s="45"/>
      <c r="F201" s="45"/>
      <c r="G201" s="46"/>
      <c r="H201" s="46"/>
      <c r="I201" s="46"/>
      <c r="J201" s="46"/>
      <c r="K201" s="45"/>
      <c r="L201" s="45"/>
      <c r="M201" s="45"/>
      <c r="N201" s="45"/>
      <c r="O201" s="45"/>
      <c r="P201" s="45"/>
      <c r="Q201" s="45"/>
      <c r="R201" s="50"/>
      <c r="AD201" s="50"/>
      <c r="AE201" s="50"/>
      <c r="AF201" s="50"/>
      <c r="AG201" s="50"/>
      <c r="AH201" s="50"/>
      <c r="AI201" s="50"/>
      <c r="AJ201" s="45"/>
      <c r="AK201" s="45"/>
      <c r="AL201" s="45"/>
      <c r="AM201" s="45"/>
      <c r="AN201" s="45"/>
      <c r="AO201" s="45"/>
      <c r="AP201" s="45"/>
      <c r="AQ201" s="36"/>
      <c r="AR201" s="36"/>
      <c r="AS201" s="36"/>
      <c r="AT201" s="36"/>
      <c r="AU201" s="36"/>
      <c r="AV201" s="36"/>
      <c r="AW201" s="36"/>
      <c r="AX201" s="36"/>
      <c r="AY201" s="36"/>
      <c r="AZ201" s="36"/>
      <c r="BA201" s="36"/>
      <c r="BB201" s="36"/>
      <c r="BC201" s="36"/>
      <c r="BD201" s="36"/>
      <c r="BE201" s="36"/>
      <c r="BF201" s="36"/>
      <c r="BG201" s="36"/>
      <c r="BH201" s="36"/>
      <c r="BI201" s="36"/>
      <c r="BJ201" s="36"/>
      <c r="BK201" s="36"/>
      <c r="BL201" s="36"/>
      <c r="BM201" s="36"/>
      <c r="BN201" s="36"/>
      <c r="BO201" s="36"/>
      <c r="BP201" s="36"/>
      <c r="BQ201" s="36"/>
    </row>
    <row r="202">
      <c r="A202" s="45"/>
      <c r="B202" s="45"/>
      <c r="C202" s="45"/>
      <c r="D202" s="45"/>
      <c r="E202" s="45"/>
      <c r="F202" s="45"/>
      <c r="G202" s="46"/>
      <c r="H202" s="46"/>
      <c r="I202" s="46"/>
      <c r="J202" s="46"/>
      <c r="K202" s="45"/>
      <c r="L202" s="45"/>
      <c r="M202" s="45"/>
      <c r="N202" s="45"/>
      <c r="O202" s="45"/>
      <c r="P202" s="45"/>
      <c r="Q202" s="45"/>
      <c r="R202" s="50"/>
      <c r="AD202" s="50"/>
      <c r="AE202" s="50"/>
      <c r="AF202" s="50"/>
      <c r="AG202" s="50"/>
      <c r="AH202" s="50"/>
      <c r="AI202" s="50"/>
      <c r="AJ202" s="45"/>
      <c r="AK202" s="45"/>
      <c r="AL202" s="45"/>
      <c r="AM202" s="45"/>
      <c r="AN202" s="45"/>
      <c r="AO202" s="45"/>
      <c r="AP202" s="45"/>
      <c r="AQ202" s="36"/>
      <c r="AR202" s="36"/>
      <c r="AS202" s="36"/>
      <c r="AT202" s="36"/>
      <c r="AU202" s="36"/>
      <c r="AV202" s="36"/>
      <c r="AW202" s="36"/>
      <c r="AX202" s="36"/>
      <c r="AY202" s="36"/>
      <c r="AZ202" s="36"/>
      <c r="BA202" s="36"/>
      <c r="BB202" s="36"/>
      <c r="BC202" s="36"/>
      <c r="BD202" s="36"/>
      <c r="BE202" s="36"/>
      <c r="BF202" s="36"/>
      <c r="BG202" s="36"/>
      <c r="BH202" s="36"/>
      <c r="BI202" s="36"/>
      <c r="BJ202" s="36"/>
      <c r="BK202" s="36"/>
      <c r="BL202" s="36"/>
      <c r="BM202" s="36"/>
      <c r="BN202" s="36"/>
      <c r="BO202" s="36"/>
      <c r="BP202" s="36"/>
      <c r="BQ202" s="36"/>
    </row>
    <row r="203">
      <c r="A203" s="45"/>
      <c r="B203" s="45"/>
      <c r="C203" s="45"/>
      <c r="D203" s="45"/>
      <c r="E203" s="45"/>
      <c r="F203" s="45"/>
      <c r="G203" s="46"/>
      <c r="H203" s="46"/>
      <c r="I203" s="46"/>
      <c r="J203" s="46"/>
      <c r="K203" s="45"/>
      <c r="L203" s="45"/>
      <c r="M203" s="45"/>
      <c r="N203" s="45"/>
      <c r="O203" s="45"/>
      <c r="P203" s="45"/>
      <c r="Q203" s="45"/>
      <c r="R203" s="50"/>
      <c r="AD203" s="50"/>
      <c r="AE203" s="50"/>
      <c r="AF203" s="50"/>
      <c r="AG203" s="50"/>
      <c r="AH203" s="50"/>
      <c r="AI203" s="50"/>
      <c r="AJ203" s="45"/>
      <c r="AK203" s="45"/>
      <c r="AL203" s="45"/>
      <c r="AM203" s="45"/>
      <c r="AN203" s="45"/>
      <c r="AO203" s="45"/>
      <c r="AP203" s="45"/>
      <c r="AQ203" s="36"/>
      <c r="AR203" s="36"/>
      <c r="AS203" s="36"/>
      <c r="AT203" s="36"/>
      <c r="AU203" s="36"/>
      <c r="AV203" s="36"/>
      <c r="AW203" s="36"/>
      <c r="AX203" s="36"/>
      <c r="AY203" s="36"/>
      <c r="AZ203" s="36"/>
      <c r="BA203" s="36"/>
      <c r="BB203" s="36"/>
      <c r="BC203" s="36"/>
      <c r="BD203" s="36"/>
      <c r="BE203" s="36"/>
      <c r="BF203" s="36"/>
      <c r="BG203" s="36"/>
      <c r="BH203" s="36"/>
      <c r="BI203" s="36"/>
      <c r="BJ203" s="36"/>
      <c r="BK203" s="36"/>
      <c r="BL203" s="36"/>
      <c r="BM203" s="36"/>
      <c r="BN203" s="36"/>
      <c r="BO203" s="36"/>
      <c r="BP203" s="36"/>
      <c r="BQ203" s="36"/>
    </row>
    <row r="204">
      <c r="A204" s="45"/>
      <c r="B204" s="45"/>
      <c r="C204" s="45"/>
      <c r="D204" s="45"/>
      <c r="E204" s="45"/>
      <c r="F204" s="45"/>
      <c r="G204" s="46"/>
      <c r="H204" s="46"/>
      <c r="I204" s="46"/>
      <c r="J204" s="46"/>
      <c r="K204" s="45"/>
      <c r="L204" s="45"/>
      <c r="M204" s="45"/>
      <c r="N204" s="45"/>
      <c r="O204" s="45"/>
      <c r="P204" s="45"/>
      <c r="Q204" s="45"/>
      <c r="R204" s="50"/>
      <c r="AD204" s="50"/>
      <c r="AE204" s="50"/>
      <c r="AF204" s="50"/>
      <c r="AG204" s="50"/>
      <c r="AH204" s="50"/>
      <c r="AI204" s="50"/>
      <c r="AJ204" s="45"/>
      <c r="AK204" s="45"/>
      <c r="AL204" s="45"/>
      <c r="AM204" s="45"/>
      <c r="AN204" s="45"/>
      <c r="AO204" s="45"/>
      <c r="AP204" s="45"/>
      <c r="AQ204" s="36"/>
      <c r="AR204" s="36"/>
      <c r="AS204" s="36"/>
      <c r="AT204" s="36"/>
      <c r="AU204" s="36"/>
      <c r="AV204" s="36"/>
      <c r="AW204" s="36"/>
      <c r="AX204" s="36"/>
      <c r="AY204" s="36"/>
      <c r="AZ204" s="36"/>
      <c r="BA204" s="36"/>
      <c r="BB204" s="36"/>
      <c r="BC204" s="36"/>
      <c r="BD204" s="36"/>
      <c r="BE204" s="36"/>
      <c r="BF204" s="36"/>
      <c r="BG204" s="36"/>
      <c r="BH204" s="36"/>
      <c r="BI204" s="36"/>
      <c r="BJ204" s="36"/>
      <c r="BK204" s="36"/>
      <c r="BL204" s="36"/>
      <c r="BM204" s="36"/>
      <c r="BN204" s="36"/>
      <c r="BO204" s="36"/>
      <c r="BP204" s="36"/>
      <c r="BQ204" s="36"/>
    </row>
    <row r="205">
      <c r="A205" s="45"/>
      <c r="B205" s="45"/>
      <c r="C205" s="45"/>
      <c r="D205" s="45"/>
      <c r="E205" s="45"/>
      <c r="F205" s="45"/>
      <c r="G205" s="46"/>
      <c r="H205" s="46"/>
      <c r="I205" s="46"/>
      <c r="J205" s="46"/>
      <c r="K205" s="45"/>
      <c r="L205" s="45"/>
      <c r="M205" s="45"/>
      <c r="N205" s="45"/>
      <c r="O205" s="45"/>
      <c r="P205" s="45"/>
      <c r="Q205" s="45"/>
      <c r="R205" s="50"/>
      <c r="AD205" s="50"/>
      <c r="AE205" s="50"/>
      <c r="AF205" s="50"/>
      <c r="AG205" s="50"/>
      <c r="AH205" s="50"/>
      <c r="AI205" s="50"/>
      <c r="AJ205" s="45"/>
      <c r="AK205" s="45"/>
      <c r="AL205" s="45"/>
      <c r="AM205" s="45"/>
      <c r="AN205" s="45"/>
      <c r="AO205" s="45"/>
      <c r="AP205" s="45"/>
      <c r="AQ205" s="36"/>
      <c r="AR205" s="36"/>
      <c r="AS205" s="36"/>
      <c r="AT205" s="36"/>
      <c r="AU205" s="36"/>
      <c r="AV205" s="36"/>
      <c r="AW205" s="36"/>
      <c r="AX205" s="36"/>
      <c r="AY205" s="36"/>
      <c r="AZ205" s="36"/>
      <c r="BA205" s="36"/>
      <c r="BB205" s="36"/>
      <c r="BC205" s="36"/>
      <c r="BD205" s="36"/>
      <c r="BE205" s="36"/>
      <c r="BF205" s="36"/>
      <c r="BG205" s="36"/>
      <c r="BH205" s="36"/>
      <c r="BI205" s="36"/>
      <c r="BJ205" s="36"/>
      <c r="BK205" s="36"/>
      <c r="BL205" s="36"/>
      <c r="BM205" s="36"/>
      <c r="BN205" s="36"/>
      <c r="BO205" s="36"/>
      <c r="BP205" s="36"/>
      <c r="BQ205" s="36"/>
    </row>
    <row r="206">
      <c r="A206" s="45"/>
      <c r="B206" s="45"/>
      <c r="C206" s="45"/>
      <c r="D206" s="45"/>
      <c r="E206" s="45"/>
      <c r="F206" s="45"/>
      <c r="G206" s="46"/>
      <c r="H206" s="46"/>
      <c r="I206" s="46"/>
      <c r="J206" s="46"/>
      <c r="K206" s="45"/>
      <c r="L206" s="45"/>
      <c r="M206" s="45"/>
      <c r="N206" s="45"/>
      <c r="O206" s="45"/>
      <c r="P206" s="45"/>
      <c r="Q206" s="45"/>
      <c r="R206" s="42"/>
      <c r="AD206" s="42"/>
      <c r="AE206" s="42"/>
      <c r="AF206" s="42"/>
      <c r="AG206" s="42"/>
      <c r="AH206" s="42"/>
      <c r="AI206" s="42"/>
      <c r="AJ206" s="45"/>
      <c r="AK206" s="45"/>
      <c r="AL206" s="45"/>
      <c r="AM206" s="45"/>
      <c r="AN206" s="45"/>
      <c r="AO206" s="45"/>
      <c r="AP206" s="45"/>
      <c r="AQ206" s="36"/>
      <c r="AR206" s="36"/>
      <c r="AS206" s="36"/>
      <c r="AT206" s="36"/>
      <c r="AU206" s="36"/>
      <c r="AV206" s="36"/>
      <c r="AW206" s="36"/>
      <c r="AX206" s="36"/>
      <c r="AY206" s="36"/>
      <c r="AZ206" s="36"/>
      <c r="BA206" s="36"/>
      <c r="BB206" s="36"/>
      <c r="BC206" s="36"/>
      <c r="BD206" s="36"/>
      <c r="BE206" s="36"/>
      <c r="BF206" s="36"/>
      <c r="BG206" s="36"/>
      <c r="BH206" s="36"/>
      <c r="BI206" s="36"/>
      <c r="BJ206" s="36"/>
      <c r="BK206" s="36"/>
      <c r="BL206" s="36"/>
      <c r="BM206" s="36"/>
      <c r="BN206" s="36"/>
      <c r="BO206" s="36"/>
      <c r="BP206" s="36"/>
      <c r="BQ206" s="36"/>
    </row>
    <row r="207">
      <c r="A207" s="45"/>
      <c r="B207" s="45"/>
      <c r="C207" s="45"/>
      <c r="D207" s="45"/>
      <c r="E207" s="45"/>
      <c r="F207" s="45"/>
      <c r="G207" s="46"/>
      <c r="H207" s="46"/>
      <c r="I207" s="46"/>
      <c r="J207" s="46"/>
      <c r="K207" s="45"/>
      <c r="L207" s="45"/>
      <c r="M207" s="45"/>
      <c r="N207" s="45"/>
      <c r="O207" s="45"/>
      <c r="P207" s="45"/>
      <c r="Q207" s="45"/>
      <c r="R207" s="42"/>
      <c r="AD207" s="42"/>
      <c r="AE207" s="42"/>
      <c r="AF207" s="42"/>
      <c r="AG207" s="42"/>
      <c r="AH207" s="42"/>
      <c r="AI207" s="42"/>
      <c r="AJ207" s="45"/>
      <c r="AK207" s="45"/>
      <c r="AL207" s="45"/>
      <c r="AM207" s="45"/>
      <c r="AN207" s="45"/>
      <c r="AO207" s="45"/>
      <c r="AP207" s="45"/>
      <c r="AQ207" s="36"/>
      <c r="AR207" s="36"/>
      <c r="AS207" s="36"/>
      <c r="AT207" s="36"/>
      <c r="AU207" s="36"/>
      <c r="AV207" s="36"/>
      <c r="AW207" s="36"/>
      <c r="AX207" s="36"/>
      <c r="AY207" s="36"/>
      <c r="AZ207" s="36"/>
      <c r="BA207" s="36"/>
      <c r="BB207" s="36"/>
      <c r="BC207" s="36"/>
      <c r="BD207" s="36"/>
      <c r="BE207" s="36"/>
      <c r="BF207" s="36"/>
      <c r="BG207" s="36"/>
      <c r="BH207" s="36"/>
      <c r="BI207" s="36"/>
      <c r="BJ207" s="36"/>
      <c r="BK207" s="36"/>
      <c r="BL207" s="36"/>
      <c r="BM207" s="36"/>
      <c r="BN207" s="36"/>
      <c r="BO207" s="36"/>
      <c r="BP207" s="36"/>
      <c r="BQ207" s="36"/>
    </row>
    <row r="208">
      <c r="A208" s="45"/>
      <c r="B208" s="45"/>
      <c r="C208" s="45"/>
      <c r="D208" s="45"/>
      <c r="E208" s="45"/>
      <c r="F208" s="45"/>
      <c r="G208" s="46"/>
      <c r="H208" s="46"/>
      <c r="I208" s="46"/>
      <c r="J208" s="46"/>
      <c r="K208" s="45"/>
      <c r="L208" s="45"/>
      <c r="M208" s="45"/>
      <c r="N208" s="45"/>
      <c r="O208" s="45"/>
      <c r="P208" s="45"/>
      <c r="Q208" s="45"/>
      <c r="R208" s="42"/>
      <c r="AD208" s="42"/>
      <c r="AE208" s="42"/>
      <c r="AF208" s="42"/>
      <c r="AG208" s="42"/>
      <c r="AH208" s="42"/>
      <c r="AI208" s="42"/>
      <c r="AJ208" s="45"/>
      <c r="AK208" s="45"/>
      <c r="AL208" s="45"/>
      <c r="AM208" s="45"/>
      <c r="AN208" s="45"/>
      <c r="AO208" s="45"/>
      <c r="AP208" s="45"/>
      <c r="AQ208" s="36"/>
      <c r="AR208" s="36"/>
      <c r="AS208" s="36"/>
      <c r="AT208" s="36"/>
      <c r="AU208" s="36"/>
      <c r="AV208" s="36"/>
      <c r="AW208" s="36"/>
      <c r="AX208" s="36"/>
      <c r="AY208" s="36"/>
      <c r="AZ208" s="36"/>
      <c r="BA208" s="36"/>
      <c r="BB208" s="36"/>
      <c r="BC208" s="36"/>
      <c r="BD208" s="36"/>
      <c r="BE208" s="36"/>
      <c r="BF208" s="36"/>
      <c r="BG208" s="36"/>
      <c r="BH208" s="36"/>
      <c r="BI208" s="36"/>
      <c r="BJ208" s="36"/>
      <c r="BK208" s="36"/>
      <c r="BL208" s="36"/>
      <c r="BM208" s="36"/>
      <c r="BN208" s="36"/>
      <c r="BO208" s="36"/>
      <c r="BP208" s="36"/>
      <c r="BQ208" s="36"/>
    </row>
    <row r="209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2"/>
      <c r="AD209" s="42"/>
      <c r="AE209" s="42"/>
      <c r="AF209" s="42"/>
      <c r="AG209" s="42"/>
      <c r="AH209" s="42"/>
      <c r="AI209" s="42"/>
      <c r="AJ209" s="45"/>
      <c r="AK209" s="45"/>
      <c r="AL209" s="45"/>
      <c r="AM209" s="45"/>
      <c r="AN209" s="45"/>
      <c r="AO209" s="45"/>
      <c r="AP209" s="45"/>
      <c r="AQ209" s="36"/>
      <c r="AR209" s="36"/>
      <c r="AS209" s="36"/>
      <c r="AT209" s="36"/>
      <c r="AU209" s="36"/>
      <c r="AV209" s="36"/>
      <c r="AW209" s="36"/>
      <c r="AX209" s="36"/>
      <c r="AY209" s="36"/>
      <c r="AZ209" s="36"/>
      <c r="BA209" s="36"/>
      <c r="BB209" s="36"/>
      <c r="BC209" s="36"/>
      <c r="BD209" s="36"/>
      <c r="BE209" s="36"/>
      <c r="BF209" s="36"/>
      <c r="BG209" s="36"/>
      <c r="BH209" s="36"/>
      <c r="BI209" s="36"/>
      <c r="BJ209" s="36"/>
      <c r="BK209" s="36"/>
      <c r="BL209" s="36"/>
      <c r="BM209" s="36"/>
      <c r="BN209" s="36"/>
      <c r="BO209" s="36"/>
      <c r="BP209" s="36"/>
      <c r="BQ209" s="36"/>
    </row>
    <row r="210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2"/>
      <c r="AD210" s="42"/>
      <c r="AE210" s="42"/>
      <c r="AF210" s="42"/>
      <c r="AG210" s="42"/>
      <c r="AH210" s="42"/>
      <c r="AI210" s="42"/>
      <c r="AJ210" s="45"/>
      <c r="AK210" s="45"/>
      <c r="AL210" s="45"/>
      <c r="AM210" s="45"/>
      <c r="AN210" s="45"/>
      <c r="AO210" s="45"/>
      <c r="AP210" s="45"/>
      <c r="AQ210" s="36"/>
      <c r="AR210" s="36"/>
      <c r="AS210" s="36"/>
      <c r="AT210" s="36"/>
      <c r="AU210" s="36"/>
      <c r="AV210" s="36"/>
      <c r="AW210" s="36"/>
      <c r="AX210" s="36"/>
      <c r="AY210" s="36"/>
      <c r="AZ210" s="36"/>
      <c r="BA210" s="36"/>
      <c r="BB210" s="36"/>
      <c r="BC210" s="36"/>
      <c r="BD210" s="36"/>
      <c r="BE210" s="36"/>
      <c r="BF210" s="36"/>
      <c r="BG210" s="36"/>
      <c r="BH210" s="36"/>
      <c r="BI210" s="36"/>
      <c r="BJ210" s="36"/>
      <c r="BK210" s="36"/>
      <c r="BL210" s="36"/>
      <c r="BM210" s="36"/>
      <c r="BN210" s="36"/>
      <c r="BO210" s="36"/>
      <c r="BP210" s="36"/>
      <c r="BQ210" s="36"/>
    </row>
    <row r="21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2"/>
      <c r="AD211" s="42"/>
      <c r="AE211" s="42"/>
      <c r="AF211" s="42"/>
      <c r="AG211" s="42"/>
      <c r="AH211" s="42"/>
      <c r="AI211" s="42"/>
      <c r="AJ211" s="45"/>
      <c r="AK211" s="45"/>
      <c r="AL211" s="45"/>
      <c r="AM211" s="45"/>
      <c r="AN211" s="45"/>
      <c r="AO211" s="45"/>
      <c r="AP211" s="45"/>
      <c r="AQ211" s="36"/>
      <c r="AR211" s="36"/>
      <c r="AS211" s="36"/>
      <c r="AT211" s="36"/>
      <c r="AU211" s="36"/>
      <c r="AV211" s="36"/>
      <c r="AW211" s="36"/>
      <c r="AX211" s="36"/>
      <c r="AY211" s="36"/>
      <c r="AZ211" s="36"/>
      <c r="BA211" s="36"/>
      <c r="BB211" s="36"/>
      <c r="BC211" s="36"/>
      <c r="BD211" s="36"/>
      <c r="BE211" s="36"/>
      <c r="BF211" s="36"/>
      <c r="BG211" s="36"/>
      <c r="BH211" s="36"/>
      <c r="BI211" s="36"/>
      <c r="BJ211" s="36"/>
      <c r="BK211" s="36"/>
      <c r="BL211" s="36"/>
      <c r="BM211" s="36"/>
      <c r="BN211" s="36"/>
      <c r="BO211" s="36"/>
      <c r="BP211" s="36"/>
      <c r="BQ211" s="36"/>
    </row>
    <row r="212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2"/>
      <c r="AD212" s="42"/>
      <c r="AE212" s="42"/>
      <c r="AF212" s="42"/>
      <c r="AG212" s="42"/>
      <c r="AH212" s="42"/>
      <c r="AI212" s="42"/>
      <c r="AJ212" s="45"/>
      <c r="AK212" s="45"/>
      <c r="AL212" s="45"/>
      <c r="AM212" s="45"/>
      <c r="AN212" s="45"/>
      <c r="AO212" s="45"/>
      <c r="AP212" s="45"/>
      <c r="AQ212" s="36"/>
      <c r="AR212" s="36"/>
      <c r="AS212" s="36"/>
      <c r="AT212" s="36"/>
      <c r="AU212" s="36"/>
      <c r="AV212" s="36"/>
      <c r="AW212" s="36"/>
      <c r="AX212" s="36"/>
      <c r="AY212" s="36"/>
      <c r="AZ212" s="36"/>
      <c r="BA212" s="36"/>
      <c r="BB212" s="36"/>
      <c r="BC212" s="36"/>
      <c r="BD212" s="36"/>
      <c r="BE212" s="36"/>
      <c r="BF212" s="36"/>
      <c r="BG212" s="36"/>
      <c r="BH212" s="36"/>
      <c r="BI212" s="36"/>
      <c r="BJ212" s="36"/>
      <c r="BK212" s="36"/>
      <c r="BL212" s="36"/>
      <c r="BM212" s="36"/>
      <c r="BN212" s="36"/>
      <c r="BO212" s="36"/>
      <c r="BP212" s="36"/>
      <c r="BQ212" s="36"/>
    </row>
    <row r="213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2"/>
      <c r="AD213" s="42"/>
      <c r="AE213" s="42"/>
      <c r="AF213" s="42"/>
      <c r="AG213" s="42"/>
      <c r="AH213" s="42"/>
      <c r="AI213" s="42"/>
      <c r="AJ213" s="45"/>
      <c r="AK213" s="45"/>
      <c r="AL213" s="45"/>
      <c r="AM213" s="45"/>
      <c r="AN213" s="45"/>
      <c r="AO213" s="45"/>
      <c r="AP213" s="45"/>
      <c r="AQ213" s="36"/>
      <c r="AR213" s="36"/>
      <c r="AS213" s="36"/>
      <c r="AT213" s="36"/>
      <c r="AU213" s="36"/>
      <c r="AV213" s="36"/>
      <c r="AW213" s="36"/>
      <c r="AX213" s="36"/>
      <c r="AY213" s="36"/>
      <c r="AZ213" s="36"/>
      <c r="BA213" s="36"/>
      <c r="BB213" s="36"/>
      <c r="BC213" s="36"/>
      <c r="BD213" s="36"/>
      <c r="BE213" s="36"/>
      <c r="BF213" s="36"/>
      <c r="BG213" s="36"/>
      <c r="BH213" s="36"/>
      <c r="BI213" s="36"/>
      <c r="BJ213" s="36"/>
      <c r="BK213" s="36"/>
      <c r="BL213" s="36"/>
      <c r="BM213" s="36"/>
      <c r="BN213" s="36"/>
      <c r="BO213" s="36"/>
      <c r="BP213" s="36"/>
      <c r="BQ213" s="36"/>
    </row>
    <row r="214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2"/>
      <c r="AD214" s="42"/>
      <c r="AE214" s="42"/>
      <c r="AF214" s="42"/>
      <c r="AG214" s="42"/>
      <c r="AH214" s="42"/>
      <c r="AI214" s="42"/>
      <c r="AJ214" s="45"/>
      <c r="AK214" s="45"/>
      <c r="AL214" s="45"/>
      <c r="AM214" s="45"/>
      <c r="AN214" s="45"/>
      <c r="AO214" s="45"/>
      <c r="AP214" s="45"/>
      <c r="AQ214" s="36"/>
      <c r="AR214" s="36"/>
      <c r="AS214" s="36"/>
      <c r="AT214" s="36"/>
      <c r="AU214" s="36"/>
      <c r="AV214" s="36"/>
      <c r="AW214" s="36"/>
      <c r="AX214" s="36"/>
      <c r="AY214" s="36"/>
      <c r="AZ214" s="36"/>
      <c r="BA214" s="36"/>
      <c r="BB214" s="36"/>
      <c r="BC214" s="36"/>
      <c r="BD214" s="36"/>
      <c r="BE214" s="36"/>
      <c r="BF214" s="36"/>
      <c r="BG214" s="36"/>
      <c r="BH214" s="36"/>
      <c r="BI214" s="36"/>
      <c r="BJ214" s="36"/>
      <c r="BK214" s="36"/>
      <c r="BL214" s="36"/>
      <c r="BM214" s="36"/>
      <c r="BN214" s="36"/>
      <c r="BO214" s="36"/>
      <c r="BP214" s="36"/>
      <c r="BQ214" s="36"/>
    </row>
    <row r="21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2"/>
      <c r="AD215" s="42"/>
      <c r="AE215" s="42"/>
      <c r="AF215" s="42"/>
      <c r="AG215" s="42"/>
      <c r="AH215" s="42"/>
      <c r="AI215" s="42"/>
      <c r="AJ215" s="45"/>
      <c r="AK215" s="45"/>
      <c r="AL215" s="45"/>
      <c r="AM215" s="45"/>
      <c r="AN215" s="45"/>
      <c r="AO215" s="45"/>
      <c r="AP215" s="45"/>
      <c r="AQ215" s="36"/>
      <c r="AR215" s="36"/>
      <c r="AS215" s="36"/>
      <c r="AT215" s="36"/>
      <c r="AU215" s="36"/>
      <c r="AV215" s="36"/>
      <c r="AW215" s="36"/>
      <c r="AX215" s="36"/>
      <c r="AY215" s="36"/>
      <c r="AZ215" s="36"/>
      <c r="BA215" s="36"/>
      <c r="BB215" s="36"/>
      <c r="BC215" s="36"/>
      <c r="BD215" s="36"/>
      <c r="BE215" s="36"/>
      <c r="BF215" s="36"/>
      <c r="BG215" s="36"/>
      <c r="BH215" s="36"/>
      <c r="BI215" s="36"/>
      <c r="BJ215" s="36"/>
      <c r="BK215" s="36"/>
      <c r="BL215" s="36"/>
      <c r="BM215" s="36"/>
      <c r="BN215" s="36"/>
      <c r="BO215" s="36"/>
      <c r="BP215" s="36"/>
      <c r="BQ215" s="36"/>
    </row>
    <row r="216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2"/>
      <c r="AD216" s="42"/>
      <c r="AE216" s="42"/>
      <c r="AF216" s="42"/>
      <c r="AG216" s="42"/>
      <c r="AH216" s="42"/>
      <c r="AI216" s="42"/>
      <c r="AJ216" s="45"/>
      <c r="AK216" s="45"/>
      <c r="AL216" s="45"/>
      <c r="AM216" s="45"/>
      <c r="AN216" s="45"/>
      <c r="AO216" s="45"/>
      <c r="AP216" s="45"/>
      <c r="AQ216" s="36"/>
      <c r="AR216" s="36"/>
      <c r="AS216" s="36"/>
      <c r="AT216" s="36"/>
      <c r="AU216" s="36"/>
      <c r="AV216" s="36"/>
      <c r="AW216" s="36"/>
      <c r="AX216" s="36"/>
      <c r="AY216" s="36"/>
      <c r="AZ216" s="36"/>
      <c r="BA216" s="36"/>
      <c r="BB216" s="36"/>
      <c r="BC216" s="36"/>
      <c r="BD216" s="36"/>
      <c r="BE216" s="36"/>
      <c r="BF216" s="36"/>
      <c r="BG216" s="36"/>
      <c r="BH216" s="36"/>
      <c r="BI216" s="36"/>
      <c r="BJ216" s="36"/>
      <c r="BK216" s="36"/>
      <c r="BL216" s="36"/>
      <c r="BM216" s="36"/>
      <c r="BN216" s="36"/>
      <c r="BO216" s="36"/>
      <c r="BP216" s="36"/>
      <c r="BQ216" s="36"/>
    </row>
    <row r="217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2"/>
      <c r="AD217" s="42"/>
      <c r="AE217" s="42"/>
      <c r="AF217" s="42"/>
      <c r="AG217" s="42"/>
      <c r="AH217" s="42"/>
      <c r="AI217" s="42"/>
      <c r="AJ217" s="45"/>
      <c r="AK217" s="45"/>
      <c r="AL217" s="45"/>
      <c r="AM217" s="45"/>
      <c r="AN217" s="45"/>
      <c r="AO217" s="45"/>
      <c r="AP217" s="45"/>
      <c r="AQ217" s="36"/>
      <c r="AR217" s="36"/>
      <c r="AS217" s="36"/>
      <c r="AT217" s="36"/>
      <c r="AU217" s="36"/>
      <c r="AV217" s="36"/>
      <c r="AW217" s="36"/>
      <c r="AX217" s="36"/>
      <c r="AY217" s="36"/>
      <c r="AZ217" s="36"/>
      <c r="BA217" s="36"/>
      <c r="BB217" s="36"/>
      <c r="BC217" s="36"/>
      <c r="BD217" s="36"/>
      <c r="BE217" s="36"/>
      <c r="BF217" s="36"/>
      <c r="BG217" s="36"/>
      <c r="BH217" s="36"/>
      <c r="BI217" s="36"/>
      <c r="BJ217" s="36"/>
      <c r="BK217" s="36"/>
      <c r="BL217" s="36"/>
      <c r="BM217" s="36"/>
      <c r="BN217" s="36"/>
      <c r="BO217" s="36"/>
      <c r="BP217" s="36"/>
      <c r="BQ217" s="36"/>
    </row>
    <row r="218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2"/>
      <c r="AD218" s="42"/>
      <c r="AE218" s="42"/>
      <c r="AF218" s="42"/>
      <c r="AG218" s="42"/>
      <c r="AH218" s="42"/>
      <c r="AI218" s="42"/>
      <c r="AJ218" s="45"/>
      <c r="AK218" s="45"/>
      <c r="AL218" s="45"/>
      <c r="AM218" s="45"/>
      <c r="AN218" s="45"/>
      <c r="AO218" s="45"/>
      <c r="AP218" s="45"/>
      <c r="AQ218" s="36"/>
      <c r="AR218" s="36"/>
      <c r="AS218" s="36"/>
      <c r="AT218" s="36"/>
      <c r="AU218" s="36"/>
      <c r="AV218" s="36"/>
      <c r="AW218" s="36"/>
      <c r="AX218" s="36"/>
      <c r="AY218" s="36"/>
      <c r="AZ218" s="36"/>
      <c r="BA218" s="36"/>
      <c r="BB218" s="36"/>
      <c r="BC218" s="36"/>
      <c r="BD218" s="36"/>
      <c r="BE218" s="36"/>
      <c r="BF218" s="36"/>
      <c r="BG218" s="36"/>
      <c r="BH218" s="36"/>
      <c r="BI218" s="36"/>
      <c r="BJ218" s="36"/>
      <c r="BK218" s="36"/>
      <c r="BL218" s="36"/>
      <c r="BM218" s="36"/>
      <c r="BN218" s="36"/>
      <c r="BO218" s="36"/>
      <c r="BP218" s="36"/>
      <c r="BQ218" s="36"/>
    </row>
    <row r="219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2"/>
      <c r="AD219" s="42"/>
      <c r="AE219" s="42"/>
      <c r="AF219" s="42"/>
      <c r="AG219" s="42"/>
      <c r="AH219" s="42"/>
      <c r="AI219" s="42"/>
      <c r="AJ219" s="45"/>
      <c r="AK219" s="45"/>
      <c r="AL219" s="45"/>
      <c r="AM219" s="45"/>
      <c r="AN219" s="45"/>
      <c r="AO219" s="45"/>
      <c r="AP219" s="45"/>
      <c r="AQ219" s="36"/>
      <c r="AR219" s="36"/>
      <c r="AS219" s="36"/>
      <c r="AT219" s="36"/>
      <c r="AU219" s="36"/>
      <c r="AV219" s="36"/>
      <c r="AW219" s="36"/>
      <c r="AX219" s="36"/>
      <c r="AY219" s="36"/>
      <c r="AZ219" s="36"/>
      <c r="BA219" s="36"/>
      <c r="BB219" s="36"/>
      <c r="BC219" s="36"/>
      <c r="BD219" s="36"/>
      <c r="BE219" s="36"/>
      <c r="BF219" s="36"/>
      <c r="BG219" s="36"/>
      <c r="BH219" s="36"/>
      <c r="BI219" s="36"/>
      <c r="BJ219" s="36"/>
      <c r="BK219" s="36"/>
      <c r="BL219" s="36"/>
      <c r="BM219" s="36"/>
      <c r="BN219" s="36"/>
      <c r="BO219" s="36"/>
      <c r="BP219" s="36"/>
      <c r="BQ219" s="36"/>
    </row>
    <row r="220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2"/>
      <c r="AD220" s="42"/>
      <c r="AE220" s="42"/>
      <c r="AF220" s="42"/>
      <c r="AG220" s="42"/>
      <c r="AH220" s="42"/>
      <c r="AI220" s="42"/>
      <c r="AJ220" s="45"/>
      <c r="AK220" s="45"/>
      <c r="AL220" s="45"/>
      <c r="AM220" s="45"/>
      <c r="AN220" s="45"/>
      <c r="AO220" s="45"/>
      <c r="AP220" s="45"/>
      <c r="AQ220" s="36"/>
      <c r="AR220" s="36"/>
      <c r="AS220" s="36"/>
      <c r="AT220" s="36"/>
      <c r="AU220" s="36"/>
      <c r="AV220" s="36"/>
      <c r="AW220" s="36"/>
      <c r="AX220" s="36"/>
      <c r="AY220" s="36"/>
      <c r="AZ220" s="36"/>
      <c r="BA220" s="36"/>
      <c r="BB220" s="36"/>
      <c r="BC220" s="36"/>
      <c r="BD220" s="36"/>
      <c r="BE220" s="36"/>
      <c r="BF220" s="36"/>
      <c r="BG220" s="36"/>
      <c r="BH220" s="36"/>
      <c r="BI220" s="36"/>
      <c r="BJ220" s="36"/>
      <c r="BK220" s="36"/>
      <c r="BL220" s="36"/>
      <c r="BM220" s="36"/>
      <c r="BN220" s="36"/>
      <c r="BO220" s="36"/>
      <c r="BP220" s="36"/>
      <c r="BQ220" s="36"/>
    </row>
    <row r="22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2"/>
      <c r="AD221" s="42"/>
      <c r="AE221" s="42"/>
      <c r="AF221" s="42"/>
      <c r="AG221" s="42"/>
      <c r="AH221" s="42"/>
      <c r="AI221" s="42"/>
      <c r="AJ221" s="45"/>
      <c r="AK221" s="45"/>
      <c r="AL221" s="45"/>
      <c r="AM221" s="45"/>
      <c r="AN221" s="45"/>
      <c r="AO221" s="45"/>
      <c r="AP221" s="45"/>
      <c r="AQ221" s="36"/>
      <c r="AR221" s="36"/>
      <c r="AS221" s="36"/>
      <c r="AT221" s="36"/>
      <c r="AU221" s="36"/>
      <c r="AV221" s="36"/>
      <c r="AW221" s="36"/>
      <c r="AX221" s="36"/>
      <c r="AY221" s="36"/>
      <c r="AZ221" s="36"/>
      <c r="BA221" s="36"/>
      <c r="BB221" s="36"/>
      <c r="BC221" s="36"/>
      <c r="BD221" s="36"/>
      <c r="BE221" s="36"/>
      <c r="BF221" s="36"/>
      <c r="BG221" s="36"/>
      <c r="BH221" s="36"/>
      <c r="BI221" s="36"/>
      <c r="BJ221" s="36"/>
      <c r="BK221" s="36"/>
      <c r="BL221" s="36"/>
      <c r="BM221" s="36"/>
      <c r="BN221" s="36"/>
      <c r="BO221" s="36"/>
      <c r="BP221" s="36"/>
      <c r="BQ221" s="36"/>
    </row>
    <row r="222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2"/>
      <c r="AD222" s="42"/>
      <c r="AE222" s="42"/>
      <c r="AF222" s="42"/>
      <c r="AG222" s="42"/>
      <c r="AH222" s="42"/>
      <c r="AI222" s="42"/>
      <c r="AK222" s="45"/>
      <c r="AL222" s="45"/>
      <c r="AM222" s="45"/>
      <c r="AN222" s="45"/>
      <c r="AO222" s="45"/>
      <c r="AP222" s="45"/>
      <c r="AQ222" s="36"/>
      <c r="AR222" s="36"/>
      <c r="AS222" s="36"/>
      <c r="AT222" s="36"/>
      <c r="AU222" s="36"/>
      <c r="AV222" s="36"/>
      <c r="AW222" s="36"/>
      <c r="AX222" s="36"/>
      <c r="AY222" s="36"/>
      <c r="AZ222" s="36"/>
      <c r="BA222" s="36"/>
      <c r="BB222" s="36"/>
      <c r="BC222" s="36"/>
      <c r="BD222" s="36"/>
      <c r="BE222" s="36"/>
      <c r="BF222" s="36"/>
      <c r="BG222" s="36"/>
      <c r="BH222" s="36"/>
      <c r="BI222" s="36"/>
      <c r="BJ222" s="36"/>
      <c r="BK222" s="36"/>
      <c r="BL222" s="36"/>
      <c r="BM222" s="36"/>
      <c r="BN222" s="36"/>
      <c r="BO222" s="36"/>
      <c r="BP222" s="36"/>
      <c r="BQ222" s="36"/>
    </row>
    <row r="223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2"/>
      <c r="AD223" s="42"/>
      <c r="AE223" s="42"/>
      <c r="AF223" s="42"/>
      <c r="AG223" s="42"/>
      <c r="AH223" s="42"/>
      <c r="AI223" s="42"/>
      <c r="AK223" s="45"/>
      <c r="AL223" s="45"/>
      <c r="AM223" s="45"/>
      <c r="AN223" s="45"/>
      <c r="AO223" s="45"/>
      <c r="AP223" s="45"/>
      <c r="AQ223" s="36"/>
      <c r="AR223" s="36"/>
      <c r="AS223" s="36"/>
      <c r="AT223" s="36"/>
      <c r="AU223" s="36"/>
      <c r="AV223" s="36"/>
      <c r="AW223" s="36"/>
      <c r="AX223" s="36"/>
      <c r="AY223" s="36"/>
      <c r="AZ223" s="36"/>
      <c r="BA223" s="36"/>
      <c r="BB223" s="36"/>
      <c r="BC223" s="36"/>
      <c r="BD223" s="36"/>
      <c r="BE223" s="36"/>
      <c r="BF223" s="36"/>
      <c r="BG223" s="36"/>
      <c r="BH223" s="36"/>
      <c r="BI223" s="36"/>
      <c r="BJ223" s="36"/>
      <c r="BK223" s="36"/>
      <c r="BL223" s="36"/>
      <c r="BM223" s="36"/>
      <c r="BN223" s="36"/>
      <c r="BO223" s="36"/>
      <c r="BP223" s="36"/>
      <c r="BQ223" s="36"/>
    </row>
    <row r="224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2"/>
      <c r="AD224" s="42"/>
      <c r="AE224" s="42"/>
      <c r="AF224" s="42"/>
      <c r="AG224" s="42"/>
      <c r="AH224" s="42"/>
      <c r="AI224" s="42"/>
      <c r="AK224" s="45"/>
      <c r="AL224" s="45"/>
      <c r="AM224" s="45"/>
      <c r="AN224" s="45"/>
      <c r="AO224" s="45"/>
      <c r="AP224" s="45"/>
      <c r="AQ224" s="36"/>
      <c r="AR224" s="36"/>
      <c r="AS224" s="36"/>
      <c r="AT224" s="36"/>
      <c r="AU224" s="36"/>
      <c r="AV224" s="36"/>
      <c r="AW224" s="36"/>
      <c r="AX224" s="36"/>
      <c r="AY224" s="36"/>
      <c r="AZ224" s="36"/>
      <c r="BA224" s="36"/>
      <c r="BB224" s="36"/>
      <c r="BC224" s="36"/>
      <c r="BD224" s="36"/>
      <c r="BE224" s="36"/>
      <c r="BF224" s="36"/>
      <c r="BG224" s="36"/>
      <c r="BH224" s="36"/>
      <c r="BI224" s="36"/>
      <c r="BJ224" s="36"/>
      <c r="BK224" s="36"/>
      <c r="BL224" s="36"/>
      <c r="BM224" s="36"/>
      <c r="BN224" s="36"/>
      <c r="BO224" s="36"/>
      <c r="BP224" s="36"/>
      <c r="BQ224" s="36"/>
    </row>
    <row r="22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2"/>
      <c r="AD225" s="42"/>
      <c r="AE225" s="42"/>
      <c r="AF225" s="42"/>
      <c r="AG225" s="42"/>
      <c r="AH225" s="42"/>
      <c r="AI225" s="42"/>
      <c r="AK225" s="45"/>
      <c r="AL225" s="45"/>
      <c r="AM225" s="45"/>
      <c r="AN225" s="45"/>
      <c r="AO225" s="45"/>
      <c r="AP225" s="45"/>
      <c r="AQ225" s="36"/>
      <c r="AR225" s="36"/>
      <c r="AS225" s="36"/>
      <c r="AT225" s="36"/>
      <c r="AU225" s="36"/>
      <c r="AV225" s="36"/>
      <c r="AW225" s="36"/>
      <c r="AX225" s="36"/>
      <c r="AY225" s="36"/>
      <c r="AZ225" s="36"/>
      <c r="BA225" s="36"/>
      <c r="BB225" s="36"/>
      <c r="BC225" s="36"/>
      <c r="BD225" s="36"/>
      <c r="BE225" s="36"/>
      <c r="BF225" s="36"/>
      <c r="BG225" s="36"/>
      <c r="BH225" s="36"/>
      <c r="BI225" s="36"/>
      <c r="BJ225" s="36"/>
      <c r="BK225" s="36"/>
      <c r="BL225" s="36"/>
      <c r="BM225" s="36"/>
      <c r="BN225" s="36"/>
      <c r="BO225" s="36"/>
      <c r="BP225" s="36"/>
      <c r="BQ225" s="36"/>
    </row>
    <row r="226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2"/>
      <c r="AD226" s="42"/>
      <c r="AE226" s="42"/>
      <c r="AF226" s="42"/>
      <c r="AG226" s="42"/>
      <c r="AH226" s="42"/>
      <c r="AI226" s="42"/>
      <c r="AK226" s="45"/>
      <c r="AL226" s="45"/>
      <c r="AM226" s="45"/>
      <c r="AN226" s="45"/>
      <c r="AO226" s="45"/>
      <c r="AP226" s="45"/>
      <c r="AQ226" s="36"/>
      <c r="AR226" s="36"/>
      <c r="AS226" s="36"/>
      <c r="AT226" s="36"/>
      <c r="AU226" s="36"/>
      <c r="AV226" s="36"/>
      <c r="AW226" s="36"/>
      <c r="AX226" s="36"/>
      <c r="AY226" s="36"/>
      <c r="AZ226" s="36"/>
      <c r="BA226" s="36"/>
      <c r="BB226" s="36"/>
      <c r="BC226" s="36"/>
      <c r="BD226" s="36"/>
      <c r="BE226" s="36"/>
      <c r="BF226" s="36"/>
      <c r="BG226" s="36"/>
      <c r="BH226" s="36"/>
      <c r="BI226" s="36"/>
      <c r="BJ226" s="36"/>
      <c r="BK226" s="36"/>
      <c r="BL226" s="36"/>
      <c r="BM226" s="36"/>
      <c r="BN226" s="36"/>
      <c r="BO226" s="36"/>
      <c r="BP226" s="36"/>
      <c r="BQ226" s="36"/>
    </row>
    <row r="227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2"/>
      <c r="AD227" s="42"/>
      <c r="AE227" s="42"/>
      <c r="AF227" s="42"/>
      <c r="AG227" s="42"/>
      <c r="AH227" s="42"/>
      <c r="AI227" s="42"/>
      <c r="AK227" s="45"/>
      <c r="AL227" s="45"/>
      <c r="AM227" s="45"/>
      <c r="AN227" s="45"/>
      <c r="AO227" s="45"/>
      <c r="AP227" s="45"/>
      <c r="AQ227" s="36"/>
      <c r="AR227" s="36"/>
      <c r="AS227" s="36"/>
      <c r="AT227" s="36"/>
      <c r="AU227" s="36"/>
      <c r="AV227" s="36"/>
      <c r="AW227" s="36"/>
      <c r="AX227" s="36"/>
      <c r="AY227" s="36"/>
      <c r="AZ227" s="36"/>
      <c r="BA227" s="36"/>
      <c r="BB227" s="36"/>
      <c r="BC227" s="36"/>
      <c r="BD227" s="36"/>
      <c r="BE227" s="36"/>
      <c r="BF227" s="36"/>
      <c r="BG227" s="36"/>
      <c r="BH227" s="36"/>
      <c r="BI227" s="36"/>
      <c r="BJ227" s="36"/>
      <c r="BK227" s="36"/>
      <c r="BL227" s="36"/>
      <c r="BM227" s="36"/>
      <c r="BN227" s="36"/>
      <c r="BO227" s="36"/>
      <c r="BP227" s="36"/>
      <c r="BQ227" s="36"/>
    </row>
    <row r="228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2"/>
      <c r="AD228" s="42"/>
      <c r="AE228" s="42"/>
      <c r="AF228" s="42"/>
      <c r="AG228" s="42"/>
      <c r="AH228" s="42"/>
      <c r="AI228" s="42"/>
      <c r="AK228" s="45"/>
      <c r="AL228" s="45"/>
      <c r="AM228" s="45"/>
      <c r="AN228" s="45"/>
      <c r="AO228" s="45"/>
      <c r="AP228" s="45"/>
      <c r="AQ228" s="36"/>
      <c r="AR228" s="36"/>
      <c r="AS228" s="36"/>
      <c r="AT228" s="36"/>
      <c r="AU228" s="36"/>
      <c r="AV228" s="36"/>
      <c r="AW228" s="36"/>
      <c r="AX228" s="36"/>
      <c r="AY228" s="36"/>
      <c r="AZ228" s="36"/>
      <c r="BA228" s="36"/>
      <c r="BB228" s="36"/>
      <c r="BC228" s="36"/>
      <c r="BD228" s="36"/>
      <c r="BE228" s="36"/>
      <c r="BF228" s="36"/>
      <c r="BG228" s="36"/>
      <c r="BH228" s="36"/>
      <c r="BI228" s="36"/>
      <c r="BJ228" s="36"/>
      <c r="BK228" s="36"/>
      <c r="BL228" s="36"/>
      <c r="BM228" s="36"/>
      <c r="BN228" s="36"/>
      <c r="BO228" s="36"/>
      <c r="BP228" s="36"/>
      <c r="BQ228" s="36"/>
    </row>
    <row r="229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2"/>
      <c r="AD229" s="42"/>
      <c r="AE229" s="42"/>
      <c r="AF229" s="42"/>
      <c r="AG229" s="42"/>
      <c r="AH229" s="42"/>
      <c r="AI229" s="42"/>
      <c r="AK229" s="45"/>
      <c r="AL229" s="45"/>
      <c r="AM229" s="45"/>
      <c r="AN229" s="45"/>
      <c r="AO229" s="45"/>
      <c r="AP229" s="45"/>
      <c r="AQ229" s="36"/>
      <c r="AR229" s="36"/>
      <c r="AS229" s="36"/>
      <c r="AT229" s="36"/>
      <c r="AU229" s="36"/>
      <c r="AV229" s="36"/>
      <c r="AW229" s="36"/>
      <c r="AX229" s="36"/>
      <c r="AY229" s="36"/>
      <c r="AZ229" s="36"/>
      <c r="BA229" s="36"/>
      <c r="BB229" s="36"/>
      <c r="BC229" s="36"/>
      <c r="BD229" s="36"/>
      <c r="BE229" s="36"/>
      <c r="BF229" s="36"/>
      <c r="BG229" s="36"/>
      <c r="BH229" s="36"/>
      <c r="BI229" s="36"/>
      <c r="BJ229" s="36"/>
      <c r="BK229" s="36"/>
      <c r="BL229" s="36"/>
      <c r="BM229" s="36"/>
      <c r="BN229" s="36"/>
      <c r="BO229" s="36"/>
      <c r="BP229" s="36"/>
      <c r="BQ229" s="36"/>
    </row>
    <row r="230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2"/>
      <c r="AD230" s="42"/>
      <c r="AE230" s="42"/>
      <c r="AF230" s="42"/>
      <c r="AG230" s="42"/>
      <c r="AH230" s="42"/>
      <c r="AI230" s="42"/>
      <c r="AK230" s="45"/>
      <c r="AL230" s="45"/>
      <c r="AM230" s="45"/>
      <c r="AN230" s="45"/>
      <c r="AO230" s="45"/>
      <c r="AP230" s="45"/>
      <c r="AQ230" s="36"/>
      <c r="AR230" s="36"/>
      <c r="AS230" s="36"/>
      <c r="AT230" s="36"/>
      <c r="AU230" s="36"/>
      <c r="AV230" s="36"/>
      <c r="AW230" s="36"/>
      <c r="AX230" s="36"/>
      <c r="AY230" s="36"/>
      <c r="AZ230" s="36"/>
      <c r="BA230" s="36"/>
      <c r="BB230" s="36"/>
      <c r="BC230" s="36"/>
      <c r="BD230" s="36"/>
      <c r="BE230" s="36"/>
      <c r="BF230" s="36"/>
      <c r="BG230" s="36"/>
      <c r="BH230" s="36"/>
      <c r="BI230" s="36"/>
      <c r="BJ230" s="36"/>
      <c r="BK230" s="36"/>
      <c r="BL230" s="36"/>
      <c r="BM230" s="36"/>
      <c r="BN230" s="36"/>
      <c r="BO230" s="36"/>
      <c r="BP230" s="36"/>
      <c r="BQ230" s="36"/>
    </row>
    <row r="23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2"/>
      <c r="AD231" s="42"/>
      <c r="AE231" s="42"/>
      <c r="AF231" s="42"/>
      <c r="AG231" s="42"/>
      <c r="AH231" s="42"/>
      <c r="AI231" s="42"/>
      <c r="AK231" s="45"/>
      <c r="AL231" s="45"/>
      <c r="AM231" s="45"/>
      <c r="AN231" s="45"/>
      <c r="AO231" s="45"/>
      <c r="AP231" s="45"/>
      <c r="AQ231" s="36"/>
      <c r="AR231" s="36"/>
      <c r="AS231" s="36"/>
      <c r="AT231" s="36"/>
      <c r="AU231" s="36"/>
      <c r="AV231" s="36"/>
      <c r="AW231" s="36"/>
      <c r="AX231" s="36"/>
      <c r="AY231" s="36"/>
      <c r="AZ231" s="36"/>
      <c r="BA231" s="36"/>
      <c r="BB231" s="36"/>
      <c r="BC231" s="36"/>
      <c r="BD231" s="36"/>
      <c r="BE231" s="36"/>
      <c r="BF231" s="36"/>
      <c r="BG231" s="36"/>
      <c r="BH231" s="36"/>
      <c r="BI231" s="36"/>
      <c r="BJ231" s="36"/>
      <c r="BK231" s="36"/>
      <c r="BL231" s="36"/>
      <c r="BM231" s="36"/>
      <c r="BN231" s="36"/>
      <c r="BO231" s="36"/>
      <c r="BP231" s="36"/>
      <c r="BQ231" s="36"/>
    </row>
    <row r="232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2"/>
      <c r="AD232" s="42"/>
      <c r="AE232" s="42"/>
      <c r="AF232" s="42"/>
      <c r="AG232" s="42"/>
      <c r="AH232" s="42"/>
      <c r="AI232" s="42"/>
      <c r="AK232" s="45"/>
      <c r="AL232" s="45"/>
      <c r="AM232" s="45"/>
      <c r="AN232" s="45"/>
      <c r="AO232" s="45"/>
      <c r="AP232" s="45"/>
      <c r="AQ232" s="36"/>
      <c r="AR232" s="36"/>
      <c r="AS232" s="36"/>
      <c r="AT232" s="36"/>
      <c r="AU232" s="36"/>
      <c r="AV232" s="36"/>
      <c r="AW232" s="36"/>
      <c r="AX232" s="36"/>
      <c r="AY232" s="36"/>
      <c r="AZ232" s="36"/>
      <c r="BA232" s="36"/>
      <c r="BB232" s="36"/>
      <c r="BC232" s="36"/>
      <c r="BD232" s="36"/>
      <c r="BE232" s="36"/>
      <c r="BF232" s="36"/>
      <c r="BG232" s="36"/>
      <c r="BH232" s="36"/>
      <c r="BI232" s="36"/>
      <c r="BJ232" s="36"/>
      <c r="BK232" s="36"/>
      <c r="BL232" s="36"/>
      <c r="BM232" s="36"/>
      <c r="BN232" s="36"/>
      <c r="BO232" s="36"/>
      <c r="BP232" s="36"/>
      <c r="BQ232" s="36"/>
    </row>
    <row r="233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2"/>
      <c r="AD233" s="42"/>
      <c r="AE233" s="42"/>
      <c r="AF233" s="42"/>
      <c r="AG233" s="42"/>
      <c r="AH233" s="42"/>
      <c r="AI233" s="42"/>
      <c r="AK233" s="45"/>
      <c r="AL233" s="45"/>
      <c r="AM233" s="45"/>
      <c r="AN233" s="45"/>
      <c r="AO233" s="45"/>
      <c r="AP233" s="45"/>
      <c r="AQ233" s="36"/>
      <c r="AR233" s="36"/>
      <c r="AS233" s="36"/>
      <c r="AT233" s="36"/>
      <c r="AU233" s="36"/>
      <c r="AV233" s="36"/>
      <c r="AW233" s="36"/>
      <c r="AX233" s="36"/>
      <c r="AY233" s="36"/>
      <c r="AZ233" s="36"/>
      <c r="BA233" s="36"/>
      <c r="BB233" s="36"/>
      <c r="BC233" s="36"/>
      <c r="BD233" s="36"/>
      <c r="BE233" s="36"/>
      <c r="BF233" s="36"/>
      <c r="BG233" s="36"/>
      <c r="BH233" s="36"/>
      <c r="BI233" s="36"/>
      <c r="BJ233" s="36"/>
      <c r="BK233" s="36"/>
      <c r="BL233" s="36"/>
      <c r="BM233" s="36"/>
      <c r="BN233" s="36"/>
      <c r="BO233" s="36"/>
      <c r="BP233" s="36"/>
      <c r="BQ233" s="36"/>
    </row>
    <row r="234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2"/>
      <c r="AD234" s="42"/>
      <c r="AE234" s="42"/>
      <c r="AF234" s="42"/>
      <c r="AG234" s="42"/>
      <c r="AH234" s="42"/>
      <c r="AI234" s="42"/>
      <c r="AK234" s="45"/>
      <c r="AL234" s="45"/>
      <c r="AM234" s="45"/>
      <c r="AN234" s="45"/>
      <c r="AO234" s="45"/>
      <c r="AP234" s="45"/>
      <c r="AQ234" s="36"/>
      <c r="AR234" s="36"/>
      <c r="AS234" s="36"/>
      <c r="AT234" s="36"/>
      <c r="AU234" s="36"/>
      <c r="AV234" s="36"/>
      <c r="AW234" s="36"/>
      <c r="AX234" s="36"/>
      <c r="AY234" s="36"/>
      <c r="AZ234" s="36"/>
      <c r="BA234" s="36"/>
      <c r="BB234" s="36"/>
      <c r="BC234" s="36"/>
      <c r="BD234" s="36"/>
      <c r="BE234" s="36"/>
      <c r="BF234" s="36"/>
      <c r="BG234" s="36"/>
      <c r="BH234" s="36"/>
      <c r="BI234" s="36"/>
      <c r="BJ234" s="36"/>
      <c r="BK234" s="36"/>
      <c r="BL234" s="36"/>
      <c r="BM234" s="36"/>
      <c r="BN234" s="36"/>
      <c r="BO234" s="36"/>
      <c r="BP234" s="36"/>
      <c r="BQ234" s="36"/>
    </row>
    <row r="23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2"/>
      <c r="AD235" s="42"/>
      <c r="AE235" s="42"/>
      <c r="AF235" s="42"/>
      <c r="AG235" s="42"/>
      <c r="AH235" s="42"/>
      <c r="AI235" s="42"/>
      <c r="AK235" s="45"/>
      <c r="AL235" s="45"/>
      <c r="AM235" s="45"/>
      <c r="AN235" s="45"/>
      <c r="AO235" s="45"/>
      <c r="AP235" s="45"/>
      <c r="AQ235" s="36"/>
      <c r="AR235" s="36"/>
      <c r="AS235" s="36"/>
      <c r="AT235" s="36"/>
      <c r="AU235" s="36"/>
      <c r="AV235" s="36"/>
      <c r="AW235" s="36"/>
      <c r="AX235" s="36"/>
      <c r="AY235" s="36"/>
      <c r="AZ235" s="36"/>
      <c r="BA235" s="36"/>
      <c r="BB235" s="36"/>
      <c r="BC235" s="36"/>
      <c r="BD235" s="36"/>
      <c r="BE235" s="36"/>
      <c r="BF235" s="36"/>
      <c r="BG235" s="36"/>
      <c r="BH235" s="36"/>
      <c r="BI235" s="36"/>
      <c r="BJ235" s="36"/>
      <c r="BK235" s="36"/>
      <c r="BL235" s="36"/>
      <c r="BM235" s="36"/>
      <c r="BN235" s="36"/>
      <c r="BO235" s="36"/>
      <c r="BP235" s="36"/>
      <c r="BQ235" s="36"/>
    </row>
    <row r="236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2"/>
      <c r="AD236" s="42"/>
      <c r="AE236" s="42"/>
      <c r="AF236" s="42"/>
      <c r="AG236" s="42"/>
      <c r="AH236" s="42"/>
      <c r="AI236" s="42"/>
      <c r="AK236" s="45"/>
      <c r="AL236" s="45"/>
      <c r="AM236" s="45"/>
      <c r="AN236" s="45"/>
      <c r="AO236" s="45"/>
      <c r="AP236" s="45"/>
      <c r="AQ236" s="36"/>
      <c r="AR236" s="36"/>
      <c r="AS236" s="36"/>
      <c r="AT236" s="36"/>
      <c r="AU236" s="36"/>
      <c r="AV236" s="36"/>
      <c r="AW236" s="36"/>
      <c r="AX236" s="36"/>
      <c r="AY236" s="36"/>
      <c r="AZ236" s="36"/>
      <c r="BA236" s="36"/>
      <c r="BB236" s="36"/>
      <c r="BC236" s="36"/>
      <c r="BD236" s="36"/>
      <c r="BE236" s="36"/>
      <c r="BF236" s="36"/>
      <c r="BG236" s="36"/>
      <c r="BH236" s="36"/>
      <c r="BI236" s="36"/>
      <c r="BJ236" s="36"/>
      <c r="BK236" s="36"/>
      <c r="BL236" s="36"/>
      <c r="BM236" s="36"/>
      <c r="BN236" s="36"/>
      <c r="BO236" s="36"/>
      <c r="BP236" s="36"/>
      <c r="BQ236" s="36"/>
    </row>
    <row r="237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2"/>
      <c r="AD237" s="42"/>
      <c r="AE237" s="42"/>
      <c r="AF237" s="42"/>
      <c r="AG237" s="42"/>
      <c r="AH237" s="42"/>
      <c r="AI237" s="42"/>
      <c r="AK237" s="45"/>
      <c r="AL237" s="45"/>
      <c r="AM237" s="45"/>
      <c r="AN237" s="45"/>
      <c r="AO237" s="45"/>
      <c r="AP237" s="45"/>
      <c r="AQ237" s="36"/>
      <c r="AR237" s="36"/>
      <c r="AS237" s="36"/>
      <c r="AT237" s="36"/>
      <c r="AU237" s="36"/>
      <c r="AV237" s="36"/>
      <c r="AW237" s="36"/>
      <c r="AX237" s="36"/>
      <c r="AY237" s="36"/>
      <c r="AZ237" s="36"/>
      <c r="BA237" s="36"/>
      <c r="BB237" s="36"/>
      <c r="BC237" s="36"/>
      <c r="BD237" s="36"/>
      <c r="BE237" s="36"/>
      <c r="BF237" s="36"/>
      <c r="BG237" s="36"/>
      <c r="BH237" s="36"/>
      <c r="BI237" s="36"/>
      <c r="BJ237" s="36"/>
      <c r="BK237" s="36"/>
      <c r="BL237" s="36"/>
      <c r="BM237" s="36"/>
      <c r="BN237" s="36"/>
      <c r="BO237" s="36"/>
      <c r="BP237" s="36"/>
      <c r="BQ237" s="36"/>
    </row>
    <row r="238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2"/>
      <c r="AD238" s="42"/>
      <c r="AE238" s="42"/>
      <c r="AF238" s="42"/>
      <c r="AG238" s="42"/>
      <c r="AH238" s="42"/>
      <c r="AI238" s="42"/>
      <c r="AK238" s="45"/>
      <c r="AL238" s="45"/>
      <c r="AM238" s="45"/>
      <c r="AN238" s="45"/>
      <c r="AO238" s="45"/>
      <c r="AP238" s="45"/>
      <c r="AQ238" s="36"/>
      <c r="AR238" s="36"/>
      <c r="AS238" s="36"/>
      <c r="AT238" s="36"/>
      <c r="AU238" s="36"/>
      <c r="AV238" s="36"/>
      <c r="AW238" s="36"/>
      <c r="AX238" s="36"/>
      <c r="AY238" s="36"/>
      <c r="AZ238" s="36"/>
      <c r="BA238" s="36"/>
      <c r="BB238" s="36"/>
      <c r="BC238" s="36"/>
      <c r="BD238" s="36"/>
      <c r="BE238" s="36"/>
      <c r="BF238" s="36"/>
      <c r="BG238" s="36"/>
      <c r="BH238" s="36"/>
      <c r="BI238" s="36"/>
      <c r="BJ238" s="36"/>
      <c r="BK238" s="36"/>
      <c r="BL238" s="36"/>
      <c r="BM238" s="36"/>
      <c r="BN238" s="36"/>
      <c r="BO238" s="36"/>
      <c r="BP238" s="36"/>
      <c r="BQ238" s="36"/>
    </row>
    <row r="239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2"/>
      <c r="AD239" s="42"/>
      <c r="AE239" s="42"/>
      <c r="AF239" s="42"/>
      <c r="AG239" s="42"/>
      <c r="AH239" s="42"/>
      <c r="AI239" s="42"/>
      <c r="AK239" s="45"/>
      <c r="AL239" s="45"/>
      <c r="AM239" s="45"/>
      <c r="AN239" s="45"/>
      <c r="AO239" s="45"/>
      <c r="AP239" s="45"/>
      <c r="AQ239" s="36"/>
      <c r="AR239" s="36"/>
      <c r="AS239" s="36"/>
      <c r="AT239" s="36"/>
      <c r="AU239" s="36"/>
      <c r="AV239" s="36"/>
      <c r="AW239" s="36"/>
      <c r="AX239" s="36"/>
      <c r="AY239" s="36"/>
      <c r="AZ239" s="36"/>
      <c r="BA239" s="36"/>
      <c r="BB239" s="36"/>
      <c r="BC239" s="36"/>
      <c r="BD239" s="36"/>
      <c r="BE239" s="36"/>
      <c r="BF239" s="36"/>
      <c r="BG239" s="36"/>
      <c r="BH239" s="36"/>
      <c r="BI239" s="36"/>
      <c r="BJ239" s="36"/>
      <c r="BK239" s="36"/>
      <c r="BL239" s="36"/>
      <c r="BM239" s="36"/>
      <c r="BN239" s="36"/>
      <c r="BO239" s="36"/>
      <c r="BP239" s="36"/>
      <c r="BQ239" s="36"/>
    </row>
    <row r="240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2"/>
      <c r="AD240" s="42"/>
      <c r="AE240" s="42"/>
      <c r="AF240" s="42"/>
      <c r="AG240" s="42"/>
      <c r="AH240" s="42"/>
      <c r="AI240" s="42"/>
      <c r="AK240" s="45"/>
      <c r="AL240" s="45"/>
      <c r="AM240" s="45"/>
      <c r="AN240" s="45"/>
      <c r="AO240" s="45"/>
      <c r="AP240" s="45"/>
      <c r="AQ240" s="36"/>
      <c r="AR240" s="36"/>
      <c r="AS240" s="36"/>
      <c r="AT240" s="36"/>
      <c r="AU240" s="36"/>
      <c r="AV240" s="36"/>
      <c r="AW240" s="36"/>
      <c r="AX240" s="36"/>
      <c r="AY240" s="36"/>
      <c r="AZ240" s="36"/>
      <c r="BA240" s="36"/>
      <c r="BB240" s="36"/>
      <c r="BC240" s="36"/>
      <c r="BD240" s="36"/>
      <c r="BE240" s="36"/>
      <c r="BF240" s="36"/>
      <c r="BG240" s="36"/>
      <c r="BH240" s="36"/>
      <c r="BI240" s="36"/>
      <c r="BJ240" s="36"/>
      <c r="BK240" s="36"/>
      <c r="BL240" s="36"/>
      <c r="BM240" s="36"/>
      <c r="BN240" s="36"/>
      <c r="BO240" s="36"/>
      <c r="BP240" s="36"/>
      <c r="BQ240" s="36"/>
    </row>
    <row r="24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2"/>
      <c r="AD241" s="42"/>
      <c r="AE241" s="42"/>
      <c r="AF241" s="42"/>
      <c r="AG241" s="42"/>
      <c r="AH241" s="42"/>
      <c r="AI241" s="42"/>
      <c r="AK241" s="45"/>
      <c r="AL241" s="45"/>
      <c r="AM241" s="45"/>
      <c r="AN241" s="45"/>
      <c r="AO241" s="45"/>
      <c r="AP241" s="45"/>
      <c r="AQ241" s="36"/>
      <c r="AR241" s="36"/>
      <c r="AS241" s="36"/>
      <c r="AT241" s="36"/>
      <c r="AU241" s="36"/>
      <c r="AV241" s="36"/>
      <c r="AW241" s="36"/>
      <c r="AX241" s="36"/>
      <c r="AY241" s="36"/>
      <c r="AZ241" s="36"/>
      <c r="BA241" s="36"/>
      <c r="BB241" s="36"/>
      <c r="BC241" s="36"/>
      <c r="BD241" s="36"/>
      <c r="BE241" s="36"/>
      <c r="BF241" s="36"/>
      <c r="BG241" s="36"/>
      <c r="BH241" s="36"/>
      <c r="BI241" s="36"/>
      <c r="BJ241" s="36"/>
      <c r="BK241" s="36"/>
      <c r="BL241" s="36"/>
      <c r="BM241" s="36"/>
      <c r="BN241" s="36"/>
      <c r="BO241" s="36"/>
      <c r="BP241" s="36"/>
      <c r="BQ241" s="36"/>
    </row>
    <row r="242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2"/>
      <c r="AD242" s="42"/>
      <c r="AE242" s="42"/>
      <c r="AF242" s="42"/>
      <c r="AG242" s="42"/>
      <c r="AH242" s="42"/>
      <c r="AI242" s="42"/>
      <c r="AK242" s="45"/>
      <c r="AL242" s="45"/>
      <c r="AM242" s="45"/>
      <c r="AN242" s="45"/>
      <c r="AO242" s="45"/>
      <c r="AP242" s="45"/>
      <c r="AQ242" s="36"/>
      <c r="AR242" s="36"/>
      <c r="AS242" s="36"/>
      <c r="AT242" s="36"/>
      <c r="AU242" s="36"/>
      <c r="AV242" s="36"/>
      <c r="AW242" s="36"/>
      <c r="AX242" s="36"/>
      <c r="AY242" s="36"/>
      <c r="AZ242" s="36"/>
      <c r="BA242" s="36"/>
      <c r="BB242" s="36"/>
      <c r="BC242" s="36"/>
      <c r="BD242" s="36"/>
      <c r="BE242" s="36"/>
      <c r="BF242" s="36"/>
      <c r="BG242" s="36"/>
      <c r="BH242" s="36"/>
      <c r="BI242" s="36"/>
      <c r="BJ242" s="36"/>
      <c r="BK242" s="36"/>
      <c r="BL242" s="36"/>
      <c r="BM242" s="36"/>
      <c r="BN242" s="36"/>
      <c r="BO242" s="36"/>
      <c r="BP242" s="36"/>
      <c r="BQ242" s="36"/>
    </row>
    <row r="243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2"/>
      <c r="AD243" s="42"/>
      <c r="AE243" s="42"/>
      <c r="AF243" s="42"/>
      <c r="AG243" s="42"/>
      <c r="AH243" s="42"/>
      <c r="AI243" s="42"/>
      <c r="AK243" s="45"/>
      <c r="AL243" s="45"/>
      <c r="AM243" s="45"/>
      <c r="AN243" s="45"/>
      <c r="AO243" s="45"/>
      <c r="AP243" s="45"/>
      <c r="AQ243" s="36"/>
      <c r="AR243" s="36"/>
      <c r="AS243" s="36"/>
      <c r="AT243" s="36"/>
      <c r="AU243" s="36"/>
      <c r="AV243" s="36"/>
      <c r="AW243" s="36"/>
      <c r="AX243" s="36"/>
      <c r="AY243" s="36"/>
      <c r="AZ243" s="36"/>
      <c r="BA243" s="36"/>
      <c r="BB243" s="36"/>
      <c r="BC243" s="36"/>
      <c r="BD243" s="36"/>
      <c r="BE243" s="36"/>
      <c r="BF243" s="36"/>
      <c r="BG243" s="36"/>
      <c r="BH243" s="36"/>
      <c r="BI243" s="36"/>
      <c r="BJ243" s="36"/>
      <c r="BK243" s="36"/>
      <c r="BL243" s="36"/>
      <c r="BM243" s="36"/>
      <c r="BN243" s="36"/>
      <c r="BO243" s="36"/>
      <c r="BP243" s="36"/>
      <c r="BQ243" s="36"/>
    </row>
    <row r="244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2"/>
      <c r="AD244" s="42"/>
      <c r="AE244" s="42"/>
      <c r="AF244" s="42"/>
      <c r="AG244" s="42"/>
      <c r="AH244" s="42"/>
      <c r="AI244" s="42"/>
      <c r="AK244" s="45"/>
      <c r="AL244" s="45"/>
      <c r="AM244" s="45"/>
      <c r="AN244" s="45"/>
      <c r="AO244" s="45"/>
      <c r="AP244" s="45"/>
      <c r="AQ244" s="36"/>
      <c r="AR244" s="36"/>
      <c r="AS244" s="36"/>
      <c r="AT244" s="36"/>
      <c r="AU244" s="36"/>
      <c r="AV244" s="36"/>
      <c r="AW244" s="36"/>
      <c r="AX244" s="36"/>
      <c r="AY244" s="36"/>
      <c r="AZ244" s="36"/>
      <c r="BA244" s="36"/>
      <c r="BB244" s="36"/>
      <c r="BC244" s="36"/>
      <c r="BD244" s="36"/>
      <c r="BE244" s="36"/>
      <c r="BF244" s="36"/>
      <c r="BG244" s="36"/>
      <c r="BH244" s="36"/>
      <c r="BI244" s="36"/>
      <c r="BJ244" s="36"/>
      <c r="BK244" s="36"/>
      <c r="BL244" s="36"/>
      <c r="BM244" s="36"/>
      <c r="BN244" s="36"/>
      <c r="BO244" s="36"/>
      <c r="BP244" s="36"/>
      <c r="BQ244" s="36"/>
    </row>
    <row r="24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2"/>
      <c r="AD245" s="42"/>
      <c r="AE245" s="42"/>
      <c r="AF245" s="42"/>
      <c r="AG245" s="42"/>
      <c r="AH245" s="42"/>
      <c r="AI245" s="42"/>
      <c r="AK245" s="45"/>
      <c r="AL245" s="45"/>
      <c r="AM245" s="45"/>
      <c r="AN245" s="45"/>
      <c r="AO245" s="45"/>
      <c r="AP245" s="45"/>
      <c r="AQ245" s="36"/>
      <c r="AR245" s="36"/>
      <c r="AS245" s="36"/>
      <c r="AT245" s="36"/>
      <c r="AU245" s="36"/>
      <c r="AV245" s="36"/>
      <c r="AW245" s="36"/>
      <c r="AX245" s="36"/>
      <c r="AY245" s="36"/>
      <c r="AZ245" s="36"/>
      <c r="BA245" s="36"/>
      <c r="BB245" s="36"/>
      <c r="BC245" s="36"/>
      <c r="BD245" s="36"/>
      <c r="BE245" s="36"/>
      <c r="BF245" s="36"/>
      <c r="BG245" s="36"/>
      <c r="BH245" s="36"/>
      <c r="BI245" s="36"/>
      <c r="BJ245" s="36"/>
      <c r="BK245" s="36"/>
      <c r="BL245" s="36"/>
      <c r="BM245" s="36"/>
      <c r="BN245" s="36"/>
      <c r="BO245" s="36"/>
      <c r="BP245" s="36"/>
      <c r="BQ245" s="36"/>
    </row>
    <row r="246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2"/>
      <c r="AD246" s="42"/>
      <c r="AE246" s="42"/>
      <c r="AF246" s="42"/>
      <c r="AG246" s="42"/>
      <c r="AH246" s="42"/>
      <c r="AI246" s="42"/>
      <c r="AJ246" s="45"/>
      <c r="AK246" s="45"/>
      <c r="AL246" s="45"/>
      <c r="AM246" s="45"/>
      <c r="AN246" s="45"/>
      <c r="AO246" s="45"/>
      <c r="AP246" s="45"/>
      <c r="AQ246" s="36"/>
      <c r="AR246" s="36"/>
      <c r="AS246" s="36"/>
      <c r="AT246" s="36"/>
      <c r="AU246" s="36"/>
      <c r="AV246" s="36"/>
      <c r="AW246" s="36"/>
      <c r="AX246" s="36"/>
      <c r="AY246" s="36"/>
      <c r="AZ246" s="36"/>
      <c r="BA246" s="36"/>
      <c r="BB246" s="36"/>
      <c r="BC246" s="36"/>
      <c r="BD246" s="36"/>
      <c r="BE246" s="36"/>
      <c r="BF246" s="36"/>
      <c r="BG246" s="36"/>
      <c r="BH246" s="36"/>
      <c r="BI246" s="36"/>
      <c r="BJ246" s="36"/>
      <c r="BK246" s="36"/>
      <c r="BL246" s="36"/>
      <c r="BM246" s="36"/>
      <c r="BN246" s="36"/>
      <c r="BO246" s="36"/>
      <c r="BP246" s="36"/>
      <c r="BQ246" s="36"/>
    </row>
    <row r="247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2"/>
      <c r="AD247" s="42"/>
      <c r="AE247" s="42"/>
      <c r="AF247" s="42"/>
      <c r="AG247" s="42"/>
      <c r="AH247" s="42"/>
      <c r="AI247" s="42"/>
      <c r="AJ247" s="45"/>
      <c r="AK247" s="45"/>
      <c r="AL247" s="45"/>
      <c r="AM247" s="45"/>
      <c r="AN247" s="45"/>
      <c r="AO247" s="45"/>
      <c r="AP247" s="45"/>
      <c r="AQ247" s="36"/>
      <c r="AR247" s="36"/>
      <c r="AS247" s="36"/>
      <c r="AT247" s="36"/>
      <c r="AU247" s="36"/>
      <c r="AV247" s="36"/>
      <c r="AW247" s="36"/>
      <c r="AX247" s="36"/>
      <c r="AY247" s="36"/>
      <c r="AZ247" s="36"/>
      <c r="BA247" s="36"/>
      <c r="BB247" s="36"/>
      <c r="BC247" s="36"/>
      <c r="BD247" s="36"/>
      <c r="BE247" s="36"/>
      <c r="BF247" s="36"/>
      <c r="BG247" s="36"/>
      <c r="BH247" s="36"/>
      <c r="BI247" s="36"/>
      <c r="BJ247" s="36"/>
      <c r="BK247" s="36"/>
      <c r="BL247" s="36"/>
      <c r="BM247" s="36"/>
      <c r="BN247" s="36"/>
      <c r="BO247" s="36"/>
      <c r="BP247" s="36"/>
      <c r="BQ247" s="36"/>
    </row>
    <row r="248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2"/>
      <c r="AD248" s="42"/>
      <c r="AE248" s="42"/>
      <c r="AF248" s="42"/>
      <c r="AG248" s="42"/>
      <c r="AH248" s="42"/>
      <c r="AI248" s="42"/>
      <c r="AJ248" s="45"/>
      <c r="AK248" s="45"/>
      <c r="AL248" s="45"/>
      <c r="AM248" s="45"/>
      <c r="AN248" s="45"/>
      <c r="AO248" s="45"/>
      <c r="AP248" s="45"/>
      <c r="AQ248" s="36"/>
      <c r="AR248" s="36"/>
      <c r="AS248" s="36"/>
      <c r="AT248" s="36"/>
      <c r="AU248" s="36"/>
      <c r="AV248" s="36"/>
      <c r="AW248" s="36"/>
      <c r="AX248" s="36"/>
      <c r="AY248" s="36"/>
      <c r="AZ248" s="36"/>
      <c r="BA248" s="36"/>
      <c r="BB248" s="36"/>
      <c r="BC248" s="36"/>
      <c r="BD248" s="36"/>
      <c r="BE248" s="36"/>
      <c r="BF248" s="36"/>
      <c r="BG248" s="36"/>
      <c r="BH248" s="36"/>
      <c r="BI248" s="36"/>
      <c r="BJ248" s="36"/>
      <c r="BK248" s="36"/>
      <c r="BL248" s="36"/>
      <c r="BM248" s="36"/>
      <c r="BN248" s="36"/>
      <c r="BO248" s="36"/>
      <c r="BP248" s="36"/>
      <c r="BQ248" s="36"/>
    </row>
    <row r="249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2"/>
      <c r="AD249" s="42"/>
      <c r="AE249" s="42"/>
      <c r="AF249" s="42"/>
      <c r="AG249" s="42"/>
      <c r="AH249" s="42"/>
      <c r="AI249" s="42"/>
      <c r="AJ249" s="45"/>
      <c r="AK249" s="45"/>
      <c r="AL249" s="45"/>
      <c r="AM249" s="45"/>
      <c r="AN249" s="45"/>
      <c r="AO249" s="45"/>
      <c r="AP249" s="45"/>
      <c r="AQ249" s="36"/>
      <c r="AR249" s="36"/>
      <c r="AS249" s="36"/>
      <c r="AT249" s="36"/>
      <c r="AU249" s="36"/>
      <c r="AV249" s="36"/>
      <c r="AW249" s="36"/>
      <c r="AX249" s="36"/>
      <c r="AY249" s="36"/>
      <c r="AZ249" s="36"/>
      <c r="BA249" s="36"/>
      <c r="BB249" s="36"/>
      <c r="BC249" s="36"/>
      <c r="BD249" s="36"/>
      <c r="BE249" s="36"/>
      <c r="BF249" s="36"/>
      <c r="BG249" s="36"/>
      <c r="BH249" s="36"/>
      <c r="BI249" s="36"/>
      <c r="BJ249" s="36"/>
      <c r="BK249" s="36"/>
      <c r="BL249" s="36"/>
      <c r="BM249" s="36"/>
      <c r="BN249" s="36"/>
      <c r="BO249" s="36"/>
      <c r="BP249" s="36"/>
      <c r="BQ249" s="36"/>
    </row>
    <row r="250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2"/>
      <c r="AD250" s="42"/>
      <c r="AE250" s="42"/>
      <c r="AF250" s="42"/>
      <c r="AG250" s="42"/>
      <c r="AH250" s="42"/>
      <c r="AI250" s="42"/>
      <c r="AJ250" s="45"/>
      <c r="AK250" s="45"/>
      <c r="AL250" s="45"/>
      <c r="AM250" s="45"/>
      <c r="AN250" s="45"/>
      <c r="AO250" s="45"/>
      <c r="AP250" s="45"/>
      <c r="AQ250" s="36"/>
      <c r="AR250" s="36"/>
      <c r="AS250" s="36"/>
      <c r="AT250" s="36"/>
      <c r="AU250" s="36"/>
      <c r="AV250" s="36"/>
      <c r="AW250" s="36"/>
      <c r="AX250" s="36"/>
      <c r="AY250" s="36"/>
      <c r="AZ250" s="36"/>
      <c r="BA250" s="36"/>
      <c r="BB250" s="36"/>
      <c r="BC250" s="36"/>
      <c r="BD250" s="36"/>
      <c r="BE250" s="36"/>
      <c r="BF250" s="36"/>
      <c r="BG250" s="36"/>
      <c r="BH250" s="36"/>
      <c r="BI250" s="36"/>
      <c r="BJ250" s="36"/>
      <c r="BK250" s="36"/>
      <c r="BL250" s="36"/>
      <c r="BM250" s="36"/>
      <c r="BN250" s="36"/>
      <c r="BO250" s="36"/>
      <c r="BP250" s="36"/>
      <c r="BQ250" s="36"/>
    </row>
    <row r="25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2"/>
      <c r="AD251" s="42"/>
      <c r="AE251" s="42"/>
      <c r="AF251" s="42"/>
      <c r="AG251" s="42"/>
      <c r="AH251" s="42"/>
      <c r="AI251" s="42"/>
      <c r="AJ251" s="45"/>
      <c r="AK251" s="45"/>
      <c r="AL251" s="45"/>
      <c r="AM251" s="45"/>
      <c r="AN251" s="45"/>
      <c r="AO251" s="45"/>
      <c r="AP251" s="45"/>
      <c r="AQ251" s="36"/>
      <c r="AR251" s="36"/>
      <c r="AS251" s="36"/>
      <c r="AT251" s="36"/>
      <c r="AU251" s="36"/>
      <c r="AV251" s="36"/>
      <c r="AW251" s="36"/>
      <c r="AX251" s="36"/>
      <c r="AY251" s="36"/>
      <c r="AZ251" s="36"/>
      <c r="BA251" s="36"/>
      <c r="BB251" s="36"/>
      <c r="BC251" s="36"/>
      <c r="BD251" s="36"/>
      <c r="BE251" s="36"/>
      <c r="BF251" s="36"/>
      <c r="BG251" s="36"/>
      <c r="BH251" s="36"/>
      <c r="BI251" s="36"/>
      <c r="BJ251" s="36"/>
      <c r="BK251" s="36"/>
      <c r="BL251" s="36"/>
      <c r="BM251" s="36"/>
      <c r="BN251" s="36"/>
      <c r="BO251" s="36"/>
      <c r="BP251" s="36"/>
      <c r="BQ251" s="36"/>
    </row>
    <row r="252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2"/>
      <c r="AD252" s="42"/>
      <c r="AE252" s="42"/>
      <c r="AF252" s="42"/>
      <c r="AG252" s="42"/>
      <c r="AH252" s="42"/>
      <c r="AI252" s="42"/>
      <c r="AJ252" s="45"/>
      <c r="AK252" s="45"/>
      <c r="AL252" s="45"/>
      <c r="AM252" s="45"/>
      <c r="AN252" s="45"/>
      <c r="AO252" s="45"/>
      <c r="AP252" s="45"/>
      <c r="AQ252" s="36"/>
      <c r="AR252" s="36"/>
      <c r="AS252" s="36"/>
      <c r="AT252" s="36"/>
      <c r="AU252" s="36"/>
      <c r="AV252" s="36"/>
      <c r="AW252" s="36"/>
      <c r="AX252" s="36"/>
      <c r="AY252" s="36"/>
      <c r="AZ252" s="36"/>
      <c r="BA252" s="36"/>
      <c r="BB252" s="36"/>
      <c r="BC252" s="36"/>
      <c r="BD252" s="36"/>
      <c r="BE252" s="36"/>
      <c r="BF252" s="36"/>
      <c r="BG252" s="36"/>
      <c r="BH252" s="36"/>
      <c r="BI252" s="36"/>
      <c r="BJ252" s="36"/>
      <c r="BK252" s="36"/>
      <c r="BL252" s="36"/>
      <c r="BM252" s="36"/>
      <c r="BN252" s="36"/>
      <c r="BO252" s="36"/>
      <c r="BP252" s="36"/>
      <c r="BQ252" s="36"/>
    </row>
    <row r="253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2"/>
      <c r="AD253" s="42"/>
      <c r="AE253" s="42"/>
      <c r="AF253" s="42"/>
      <c r="AG253" s="42"/>
      <c r="AH253" s="42"/>
      <c r="AI253" s="42"/>
      <c r="AJ253" s="45"/>
      <c r="AK253" s="45"/>
      <c r="AL253" s="45"/>
      <c r="AM253" s="45"/>
      <c r="AN253" s="45"/>
      <c r="AO253" s="45"/>
      <c r="AP253" s="45"/>
      <c r="AQ253" s="36"/>
      <c r="AR253" s="36"/>
      <c r="AS253" s="36"/>
      <c r="AT253" s="36"/>
      <c r="AU253" s="36"/>
      <c r="AV253" s="36"/>
      <c r="AW253" s="36"/>
      <c r="AX253" s="36"/>
      <c r="AY253" s="36"/>
      <c r="AZ253" s="36"/>
      <c r="BA253" s="36"/>
      <c r="BB253" s="36"/>
      <c r="BC253" s="36"/>
      <c r="BD253" s="36"/>
      <c r="BE253" s="36"/>
      <c r="BF253" s="36"/>
      <c r="BG253" s="36"/>
      <c r="BH253" s="36"/>
      <c r="BI253" s="36"/>
      <c r="BJ253" s="36"/>
      <c r="BK253" s="36"/>
      <c r="BL253" s="36"/>
      <c r="BM253" s="36"/>
      <c r="BN253" s="36"/>
      <c r="BO253" s="36"/>
      <c r="BP253" s="36"/>
      <c r="BQ253" s="36"/>
    </row>
    <row r="254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2"/>
      <c r="AD254" s="42"/>
      <c r="AE254" s="42"/>
      <c r="AF254" s="42"/>
      <c r="AG254" s="42"/>
      <c r="AH254" s="42"/>
      <c r="AI254" s="42"/>
      <c r="AJ254" s="45"/>
      <c r="AK254" s="45"/>
      <c r="AL254" s="45"/>
      <c r="AM254" s="45"/>
      <c r="AN254" s="45"/>
      <c r="AO254" s="45"/>
      <c r="AP254" s="45"/>
      <c r="AQ254" s="36"/>
      <c r="AR254" s="36"/>
      <c r="AS254" s="36"/>
      <c r="AT254" s="36"/>
      <c r="AU254" s="36"/>
      <c r="AV254" s="36"/>
      <c r="AW254" s="36"/>
      <c r="AX254" s="36"/>
      <c r="AY254" s="36"/>
      <c r="AZ254" s="36"/>
      <c r="BA254" s="36"/>
      <c r="BB254" s="36"/>
      <c r="BC254" s="36"/>
      <c r="BD254" s="36"/>
      <c r="BE254" s="36"/>
      <c r="BF254" s="36"/>
      <c r="BG254" s="36"/>
      <c r="BH254" s="36"/>
      <c r="BI254" s="36"/>
      <c r="BJ254" s="36"/>
      <c r="BK254" s="36"/>
      <c r="BL254" s="36"/>
      <c r="BM254" s="36"/>
      <c r="BN254" s="36"/>
      <c r="BO254" s="36"/>
      <c r="BP254" s="36"/>
      <c r="BQ254" s="36"/>
    </row>
    <row r="25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2"/>
      <c r="AD255" s="42"/>
      <c r="AE255" s="42"/>
      <c r="AF255" s="42"/>
      <c r="AG255" s="42"/>
      <c r="AH255" s="42"/>
      <c r="AI255" s="42"/>
      <c r="AJ255" s="45"/>
      <c r="AK255" s="45"/>
      <c r="AL255" s="45"/>
      <c r="AM255" s="45"/>
      <c r="AN255" s="45"/>
      <c r="AO255" s="45"/>
      <c r="AP255" s="45"/>
      <c r="AQ255" s="36"/>
      <c r="AR255" s="36"/>
      <c r="AS255" s="36"/>
      <c r="AT255" s="36"/>
      <c r="AU255" s="36"/>
      <c r="AV255" s="36"/>
      <c r="AW255" s="36"/>
      <c r="AX255" s="36"/>
      <c r="AY255" s="36"/>
      <c r="AZ255" s="36"/>
      <c r="BA255" s="36"/>
      <c r="BB255" s="36"/>
      <c r="BC255" s="36"/>
      <c r="BD255" s="36"/>
      <c r="BE255" s="36"/>
      <c r="BF255" s="36"/>
      <c r="BG255" s="36"/>
      <c r="BH255" s="36"/>
      <c r="BI255" s="36"/>
      <c r="BJ255" s="36"/>
      <c r="BK255" s="36"/>
      <c r="BL255" s="36"/>
      <c r="BM255" s="36"/>
      <c r="BN255" s="36"/>
      <c r="BO255" s="36"/>
      <c r="BP255" s="36"/>
      <c r="BQ255" s="36"/>
    </row>
    <row r="256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2"/>
      <c r="AD256" s="42"/>
      <c r="AE256" s="42"/>
      <c r="AF256" s="42"/>
      <c r="AG256" s="42"/>
      <c r="AH256" s="42"/>
      <c r="AI256" s="42"/>
      <c r="AJ256" s="45"/>
      <c r="AK256" s="45"/>
      <c r="AL256" s="45"/>
      <c r="AM256" s="45"/>
      <c r="AN256" s="45"/>
      <c r="AO256" s="45"/>
      <c r="AP256" s="45"/>
      <c r="AQ256" s="36"/>
      <c r="AR256" s="36"/>
      <c r="AS256" s="36"/>
      <c r="AT256" s="36"/>
      <c r="AU256" s="36"/>
      <c r="AV256" s="36"/>
      <c r="AW256" s="36"/>
      <c r="AX256" s="36"/>
      <c r="AY256" s="36"/>
      <c r="AZ256" s="36"/>
      <c r="BA256" s="36"/>
      <c r="BB256" s="36"/>
      <c r="BC256" s="36"/>
      <c r="BD256" s="36"/>
      <c r="BE256" s="36"/>
      <c r="BF256" s="36"/>
      <c r="BG256" s="36"/>
      <c r="BH256" s="36"/>
      <c r="BI256" s="36"/>
      <c r="BJ256" s="36"/>
      <c r="BK256" s="36"/>
      <c r="BL256" s="36"/>
      <c r="BM256" s="36"/>
      <c r="BN256" s="36"/>
      <c r="BO256" s="36"/>
      <c r="BP256" s="36"/>
      <c r="BQ256" s="36"/>
    </row>
    <row r="257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2"/>
      <c r="AD257" s="42"/>
      <c r="AE257" s="42"/>
      <c r="AF257" s="42"/>
      <c r="AG257" s="42"/>
      <c r="AH257" s="42"/>
      <c r="AI257" s="42"/>
      <c r="AJ257" s="45"/>
      <c r="AK257" s="45"/>
      <c r="AL257" s="45"/>
      <c r="AM257" s="45"/>
      <c r="AN257" s="45"/>
      <c r="AO257" s="45"/>
      <c r="AP257" s="45"/>
      <c r="AQ257" s="36"/>
      <c r="AR257" s="36"/>
      <c r="AS257" s="36"/>
      <c r="AT257" s="36"/>
      <c r="AU257" s="36"/>
      <c r="AV257" s="36"/>
      <c r="AW257" s="36"/>
      <c r="AX257" s="36"/>
      <c r="AY257" s="36"/>
      <c r="AZ257" s="36"/>
      <c r="BA257" s="36"/>
      <c r="BB257" s="36"/>
      <c r="BC257" s="36"/>
      <c r="BD257" s="36"/>
      <c r="BE257" s="36"/>
      <c r="BF257" s="36"/>
      <c r="BG257" s="36"/>
      <c r="BH257" s="36"/>
      <c r="BI257" s="36"/>
      <c r="BJ257" s="36"/>
      <c r="BK257" s="36"/>
      <c r="BL257" s="36"/>
      <c r="BM257" s="36"/>
      <c r="BN257" s="36"/>
      <c r="BO257" s="36"/>
      <c r="BP257" s="36"/>
      <c r="BQ257" s="36"/>
    </row>
    <row r="258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2"/>
      <c r="AD258" s="42"/>
      <c r="AE258" s="42"/>
      <c r="AF258" s="42"/>
      <c r="AG258" s="42"/>
      <c r="AH258" s="42"/>
      <c r="AI258" s="42"/>
      <c r="AJ258" s="45"/>
      <c r="AK258" s="45"/>
      <c r="AL258" s="45"/>
      <c r="AM258" s="45"/>
      <c r="AN258" s="45"/>
      <c r="AO258" s="45"/>
      <c r="AP258" s="45"/>
      <c r="AQ258" s="36"/>
      <c r="AR258" s="36"/>
      <c r="AS258" s="36"/>
      <c r="AT258" s="36"/>
      <c r="AU258" s="36"/>
      <c r="AV258" s="36"/>
      <c r="AW258" s="36"/>
      <c r="AX258" s="36"/>
      <c r="AY258" s="36"/>
      <c r="AZ258" s="36"/>
      <c r="BA258" s="36"/>
      <c r="BB258" s="36"/>
      <c r="BC258" s="36"/>
      <c r="BD258" s="36"/>
      <c r="BE258" s="36"/>
      <c r="BF258" s="36"/>
      <c r="BG258" s="36"/>
      <c r="BH258" s="36"/>
      <c r="BI258" s="36"/>
      <c r="BJ258" s="36"/>
      <c r="BK258" s="36"/>
      <c r="BL258" s="36"/>
      <c r="BM258" s="36"/>
      <c r="BN258" s="36"/>
      <c r="BO258" s="36"/>
      <c r="BP258" s="36"/>
      <c r="BQ258" s="36"/>
    </row>
    <row r="259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2"/>
      <c r="AD259" s="42"/>
      <c r="AE259" s="42"/>
      <c r="AF259" s="42"/>
      <c r="AG259" s="42"/>
      <c r="AH259" s="42"/>
      <c r="AI259" s="42"/>
      <c r="AJ259" s="45"/>
      <c r="AK259" s="45"/>
      <c r="AL259" s="45"/>
      <c r="AM259" s="45"/>
      <c r="AN259" s="45"/>
      <c r="AO259" s="45"/>
      <c r="AP259" s="45"/>
      <c r="AQ259" s="36"/>
      <c r="AR259" s="36"/>
      <c r="AS259" s="36"/>
      <c r="AT259" s="36"/>
      <c r="AU259" s="36"/>
      <c r="AV259" s="36"/>
      <c r="AW259" s="36"/>
      <c r="AX259" s="36"/>
      <c r="AY259" s="36"/>
      <c r="AZ259" s="36"/>
      <c r="BA259" s="36"/>
      <c r="BB259" s="36"/>
      <c r="BC259" s="36"/>
      <c r="BD259" s="36"/>
      <c r="BE259" s="36"/>
      <c r="BF259" s="36"/>
      <c r="BG259" s="36"/>
      <c r="BH259" s="36"/>
      <c r="BI259" s="36"/>
      <c r="BJ259" s="36"/>
      <c r="BK259" s="36"/>
      <c r="BL259" s="36"/>
      <c r="BM259" s="36"/>
      <c r="BN259" s="36"/>
      <c r="BO259" s="36"/>
      <c r="BP259" s="36"/>
      <c r="BQ259" s="36"/>
    </row>
    <row r="260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2"/>
      <c r="AD260" s="42"/>
      <c r="AE260" s="42"/>
      <c r="AF260" s="42"/>
      <c r="AG260" s="42"/>
      <c r="AH260" s="42"/>
      <c r="AI260" s="42"/>
      <c r="AJ260" s="45"/>
      <c r="AK260" s="45"/>
      <c r="AL260" s="45"/>
      <c r="AM260" s="45"/>
      <c r="AN260" s="45"/>
      <c r="AO260" s="45"/>
      <c r="AP260" s="45"/>
      <c r="AQ260" s="36"/>
      <c r="AR260" s="36"/>
      <c r="AS260" s="36"/>
      <c r="AT260" s="36"/>
      <c r="AU260" s="36"/>
      <c r="AV260" s="36"/>
      <c r="AW260" s="36"/>
      <c r="AX260" s="36"/>
      <c r="AY260" s="36"/>
      <c r="AZ260" s="36"/>
      <c r="BA260" s="36"/>
      <c r="BB260" s="36"/>
      <c r="BC260" s="36"/>
      <c r="BD260" s="36"/>
      <c r="BE260" s="36"/>
      <c r="BF260" s="36"/>
      <c r="BG260" s="36"/>
      <c r="BH260" s="36"/>
      <c r="BI260" s="36"/>
      <c r="BJ260" s="36"/>
      <c r="BK260" s="36"/>
      <c r="BL260" s="36"/>
      <c r="BM260" s="36"/>
      <c r="BN260" s="36"/>
      <c r="BO260" s="36"/>
      <c r="BP260" s="36"/>
      <c r="BQ260" s="36"/>
    </row>
    <row r="26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2"/>
      <c r="AD261" s="42"/>
      <c r="AE261" s="42"/>
      <c r="AF261" s="42"/>
      <c r="AG261" s="42"/>
      <c r="AH261" s="42"/>
      <c r="AI261" s="42"/>
      <c r="AJ261" s="45"/>
      <c r="AK261" s="45"/>
      <c r="AL261" s="45"/>
      <c r="AM261" s="45"/>
      <c r="AN261" s="45"/>
      <c r="AO261" s="45"/>
      <c r="AP261" s="45"/>
      <c r="AQ261" s="36"/>
      <c r="AR261" s="36"/>
      <c r="AS261" s="36"/>
      <c r="AT261" s="36"/>
      <c r="AU261" s="36"/>
      <c r="AV261" s="36"/>
      <c r="AW261" s="36"/>
      <c r="AX261" s="36"/>
      <c r="AY261" s="36"/>
      <c r="AZ261" s="36"/>
      <c r="BA261" s="36"/>
      <c r="BB261" s="36"/>
      <c r="BC261" s="36"/>
      <c r="BD261" s="36"/>
      <c r="BE261" s="36"/>
      <c r="BF261" s="36"/>
      <c r="BG261" s="36"/>
      <c r="BH261" s="36"/>
      <c r="BI261" s="36"/>
      <c r="BJ261" s="36"/>
      <c r="BK261" s="36"/>
      <c r="BL261" s="36"/>
      <c r="BM261" s="36"/>
      <c r="BN261" s="36"/>
      <c r="BO261" s="36"/>
      <c r="BP261" s="36"/>
      <c r="BQ261" s="36"/>
    </row>
    <row r="262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2"/>
      <c r="AD262" s="42"/>
      <c r="AE262" s="42"/>
      <c r="AF262" s="42"/>
      <c r="AG262" s="42"/>
      <c r="AH262" s="42"/>
      <c r="AI262" s="42"/>
      <c r="AJ262" s="45"/>
      <c r="AK262" s="45"/>
      <c r="AL262" s="45"/>
      <c r="AM262" s="45"/>
      <c r="AN262" s="45"/>
      <c r="AO262" s="45"/>
      <c r="AP262" s="45"/>
      <c r="AQ262" s="36"/>
      <c r="AR262" s="36"/>
      <c r="AS262" s="36"/>
      <c r="AT262" s="36"/>
      <c r="AU262" s="36"/>
      <c r="AV262" s="36"/>
      <c r="AW262" s="36"/>
      <c r="AX262" s="36"/>
      <c r="AY262" s="36"/>
      <c r="AZ262" s="36"/>
      <c r="BA262" s="36"/>
      <c r="BB262" s="36"/>
      <c r="BC262" s="36"/>
      <c r="BD262" s="36"/>
      <c r="BE262" s="36"/>
      <c r="BF262" s="36"/>
      <c r="BG262" s="36"/>
      <c r="BH262" s="36"/>
      <c r="BI262" s="36"/>
      <c r="BJ262" s="36"/>
      <c r="BK262" s="36"/>
      <c r="BL262" s="36"/>
      <c r="BM262" s="36"/>
      <c r="BN262" s="36"/>
      <c r="BO262" s="36"/>
      <c r="BP262" s="36"/>
      <c r="BQ262" s="36"/>
    </row>
    <row r="263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2"/>
      <c r="AD263" s="42"/>
      <c r="AE263" s="42"/>
      <c r="AF263" s="42"/>
      <c r="AG263" s="42"/>
      <c r="AH263" s="42"/>
      <c r="AI263" s="42"/>
      <c r="AJ263" s="45"/>
      <c r="AK263" s="45"/>
      <c r="AL263" s="45"/>
      <c r="AM263" s="45"/>
      <c r="AN263" s="45"/>
      <c r="AO263" s="45"/>
      <c r="AP263" s="45"/>
      <c r="AQ263" s="36"/>
      <c r="AR263" s="36"/>
      <c r="AS263" s="36"/>
      <c r="AT263" s="36"/>
      <c r="AU263" s="36"/>
      <c r="AV263" s="36"/>
      <c r="AW263" s="36"/>
      <c r="AX263" s="36"/>
      <c r="AY263" s="36"/>
      <c r="AZ263" s="36"/>
      <c r="BA263" s="36"/>
      <c r="BB263" s="36"/>
      <c r="BC263" s="36"/>
      <c r="BD263" s="36"/>
      <c r="BE263" s="36"/>
      <c r="BF263" s="36"/>
      <c r="BG263" s="36"/>
      <c r="BH263" s="36"/>
      <c r="BI263" s="36"/>
      <c r="BJ263" s="36"/>
      <c r="BK263" s="36"/>
      <c r="BL263" s="36"/>
      <c r="BM263" s="36"/>
      <c r="BN263" s="36"/>
      <c r="BO263" s="36"/>
      <c r="BP263" s="36"/>
      <c r="BQ263" s="36"/>
    </row>
    <row r="264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2"/>
      <c r="AD264" s="42"/>
      <c r="AE264" s="42"/>
      <c r="AF264" s="42"/>
      <c r="AG264" s="42"/>
      <c r="AH264" s="42"/>
      <c r="AI264" s="42"/>
      <c r="AJ264" s="45"/>
      <c r="AK264" s="45"/>
      <c r="AL264" s="45"/>
      <c r="AM264" s="45"/>
      <c r="AN264" s="45"/>
      <c r="AO264" s="45"/>
      <c r="AP264" s="45"/>
      <c r="AQ264" s="36"/>
      <c r="AR264" s="36"/>
      <c r="AS264" s="36"/>
      <c r="AT264" s="36"/>
      <c r="AU264" s="36"/>
      <c r="AV264" s="36"/>
      <c r="AW264" s="36"/>
      <c r="AX264" s="36"/>
      <c r="AY264" s="36"/>
      <c r="AZ264" s="36"/>
      <c r="BA264" s="36"/>
      <c r="BB264" s="36"/>
      <c r="BC264" s="36"/>
      <c r="BD264" s="36"/>
      <c r="BE264" s="36"/>
      <c r="BF264" s="36"/>
      <c r="BG264" s="36"/>
      <c r="BH264" s="36"/>
      <c r="BI264" s="36"/>
      <c r="BJ264" s="36"/>
      <c r="BK264" s="36"/>
      <c r="BL264" s="36"/>
      <c r="BM264" s="36"/>
      <c r="BN264" s="36"/>
      <c r="BO264" s="36"/>
      <c r="BP264" s="36"/>
      <c r="BQ264" s="36"/>
    </row>
    <row r="26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2"/>
      <c r="AD265" s="42"/>
      <c r="AE265" s="42"/>
      <c r="AF265" s="42"/>
      <c r="AG265" s="42"/>
      <c r="AH265" s="42"/>
      <c r="AI265" s="42"/>
      <c r="AJ265" s="45"/>
      <c r="AK265" s="45"/>
      <c r="AL265" s="45"/>
      <c r="AM265" s="45"/>
      <c r="AN265" s="45"/>
      <c r="AO265" s="45"/>
      <c r="AP265" s="45"/>
      <c r="AQ265" s="36"/>
      <c r="AR265" s="36"/>
      <c r="AS265" s="36"/>
      <c r="AT265" s="36"/>
      <c r="AU265" s="36"/>
      <c r="AV265" s="36"/>
      <c r="AW265" s="36"/>
      <c r="AX265" s="36"/>
      <c r="AY265" s="36"/>
      <c r="AZ265" s="36"/>
      <c r="BA265" s="36"/>
      <c r="BB265" s="36"/>
      <c r="BC265" s="36"/>
      <c r="BD265" s="36"/>
      <c r="BE265" s="36"/>
      <c r="BF265" s="36"/>
      <c r="BG265" s="36"/>
      <c r="BH265" s="36"/>
      <c r="BI265" s="36"/>
      <c r="BJ265" s="36"/>
      <c r="BK265" s="36"/>
      <c r="BL265" s="36"/>
      <c r="BM265" s="36"/>
      <c r="BN265" s="36"/>
      <c r="BO265" s="36"/>
      <c r="BP265" s="36"/>
      <c r="BQ265" s="36"/>
    </row>
    <row r="266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2"/>
      <c r="AD266" s="42"/>
      <c r="AE266" s="42"/>
      <c r="AF266" s="42"/>
      <c r="AG266" s="42"/>
      <c r="AH266" s="42"/>
      <c r="AI266" s="42"/>
      <c r="AJ266" s="45"/>
      <c r="AK266" s="45"/>
      <c r="AL266" s="45"/>
      <c r="AM266" s="45"/>
      <c r="AN266" s="45"/>
      <c r="AO266" s="45"/>
      <c r="AP266" s="45"/>
      <c r="AQ266" s="36"/>
      <c r="AR266" s="36"/>
      <c r="AS266" s="36"/>
      <c r="AT266" s="36"/>
      <c r="AU266" s="36"/>
      <c r="AV266" s="36"/>
      <c r="AW266" s="36"/>
      <c r="AX266" s="36"/>
      <c r="AY266" s="36"/>
      <c r="AZ266" s="36"/>
      <c r="BA266" s="36"/>
      <c r="BB266" s="36"/>
      <c r="BC266" s="36"/>
      <c r="BD266" s="36"/>
      <c r="BE266" s="36"/>
      <c r="BF266" s="36"/>
      <c r="BG266" s="36"/>
      <c r="BH266" s="36"/>
      <c r="BI266" s="36"/>
      <c r="BJ266" s="36"/>
      <c r="BK266" s="36"/>
      <c r="BL266" s="36"/>
      <c r="BM266" s="36"/>
      <c r="BN266" s="36"/>
      <c r="BO266" s="36"/>
      <c r="BP266" s="36"/>
      <c r="BQ266" s="36"/>
    </row>
    <row r="267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2"/>
      <c r="AD267" s="42"/>
      <c r="AE267" s="42"/>
      <c r="AF267" s="42"/>
      <c r="AG267" s="42"/>
      <c r="AH267" s="42"/>
      <c r="AI267" s="42"/>
      <c r="AJ267" s="45"/>
      <c r="AK267" s="45"/>
      <c r="AL267" s="45"/>
      <c r="AM267" s="45"/>
      <c r="AN267" s="45"/>
      <c r="AO267" s="45"/>
      <c r="AP267" s="45"/>
      <c r="AQ267" s="36"/>
      <c r="AR267" s="36"/>
      <c r="AS267" s="36"/>
      <c r="AT267" s="36"/>
      <c r="AU267" s="36"/>
      <c r="AV267" s="36"/>
      <c r="AW267" s="36"/>
      <c r="AX267" s="36"/>
      <c r="AY267" s="36"/>
      <c r="AZ267" s="36"/>
      <c r="BA267" s="36"/>
      <c r="BB267" s="36"/>
      <c r="BC267" s="36"/>
      <c r="BD267" s="36"/>
      <c r="BE267" s="36"/>
      <c r="BF267" s="36"/>
      <c r="BG267" s="36"/>
      <c r="BH267" s="36"/>
      <c r="BI267" s="36"/>
      <c r="BJ267" s="36"/>
      <c r="BK267" s="36"/>
      <c r="BL267" s="36"/>
      <c r="BM267" s="36"/>
      <c r="BN267" s="36"/>
      <c r="BO267" s="36"/>
      <c r="BP267" s="36"/>
      <c r="BQ267" s="36"/>
    </row>
    <row r="268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2"/>
      <c r="AD268" s="42"/>
      <c r="AE268" s="42"/>
      <c r="AF268" s="42"/>
      <c r="AG268" s="42"/>
      <c r="AH268" s="42"/>
      <c r="AI268" s="42"/>
      <c r="AJ268" s="45"/>
      <c r="AK268" s="45"/>
      <c r="AL268" s="45"/>
      <c r="AM268" s="45"/>
      <c r="AN268" s="45"/>
      <c r="AO268" s="45"/>
      <c r="AP268" s="45"/>
      <c r="AQ268" s="36"/>
      <c r="AR268" s="36"/>
      <c r="AS268" s="36"/>
      <c r="AT268" s="36"/>
      <c r="AU268" s="36"/>
      <c r="AV268" s="36"/>
      <c r="AW268" s="36"/>
      <c r="AX268" s="36"/>
      <c r="AY268" s="36"/>
      <c r="AZ268" s="36"/>
      <c r="BA268" s="36"/>
      <c r="BB268" s="36"/>
      <c r="BC268" s="36"/>
      <c r="BD268" s="36"/>
      <c r="BE268" s="36"/>
      <c r="BF268" s="36"/>
      <c r="BG268" s="36"/>
      <c r="BH268" s="36"/>
      <c r="BI268" s="36"/>
      <c r="BJ268" s="36"/>
      <c r="BK268" s="36"/>
      <c r="BL268" s="36"/>
      <c r="BM268" s="36"/>
      <c r="BN268" s="36"/>
      <c r="BO268" s="36"/>
      <c r="BP268" s="36"/>
      <c r="BQ268" s="36"/>
    </row>
    <row r="269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2"/>
      <c r="AD269" s="42"/>
      <c r="AE269" s="42"/>
      <c r="AF269" s="42"/>
      <c r="AG269" s="42"/>
      <c r="AH269" s="42"/>
      <c r="AI269" s="42"/>
      <c r="AJ269" s="45"/>
      <c r="AK269" s="45"/>
      <c r="AL269" s="45"/>
      <c r="AM269" s="45"/>
      <c r="AN269" s="45"/>
      <c r="AO269" s="45"/>
      <c r="AP269" s="45"/>
      <c r="AQ269" s="36"/>
      <c r="AR269" s="36"/>
      <c r="AS269" s="36"/>
      <c r="AT269" s="36"/>
      <c r="AU269" s="36"/>
      <c r="AV269" s="36"/>
      <c r="AW269" s="36"/>
      <c r="AX269" s="36"/>
      <c r="AY269" s="36"/>
      <c r="AZ269" s="36"/>
      <c r="BA269" s="36"/>
      <c r="BB269" s="36"/>
      <c r="BC269" s="36"/>
      <c r="BD269" s="36"/>
      <c r="BE269" s="36"/>
      <c r="BF269" s="36"/>
      <c r="BG269" s="36"/>
      <c r="BH269" s="36"/>
      <c r="BI269" s="36"/>
      <c r="BJ269" s="36"/>
      <c r="BK269" s="36"/>
      <c r="BL269" s="36"/>
      <c r="BM269" s="36"/>
      <c r="BN269" s="36"/>
      <c r="BO269" s="36"/>
      <c r="BP269" s="36"/>
      <c r="BQ269" s="36"/>
    </row>
    <row r="270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2"/>
      <c r="AD270" s="42"/>
      <c r="AE270" s="42"/>
      <c r="AF270" s="42"/>
      <c r="AG270" s="42"/>
      <c r="AH270" s="42"/>
      <c r="AI270" s="42"/>
      <c r="AJ270" s="45"/>
      <c r="AK270" s="45"/>
      <c r="AL270" s="45"/>
      <c r="AM270" s="45"/>
      <c r="AN270" s="45"/>
      <c r="AO270" s="45"/>
      <c r="AP270" s="45"/>
      <c r="AQ270" s="36"/>
      <c r="AR270" s="36"/>
      <c r="AS270" s="36"/>
      <c r="AT270" s="36"/>
      <c r="AU270" s="36"/>
      <c r="AV270" s="36"/>
      <c r="AW270" s="36"/>
      <c r="AX270" s="36"/>
      <c r="AY270" s="36"/>
      <c r="AZ270" s="36"/>
      <c r="BA270" s="36"/>
      <c r="BB270" s="36"/>
      <c r="BC270" s="36"/>
      <c r="BD270" s="36"/>
      <c r="BE270" s="36"/>
      <c r="BF270" s="36"/>
      <c r="BG270" s="36"/>
      <c r="BH270" s="36"/>
      <c r="BI270" s="36"/>
      <c r="BJ270" s="36"/>
      <c r="BK270" s="36"/>
      <c r="BL270" s="36"/>
      <c r="BM270" s="36"/>
      <c r="BN270" s="36"/>
      <c r="BO270" s="36"/>
      <c r="BP270" s="36"/>
      <c r="BQ270" s="36"/>
    </row>
    <row r="27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2"/>
      <c r="AD271" s="42"/>
      <c r="AE271" s="42"/>
      <c r="AF271" s="42"/>
      <c r="AG271" s="42"/>
      <c r="AH271" s="42"/>
      <c r="AI271" s="42"/>
      <c r="AJ271" s="45"/>
      <c r="AK271" s="45"/>
      <c r="AL271" s="45"/>
      <c r="AM271" s="45"/>
      <c r="AN271" s="45"/>
      <c r="AO271" s="45"/>
      <c r="AP271" s="45"/>
      <c r="AQ271" s="36"/>
      <c r="AR271" s="36"/>
      <c r="AS271" s="36"/>
      <c r="AT271" s="36"/>
      <c r="AU271" s="36"/>
      <c r="AV271" s="36"/>
      <c r="AW271" s="36"/>
      <c r="AX271" s="36"/>
      <c r="AY271" s="36"/>
      <c r="AZ271" s="36"/>
      <c r="BA271" s="36"/>
      <c r="BB271" s="36"/>
      <c r="BC271" s="36"/>
      <c r="BD271" s="36"/>
      <c r="BE271" s="36"/>
      <c r="BF271" s="36"/>
      <c r="BG271" s="36"/>
      <c r="BH271" s="36"/>
      <c r="BI271" s="36"/>
      <c r="BJ271" s="36"/>
      <c r="BK271" s="36"/>
      <c r="BL271" s="36"/>
      <c r="BM271" s="36"/>
      <c r="BN271" s="36"/>
      <c r="BO271" s="36"/>
      <c r="BP271" s="36"/>
      <c r="BQ271" s="36"/>
    </row>
    <row r="272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2"/>
      <c r="AD272" s="42"/>
      <c r="AE272" s="42"/>
      <c r="AF272" s="42"/>
      <c r="AG272" s="42"/>
      <c r="AH272" s="42"/>
      <c r="AI272" s="42"/>
      <c r="AJ272" s="45"/>
      <c r="AK272" s="45"/>
      <c r="AL272" s="45"/>
      <c r="AM272" s="45"/>
      <c r="AN272" s="45"/>
      <c r="AO272" s="45"/>
      <c r="AP272" s="45"/>
      <c r="AQ272" s="36"/>
      <c r="AR272" s="36"/>
      <c r="AS272" s="36"/>
      <c r="AT272" s="36"/>
      <c r="AU272" s="36"/>
      <c r="AV272" s="36"/>
      <c r="AW272" s="36"/>
      <c r="AX272" s="36"/>
      <c r="AY272" s="36"/>
      <c r="AZ272" s="36"/>
      <c r="BA272" s="36"/>
      <c r="BB272" s="36"/>
      <c r="BC272" s="36"/>
      <c r="BD272" s="36"/>
      <c r="BE272" s="36"/>
      <c r="BF272" s="36"/>
      <c r="BG272" s="36"/>
      <c r="BH272" s="36"/>
      <c r="BI272" s="36"/>
      <c r="BJ272" s="36"/>
      <c r="BK272" s="36"/>
      <c r="BL272" s="36"/>
      <c r="BM272" s="36"/>
      <c r="BN272" s="36"/>
      <c r="BO272" s="36"/>
      <c r="BP272" s="36"/>
      <c r="BQ272" s="36"/>
    </row>
    <row r="273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2"/>
      <c r="AD273" s="42"/>
      <c r="AE273" s="42"/>
      <c r="AF273" s="42"/>
      <c r="AG273" s="42"/>
      <c r="AH273" s="42"/>
      <c r="AI273" s="42"/>
      <c r="AJ273" s="45"/>
      <c r="AK273" s="45"/>
      <c r="AL273" s="45"/>
      <c r="AM273" s="45"/>
      <c r="AN273" s="45"/>
      <c r="AO273" s="45"/>
      <c r="AP273" s="45"/>
      <c r="AQ273" s="36"/>
      <c r="AR273" s="36"/>
      <c r="AS273" s="36"/>
      <c r="AT273" s="36"/>
      <c r="AU273" s="36"/>
      <c r="AV273" s="36"/>
      <c r="AW273" s="36"/>
      <c r="AX273" s="36"/>
      <c r="AY273" s="36"/>
      <c r="AZ273" s="36"/>
      <c r="BA273" s="36"/>
      <c r="BB273" s="36"/>
      <c r="BC273" s="36"/>
      <c r="BD273" s="36"/>
      <c r="BE273" s="36"/>
      <c r="BF273" s="36"/>
      <c r="BG273" s="36"/>
      <c r="BH273" s="36"/>
      <c r="BI273" s="36"/>
      <c r="BJ273" s="36"/>
      <c r="BK273" s="36"/>
      <c r="BL273" s="36"/>
      <c r="BM273" s="36"/>
      <c r="BN273" s="36"/>
      <c r="BO273" s="36"/>
      <c r="BP273" s="36"/>
      <c r="BQ273" s="36"/>
    </row>
    <row r="274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2"/>
      <c r="AD274" s="42"/>
      <c r="AE274" s="42"/>
      <c r="AF274" s="42"/>
      <c r="AG274" s="42"/>
      <c r="AH274" s="42"/>
      <c r="AI274" s="42"/>
      <c r="AJ274" s="45"/>
      <c r="AK274" s="45"/>
      <c r="AL274" s="45"/>
      <c r="AM274" s="45"/>
      <c r="AN274" s="45"/>
      <c r="AO274" s="45"/>
      <c r="AP274" s="45"/>
      <c r="AQ274" s="36"/>
      <c r="AR274" s="36"/>
      <c r="AS274" s="36"/>
      <c r="AT274" s="36"/>
      <c r="AU274" s="36"/>
      <c r="AV274" s="36"/>
      <c r="AW274" s="36"/>
      <c r="AX274" s="36"/>
      <c r="AY274" s="36"/>
      <c r="AZ274" s="36"/>
      <c r="BA274" s="36"/>
      <c r="BB274" s="36"/>
      <c r="BC274" s="36"/>
      <c r="BD274" s="36"/>
      <c r="BE274" s="36"/>
      <c r="BF274" s="36"/>
      <c r="BG274" s="36"/>
      <c r="BH274" s="36"/>
      <c r="BI274" s="36"/>
      <c r="BJ274" s="36"/>
      <c r="BK274" s="36"/>
      <c r="BL274" s="36"/>
      <c r="BM274" s="36"/>
      <c r="BN274" s="36"/>
      <c r="BO274" s="36"/>
      <c r="BP274" s="36"/>
      <c r="BQ274" s="36"/>
    </row>
    <row r="2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2"/>
      <c r="AD275" s="42"/>
      <c r="AE275" s="42"/>
      <c r="AF275" s="42"/>
      <c r="AG275" s="42"/>
      <c r="AH275" s="42"/>
      <c r="AI275" s="42"/>
      <c r="AJ275" s="45"/>
      <c r="AK275" s="45"/>
      <c r="AL275" s="45"/>
      <c r="AM275" s="45"/>
      <c r="AN275" s="45"/>
      <c r="AO275" s="45"/>
      <c r="AP275" s="45"/>
      <c r="AQ275" s="36"/>
      <c r="AR275" s="36"/>
      <c r="AS275" s="36"/>
      <c r="AT275" s="36"/>
      <c r="AU275" s="36"/>
      <c r="AV275" s="36"/>
      <c r="AW275" s="36"/>
      <c r="AX275" s="36"/>
      <c r="AY275" s="36"/>
      <c r="AZ275" s="36"/>
      <c r="BA275" s="36"/>
      <c r="BB275" s="36"/>
      <c r="BC275" s="36"/>
      <c r="BD275" s="36"/>
      <c r="BE275" s="36"/>
      <c r="BF275" s="36"/>
      <c r="BG275" s="36"/>
      <c r="BH275" s="36"/>
      <c r="BI275" s="36"/>
      <c r="BJ275" s="36"/>
      <c r="BK275" s="36"/>
      <c r="BL275" s="36"/>
      <c r="BM275" s="36"/>
      <c r="BN275" s="36"/>
      <c r="BO275" s="36"/>
      <c r="BP275" s="36"/>
      <c r="BQ275" s="36"/>
    </row>
    <row r="276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2"/>
      <c r="AD276" s="42"/>
      <c r="AE276" s="42"/>
      <c r="AF276" s="42"/>
      <c r="AG276" s="42"/>
      <c r="AH276" s="42"/>
      <c r="AI276" s="42"/>
      <c r="AJ276" s="45"/>
      <c r="AK276" s="45"/>
      <c r="AL276" s="45"/>
      <c r="AM276" s="45"/>
      <c r="AN276" s="45"/>
      <c r="AO276" s="45"/>
      <c r="AP276" s="45"/>
      <c r="AQ276" s="36"/>
      <c r="AR276" s="36"/>
      <c r="AS276" s="36"/>
      <c r="AT276" s="36"/>
      <c r="AU276" s="36"/>
      <c r="AV276" s="36"/>
      <c r="AW276" s="36"/>
      <c r="AX276" s="36"/>
      <c r="AY276" s="36"/>
      <c r="AZ276" s="36"/>
      <c r="BA276" s="36"/>
      <c r="BB276" s="36"/>
      <c r="BC276" s="36"/>
      <c r="BD276" s="36"/>
      <c r="BE276" s="36"/>
      <c r="BF276" s="36"/>
      <c r="BG276" s="36"/>
      <c r="BH276" s="36"/>
      <c r="BI276" s="36"/>
      <c r="BJ276" s="36"/>
      <c r="BK276" s="36"/>
      <c r="BL276" s="36"/>
      <c r="BM276" s="36"/>
      <c r="BN276" s="36"/>
      <c r="BO276" s="36"/>
      <c r="BP276" s="36"/>
      <c r="BQ276" s="36"/>
    </row>
    <row r="277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2"/>
      <c r="AD277" s="42"/>
      <c r="AE277" s="42"/>
      <c r="AF277" s="42"/>
      <c r="AG277" s="42"/>
      <c r="AH277" s="42"/>
      <c r="AI277" s="42"/>
      <c r="AJ277" s="45"/>
      <c r="AK277" s="45"/>
      <c r="AL277" s="45"/>
      <c r="AM277" s="45"/>
      <c r="AN277" s="45"/>
      <c r="AO277" s="45"/>
      <c r="AP277" s="45"/>
      <c r="AQ277" s="36"/>
      <c r="AR277" s="36"/>
      <c r="AS277" s="36"/>
      <c r="AT277" s="36"/>
      <c r="AU277" s="36"/>
      <c r="AV277" s="36"/>
      <c r="AW277" s="36"/>
      <c r="AX277" s="36"/>
      <c r="AY277" s="36"/>
      <c r="AZ277" s="36"/>
      <c r="BA277" s="36"/>
      <c r="BB277" s="36"/>
      <c r="BC277" s="36"/>
      <c r="BD277" s="36"/>
      <c r="BE277" s="36"/>
      <c r="BF277" s="36"/>
      <c r="BG277" s="36"/>
      <c r="BH277" s="36"/>
      <c r="BI277" s="36"/>
      <c r="BJ277" s="36"/>
      <c r="BK277" s="36"/>
      <c r="BL277" s="36"/>
      <c r="BM277" s="36"/>
      <c r="BN277" s="36"/>
      <c r="BO277" s="36"/>
      <c r="BP277" s="36"/>
      <c r="BQ277" s="36"/>
    </row>
    <row r="278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2"/>
      <c r="AD278" s="42"/>
      <c r="AE278" s="42"/>
      <c r="AF278" s="42"/>
      <c r="AG278" s="42"/>
      <c r="AH278" s="42"/>
      <c r="AI278" s="42"/>
      <c r="AJ278" s="45"/>
      <c r="AK278" s="45"/>
      <c r="AL278" s="45"/>
      <c r="AM278" s="45"/>
      <c r="AN278" s="45"/>
      <c r="AO278" s="45"/>
      <c r="AP278" s="45"/>
      <c r="AQ278" s="36"/>
      <c r="AR278" s="36"/>
      <c r="AS278" s="36"/>
      <c r="AT278" s="36"/>
      <c r="AU278" s="36"/>
      <c r="AV278" s="36"/>
      <c r="AW278" s="36"/>
      <c r="AX278" s="36"/>
      <c r="AY278" s="36"/>
      <c r="AZ278" s="36"/>
      <c r="BA278" s="36"/>
      <c r="BB278" s="36"/>
      <c r="BC278" s="36"/>
      <c r="BD278" s="36"/>
      <c r="BE278" s="36"/>
      <c r="BF278" s="36"/>
      <c r="BG278" s="36"/>
      <c r="BH278" s="36"/>
      <c r="BI278" s="36"/>
      <c r="BJ278" s="36"/>
      <c r="BK278" s="36"/>
      <c r="BL278" s="36"/>
      <c r="BM278" s="36"/>
      <c r="BN278" s="36"/>
      <c r="BO278" s="36"/>
      <c r="BP278" s="36"/>
      <c r="BQ278" s="36"/>
    </row>
    <row r="279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2"/>
      <c r="AD279" s="42"/>
      <c r="AE279" s="42"/>
      <c r="AF279" s="42"/>
      <c r="AG279" s="42"/>
      <c r="AH279" s="42"/>
      <c r="AI279" s="42"/>
      <c r="AJ279" s="45"/>
      <c r="AK279" s="45"/>
      <c r="AL279" s="45"/>
      <c r="AM279" s="45"/>
      <c r="AN279" s="45"/>
      <c r="AO279" s="45"/>
      <c r="AP279" s="45"/>
      <c r="AQ279" s="36"/>
      <c r="AR279" s="36"/>
      <c r="AS279" s="36"/>
      <c r="AT279" s="36"/>
      <c r="AU279" s="36"/>
      <c r="AV279" s="36"/>
      <c r="AW279" s="36"/>
      <c r="AX279" s="36"/>
      <c r="AY279" s="36"/>
      <c r="AZ279" s="36"/>
      <c r="BA279" s="36"/>
      <c r="BB279" s="36"/>
      <c r="BC279" s="36"/>
      <c r="BD279" s="36"/>
      <c r="BE279" s="36"/>
      <c r="BF279" s="36"/>
      <c r="BG279" s="36"/>
      <c r="BH279" s="36"/>
      <c r="BI279" s="36"/>
      <c r="BJ279" s="36"/>
      <c r="BK279" s="36"/>
      <c r="BL279" s="36"/>
      <c r="BM279" s="36"/>
      <c r="BN279" s="36"/>
      <c r="BO279" s="36"/>
      <c r="BP279" s="36"/>
      <c r="BQ279" s="36"/>
    </row>
    <row r="280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2"/>
      <c r="AD280" s="42"/>
      <c r="AE280" s="42"/>
      <c r="AF280" s="42"/>
      <c r="AG280" s="42"/>
      <c r="AH280" s="42"/>
      <c r="AI280" s="42"/>
      <c r="AJ280" s="45"/>
      <c r="AK280" s="45"/>
      <c r="AL280" s="45"/>
      <c r="AM280" s="45"/>
      <c r="AN280" s="45"/>
      <c r="AO280" s="45"/>
      <c r="AP280" s="45"/>
      <c r="AQ280" s="36"/>
      <c r="AR280" s="36"/>
      <c r="AS280" s="36"/>
      <c r="AT280" s="36"/>
      <c r="AU280" s="36"/>
      <c r="AV280" s="36"/>
      <c r="AW280" s="36"/>
      <c r="AX280" s="36"/>
      <c r="AY280" s="36"/>
      <c r="AZ280" s="36"/>
      <c r="BA280" s="36"/>
      <c r="BB280" s="36"/>
      <c r="BC280" s="36"/>
      <c r="BD280" s="36"/>
      <c r="BE280" s="36"/>
      <c r="BF280" s="36"/>
      <c r="BG280" s="36"/>
      <c r="BH280" s="36"/>
      <c r="BI280" s="36"/>
      <c r="BJ280" s="36"/>
      <c r="BK280" s="36"/>
      <c r="BL280" s="36"/>
      <c r="BM280" s="36"/>
      <c r="BN280" s="36"/>
      <c r="BO280" s="36"/>
      <c r="BP280" s="36"/>
      <c r="BQ280" s="36"/>
    </row>
    <row r="28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2"/>
      <c r="AD281" s="42"/>
      <c r="AE281" s="42"/>
      <c r="AF281" s="42"/>
      <c r="AG281" s="42"/>
      <c r="AH281" s="42"/>
      <c r="AI281" s="42"/>
      <c r="AJ281" s="45"/>
      <c r="AK281" s="45"/>
      <c r="AL281" s="45"/>
      <c r="AM281" s="45"/>
      <c r="AN281" s="45"/>
      <c r="AO281" s="45"/>
      <c r="AP281" s="45"/>
      <c r="AQ281" s="36"/>
      <c r="AR281" s="36"/>
      <c r="AS281" s="36"/>
      <c r="AT281" s="36"/>
      <c r="AU281" s="36"/>
      <c r="AV281" s="36"/>
      <c r="AW281" s="36"/>
      <c r="AX281" s="36"/>
      <c r="AY281" s="36"/>
      <c r="AZ281" s="36"/>
      <c r="BA281" s="36"/>
      <c r="BB281" s="36"/>
      <c r="BC281" s="36"/>
      <c r="BD281" s="36"/>
      <c r="BE281" s="36"/>
      <c r="BF281" s="36"/>
      <c r="BG281" s="36"/>
      <c r="BH281" s="36"/>
      <c r="BI281" s="36"/>
      <c r="BJ281" s="36"/>
      <c r="BK281" s="36"/>
      <c r="BL281" s="36"/>
      <c r="BM281" s="36"/>
      <c r="BN281" s="36"/>
      <c r="BO281" s="36"/>
      <c r="BP281" s="36"/>
      <c r="BQ281" s="36"/>
    </row>
    <row r="282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2"/>
      <c r="AD282" s="42"/>
      <c r="AE282" s="42"/>
      <c r="AF282" s="42"/>
      <c r="AG282" s="42"/>
      <c r="AH282" s="42"/>
      <c r="AI282" s="42"/>
      <c r="AJ282" s="45"/>
      <c r="AK282" s="45"/>
      <c r="AL282" s="45"/>
      <c r="AM282" s="45"/>
      <c r="AN282" s="45"/>
      <c r="AO282" s="45"/>
      <c r="AP282" s="45"/>
      <c r="AQ282" s="36"/>
      <c r="AR282" s="36"/>
      <c r="AS282" s="36"/>
      <c r="AT282" s="36"/>
      <c r="AU282" s="36"/>
      <c r="AV282" s="36"/>
      <c r="AW282" s="36"/>
      <c r="AX282" s="36"/>
      <c r="AY282" s="36"/>
      <c r="AZ282" s="36"/>
      <c r="BA282" s="36"/>
      <c r="BB282" s="36"/>
      <c r="BC282" s="36"/>
      <c r="BD282" s="36"/>
      <c r="BE282" s="36"/>
      <c r="BF282" s="36"/>
      <c r="BG282" s="36"/>
      <c r="BH282" s="36"/>
      <c r="BI282" s="36"/>
      <c r="BJ282" s="36"/>
      <c r="BK282" s="36"/>
      <c r="BL282" s="36"/>
      <c r="BM282" s="36"/>
      <c r="BN282" s="36"/>
      <c r="BO282" s="36"/>
      <c r="BP282" s="36"/>
      <c r="BQ282" s="36"/>
    </row>
    <row r="283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2"/>
      <c r="AD283" s="42"/>
      <c r="AE283" s="42"/>
      <c r="AF283" s="42"/>
      <c r="AG283" s="42"/>
      <c r="AH283" s="42"/>
      <c r="AI283" s="42"/>
      <c r="AJ283" s="45"/>
      <c r="AK283" s="45"/>
      <c r="AL283" s="45"/>
      <c r="AM283" s="45"/>
      <c r="AN283" s="45"/>
      <c r="AO283" s="45"/>
      <c r="AP283" s="45"/>
      <c r="AQ283" s="36"/>
      <c r="AR283" s="36"/>
      <c r="AS283" s="36"/>
      <c r="AT283" s="36"/>
      <c r="AU283" s="36"/>
      <c r="AV283" s="36"/>
      <c r="AW283" s="36"/>
      <c r="AX283" s="36"/>
      <c r="AY283" s="36"/>
      <c r="AZ283" s="36"/>
      <c r="BA283" s="36"/>
      <c r="BB283" s="36"/>
      <c r="BC283" s="36"/>
      <c r="BD283" s="36"/>
      <c r="BE283" s="36"/>
      <c r="BF283" s="36"/>
      <c r="BG283" s="36"/>
      <c r="BH283" s="36"/>
      <c r="BI283" s="36"/>
      <c r="BJ283" s="36"/>
      <c r="BK283" s="36"/>
      <c r="BL283" s="36"/>
      <c r="BM283" s="36"/>
      <c r="BN283" s="36"/>
      <c r="BO283" s="36"/>
      <c r="BP283" s="36"/>
      <c r="BQ283" s="36"/>
    </row>
    <row r="284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2"/>
      <c r="AD284" s="42"/>
      <c r="AE284" s="42"/>
      <c r="AF284" s="42"/>
      <c r="AG284" s="42"/>
      <c r="AH284" s="42"/>
      <c r="AI284" s="42"/>
      <c r="AJ284" s="45"/>
      <c r="AK284" s="45"/>
      <c r="AL284" s="45"/>
      <c r="AM284" s="45"/>
      <c r="AN284" s="45"/>
      <c r="AO284" s="45"/>
      <c r="AP284" s="45"/>
      <c r="AQ284" s="36"/>
      <c r="AR284" s="36"/>
      <c r="AS284" s="36"/>
      <c r="AT284" s="36"/>
      <c r="AU284" s="36"/>
      <c r="AV284" s="36"/>
      <c r="AW284" s="36"/>
      <c r="AX284" s="36"/>
      <c r="AY284" s="36"/>
      <c r="AZ284" s="36"/>
      <c r="BA284" s="36"/>
      <c r="BB284" s="36"/>
      <c r="BC284" s="36"/>
      <c r="BD284" s="36"/>
      <c r="BE284" s="36"/>
      <c r="BF284" s="36"/>
      <c r="BG284" s="36"/>
      <c r="BH284" s="36"/>
      <c r="BI284" s="36"/>
      <c r="BJ284" s="36"/>
      <c r="BK284" s="36"/>
      <c r="BL284" s="36"/>
      <c r="BM284" s="36"/>
      <c r="BN284" s="36"/>
      <c r="BO284" s="36"/>
      <c r="BP284" s="36"/>
      <c r="BQ284" s="36"/>
    </row>
    <row r="28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2"/>
      <c r="AD285" s="42"/>
      <c r="AE285" s="42"/>
      <c r="AF285" s="42"/>
      <c r="AG285" s="42"/>
      <c r="AH285" s="42"/>
      <c r="AI285" s="42"/>
      <c r="AJ285" s="45"/>
      <c r="AK285" s="45"/>
      <c r="AL285" s="45"/>
      <c r="AM285" s="45"/>
      <c r="AN285" s="45"/>
      <c r="AO285" s="45"/>
      <c r="AP285" s="45"/>
      <c r="AQ285" s="36"/>
      <c r="AR285" s="36"/>
      <c r="AS285" s="36"/>
      <c r="AT285" s="36"/>
      <c r="AU285" s="36"/>
      <c r="AV285" s="36"/>
      <c r="AW285" s="36"/>
      <c r="AX285" s="36"/>
      <c r="AY285" s="36"/>
      <c r="AZ285" s="36"/>
      <c r="BA285" s="36"/>
      <c r="BB285" s="36"/>
      <c r="BC285" s="36"/>
      <c r="BD285" s="36"/>
      <c r="BE285" s="36"/>
      <c r="BF285" s="36"/>
      <c r="BG285" s="36"/>
      <c r="BH285" s="36"/>
      <c r="BI285" s="36"/>
      <c r="BJ285" s="36"/>
      <c r="BK285" s="36"/>
      <c r="BL285" s="36"/>
      <c r="BM285" s="36"/>
      <c r="BN285" s="36"/>
      <c r="BO285" s="36"/>
      <c r="BP285" s="36"/>
      <c r="BQ285" s="36"/>
    </row>
    <row r="286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2"/>
      <c r="AD286" s="42"/>
      <c r="AE286" s="42"/>
      <c r="AF286" s="42"/>
      <c r="AG286" s="42"/>
      <c r="AH286" s="42"/>
      <c r="AI286" s="42"/>
      <c r="AJ286" s="45"/>
      <c r="AK286" s="45"/>
      <c r="AL286" s="45"/>
      <c r="AM286" s="45"/>
      <c r="AN286" s="45"/>
      <c r="AO286" s="45"/>
      <c r="AP286" s="45"/>
      <c r="AQ286" s="36"/>
      <c r="AR286" s="36"/>
      <c r="AS286" s="36"/>
      <c r="AT286" s="36"/>
      <c r="AU286" s="36"/>
      <c r="AV286" s="36"/>
      <c r="AW286" s="36"/>
      <c r="AX286" s="36"/>
      <c r="AY286" s="36"/>
      <c r="AZ286" s="36"/>
      <c r="BA286" s="36"/>
      <c r="BB286" s="36"/>
      <c r="BC286" s="36"/>
      <c r="BD286" s="36"/>
      <c r="BE286" s="36"/>
      <c r="BF286" s="36"/>
      <c r="BG286" s="36"/>
      <c r="BH286" s="36"/>
      <c r="BI286" s="36"/>
      <c r="BJ286" s="36"/>
      <c r="BK286" s="36"/>
      <c r="BL286" s="36"/>
      <c r="BM286" s="36"/>
      <c r="BN286" s="36"/>
      <c r="BO286" s="36"/>
      <c r="BP286" s="36"/>
      <c r="BQ286" s="36"/>
    </row>
    <row r="287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2"/>
      <c r="AD287" s="42"/>
      <c r="AE287" s="42"/>
      <c r="AF287" s="42"/>
      <c r="AG287" s="42"/>
      <c r="AH287" s="42"/>
      <c r="AI287" s="42"/>
      <c r="AJ287" s="45"/>
      <c r="AK287" s="45"/>
      <c r="AL287" s="45"/>
      <c r="AM287" s="45"/>
      <c r="AN287" s="45"/>
      <c r="AO287" s="45"/>
      <c r="AP287" s="45"/>
      <c r="AQ287" s="36"/>
      <c r="AR287" s="36"/>
      <c r="AS287" s="36"/>
      <c r="AT287" s="36"/>
      <c r="AU287" s="36"/>
      <c r="AV287" s="36"/>
      <c r="AW287" s="36"/>
      <c r="AX287" s="36"/>
      <c r="AY287" s="36"/>
      <c r="AZ287" s="36"/>
      <c r="BA287" s="36"/>
      <c r="BB287" s="36"/>
      <c r="BC287" s="36"/>
      <c r="BD287" s="36"/>
      <c r="BE287" s="36"/>
      <c r="BF287" s="36"/>
      <c r="BG287" s="36"/>
      <c r="BH287" s="36"/>
      <c r="BI287" s="36"/>
      <c r="BJ287" s="36"/>
      <c r="BK287" s="36"/>
      <c r="BL287" s="36"/>
      <c r="BM287" s="36"/>
      <c r="BN287" s="36"/>
      <c r="BO287" s="36"/>
      <c r="BP287" s="36"/>
      <c r="BQ287" s="36"/>
    </row>
    <row r="288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2"/>
      <c r="AD288" s="42"/>
      <c r="AE288" s="42"/>
      <c r="AF288" s="42"/>
      <c r="AG288" s="42"/>
      <c r="AH288" s="42"/>
      <c r="AI288" s="42"/>
      <c r="AJ288" s="45"/>
      <c r="AK288" s="45"/>
      <c r="AL288" s="45"/>
      <c r="AM288" s="45"/>
      <c r="AN288" s="45"/>
      <c r="AO288" s="45"/>
      <c r="AP288" s="45"/>
      <c r="AQ288" s="36"/>
      <c r="AR288" s="36"/>
      <c r="AS288" s="36"/>
      <c r="AT288" s="36"/>
      <c r="AU288" s="36"/>
      <c r="AV288" s="36"/>
      <c r="AW288" s="36"/>
      <c r="AX288" s="36"/>
      <c r="AY288" s="36"/>
      <c r="AZ288" s="36"/>
      <c r="BA288" s="36"/>
      <c r="BB288" s="36"/>
      <c r="BC288" s="36"/>
      <c r="BD288" s="36"/>
      <c r="BE288" s="36"/>
      <c r="BF288" s="36"/>
      <c r="BG288" s="36"/>
      <c r="BH288" s="36"/>
      <c r="BI288" s="36"/>
      <c r="BJ288" s="36"/>
      <c r="BK288" s="36"/>
      <c r="BL288" s="36"/>
      <c r="BM288" s="36"/>
      <c r="BN288" s="36"/>
      <c r="BO288" s="36"/>
      <c r="BP288" s="36"/>
      <c r="BQ288" s="36"/>
    </row>
    <row r="289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2"/>
      <c r="AD289" s="42"/>
      <c r="AE289" s="42"/>
      <c r="AF289" s="42"/>
      <c r="AG289" s="42"/>
      <c r="AH289" s="42"/>
      <c r="AI289" s="42"/>
      <c r="AJ289" s="45"/>
      <c r="AK289" s="45"/>
      <c r="AL289" s="45"/>
      <c r="AM289" s="45"/>
      <c r="AN289" s="45"/>
      <c r="AO289" s="45"/>
      <c r="AP289" s="45"/>
      <c r="AQ289" s="36"/>
      <c r="AR289" s="36"/>
      <c r="AS289" s="36"/>
      <c r="AT289" s="36"/>
      <c r="AU289" s="36"/>
      <c r="AV289" s="36"/>
      <c r="AW289" s="36"/>
      <c r="AX289" s="36"/>
      <c r="AY289" s="36"/>
      <c r="AZ289" s="36"/>
      <c r="BA289" s="36"/>
      <c r="BB289" s="36"/>
      <c r="BC289" s="36"/>
      <c r="BD289" s="36"/>
      <c r="BE289" s="36"/>
      <c r="BF289" s="36"/>
      <c r="BG289" s="36"/>
      <c r="BH289" s="36"/>
      <c r="BI289" s="36"/>
      <c r="BJ289" s="36"/>
      <c r="BK289" s="36"/>
      <c r="BL289" s="36"/>
      <c r="BM289" s="36"/>
      <c r="BN289" s="36"/>
      <c r="BO289" s="36"/>
      <c r="BP289" s="36"/>
      <c r="BQ289" s="36"/>
    </row>
    <row r="290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2"/>
      <c r="AD290" s="42"/>
      <c r="AE290" s="42"/>
      <c r="AF290" s="42"/>
      <c r="AG290" s="42"/>
      <c r="AH290" s="42"/>
      <c r="AI290" s="42"/>
      <c r="AJ290" s="45"/>
      <c r="AK290" s="45"/>
      <c r="AL290" s="45"/>
      <c r="AM290" s="45"/>
      <c r="AN290" s="45"/>
      <c r="AO290" s="45"/>
      <c r="AP290" s="45"/>
      <c r="AQ290" s="36"/>
      <c r="AR290" s="36"/>
      <c r="AS290" s="36"/>
      <c r="AT290" s="36"/>
      <c r="AU290" s="36"/>
      <c r="AV290" s="36"/>
      <c r="AW290" s="36"/>
      <c r="AX290" s="36"/>
      <c r="AY290" s="36"/>
      <c r="AZ290" s="36"/>
      <c r="BA290" s="36"/>
      <c r="BB290" s="36"/>
      <c r="BC290" s="36"/>
      <c r="BD290" s="36"/>
      <c r="BE290" s="36"/>
      <c r="BF290" s="36"/>
      <c r="BG290" s="36"/>
      <c r="BH290" s="36"/>
      <c r="BI290" s="36"/>
      <c r="BJ290" s="36"/>
      <c r="BK290" s="36"/>
      <c r="BL290" s="36"/>
      <c r="BM290" s="36"/>
      <c r="BN290" s="36"/>
      <c r="BO290" s="36"/>
      <c r="BP290" s="36"/>
      <c r="BQ290" s="36"/>
    </row>
    <row r="29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2"/>
      <c r="AD291" s="42"/>
      <c r="AE291" s="42"/>
      <c r="AF291" s="42"/>
      <c r="AG291" s="42"/>
      <c r="AH291" s="42"/>
      <c r="AI291" s="42"/>
      <c r="AJ291" s="45"/>
      <c r="AK291" s="45"/>
      <c r="AL291" s="45"/>
      <c r="AM291" s="45"/>
      <c r="AN291" s="45"/>
      <c r="AO291" s="45"/>
      <c r="AP291" s="45"/>
      <c r="AQ291" s="36"/>
      <c r="AR291" s="36"/>
      <c r="AS291" s="36"/>
      <c r="AT291" s="36"/>
      <c r="AU291" s="36"/>
      <c r="AV291" s="36"/>
      <c r="AW291" s="36"/>
      <c r="AX291" s="36"/>
      <c r="AY291" s="36"/>
      <c r="AZ291" s="36"/>
      <c r="BA291" s="36"/>
      <c r="BB291" s="36"/>
      <c r="BC291" s="36"/>
      <c r="BD291" s="36"/>
      <c r="BE291" s="36"/>
      <c r="BF291" s="36"/>
      <c r="BG291" s="36"/>
      <c r="BH291" s="36"/>
      <c r="BI291" s="36"/>
      <c r="BJ291" s="36"/>
      <c r="BK291" s="36"/>
      <c r="BL291" s="36"/>
      <c r="BM291" s="36"/>
      <c r="BN291" s="36"/>
      <c r="BO291" s="36"/>
      <c r="BP291" s="36"/>
      <c r="BQ291" s="36"/>
    </row>
    <row r="292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2"/>
      <c r="AD292" s="42"/>
      <c r="AE292" s="42"/>
      <c r="AF292" s="42"/>
      <c r="AG292" s="42"/>
      <c r="AH292" s="42"/>
      <c r="AI292" s="42"/>
      <c r="AJ292" s="45"/>
      <c r="AK292" s="45"/>
      <c r="AL292" s="45"/>
      <c r="AM292" s="45"/>
      <c r="AN292" s="45"/>
      <c r="AO292" s="45"/>
      <c r="AP292" s="45"/>
      <c r="AQ292" s="36"/>
      <c r="AR292" s="36"/>
      <c r="AS292" s="36"/>
      <c r="AT292" s="36"/>
      <c r="AU292" s="36"/>
      <c r="AV292" s="36"/>
      <c r="AW292" s="36"/>
      <c r="AX292" s="36"/>
      <c r="AY292" s="36"/>
      <c r="AZ292" s="36"/>
      <c r="BA292" s="36"/>
      <c r="BB292" s="36"/>
      <c r="BC292" s="36"/>
      <c r="BD292" s="36"/>
      <c r="BE292" s="36"/>
      <c r="BF292" s="36"/>
      <c r="BG292" s="36"/>
      <c r="BH292" s="36"/>
      <c r="BI292" s="36"/>
      <c r="BJ292" s="36"/>
      <c r="BK292" s="36"/>
      <c r="BL292" s="36"/>
      <c r="BM292" s="36"/>
      <c r="BN292" s="36"/>
      <c r="BO292" s="36"/>
      <c r="BP292" s="36"/>
      <c r="BQ292" s="36"/>
    </row>
    <row r="293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2"/>
      <c r="AD293" s="42"/>
      <c r="AE293" s="42"/>
      <c r="AF293" s="42"/>
      <c r="AG293" s="42"/>
      <c r="AH293" s="42"/>
      <c r="AI293" s="42"/>
      <c r="AJ293" s="45"/>
      <c r="AK293" s="45"/>
      <c r="AL293" s="45"/>
      <c r="AM293" s="45"/>
      <c r="AN293" s="45"/>
      <c r="AO293" s="45"/>
      <c r="AP293" s="45"/>
      <c r="AQ293" s="36"/>
      <c r="AR293" s="36"/>
      <c r="AS293" s="36"/>
      <c r="AT293" s="36"/>
      <c r="AU293" s="36"/>
      <c r="AV293" s="36"/>
      <c r="AW293" s="36"/>
      <c r="AX293" s="36"/>
      <c r="AY293" s="36"/>
      <c r="AZ293" s="36"/>
      <c r="BA293" s="36"/>
      <c r="BB293" s="36"/>
      <c r="BC293" s="36"/>
      <c r="BD293" s="36"/>
      <c r="BE293" s="36"/>
      <c r="BF293" s="36"/>
      <c r="BG293" s="36"/>
      <c r="BH293" s="36"/>
      <c r="BI293" s="36"/>
      <c r="BJ293" s="36"/>
      <c r="BK293" s="36"/>
      <c r="BL293" s="36"/>
      <c r="BM293" s="36"/>
      <c r="BN293" s="36"/>
      <c r="BO293" s="36"/>
      <c r="BP293" s="36"/>
      <c r="BQ293" s="36"/>
    </row>
    <row r="294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2"/>
      <c r="AD294" s="42"/>
      <c r="AE294" s="42"/>
      <c r="AF294" s="42"/>
      <c r="AG294" s="42"/>
      <c r="AH294" s="42"/>
      <c r="AI294" s="42"/>
      <c r="AJ294" s="45"/>
      <c r="AK294" s="45"/>
      <c r="AL294" s="45"/>
      <c r="AM294" s="45"/>
      <c r="AN294" s="45"/>
      <c r="AO294" s="45"/>
      <c r="AP294" s="45"/>
      <c r="AQ294" s="36"/>
      <c r="AR294" s="36"/>
      <c r="AS294" s="36"/>
      <c r="AT294" s="36"/>
      <c r="AU294" s="36"/>
      <c r="AV294" s="36"/>
      <c r="AW294" s="36"/>
      <c r="AX294" s="36"/>
      <c r="AY294" s="36"/>
      <c r="AZ294" s="36"/>
      <c r="BA294" s="36"/>
      <c r="BB294" s="36"/>
      <c r="BC294" s="36"/>
      <c r="BD294" s="36"/>
      <c r="BE294" s="36"/>
      <c r="BF294" s="36"/>
      <c r="BG294" s="36"/>
      <c r="BH294" s="36"/>
      <c r="BI294" s="36"/>
      <c r="BJ294" s="36"/>
      <c r="BK294" s="36"/>
      <c r="BL294" s="36"/>
      <c r="BM294" s="36"/>
      <c r="BN294" s="36"/>
      <c r="BO294" s="36"/>
      <c r="BP294" s="36"/>
      <c r="BQ294" s="36"/>
    </row>
    <row r="29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2"/>
      <c r="AD295" s="42"/>
      <c r="AE295" s="42"/>
      <c r="AF295" s="42"/>
      <c r="AG295" s="42"/>
      <c r="AH295" s="42"/>
      <c r="AI295" s="42"/>
      <c r="AJ295" s="45"/>
      <c r="AK295" s="45"/>
      <c r="AL295" s="45"/>
      <c r="AM295" s="45"/>
      <c r="AN295" s="45"/>
      <c r="AO295" s="45"/>
      <c r="AP295" s="45"/>
      <c r="AQ295" s="36"/>
      <c r="AR295" s="36"/>
      <c r="AS295" s="36"/>
      <c r="AT295" s="36"/>
      <c r="AU295" s="36"/>
      <c r="AV295" s="36"/>
      <c r="AW295" s="36"/>
      <c r="AX295" s="36"/>
      <c r="AY295" s="36"/>
      <c r="AZ295" s="36"/>
      <c r="BA295" s="36"/>
      <c r="BB295" s="36"/>
      <c r="BC295" s="36"/>
      <c r="BD295" s="36"/>
      <c r="BE295" s="36"/>
      <c r="BF295" s="36"/>
      <c r="BG295" s="36"/>
      <c r="BH295" s="36"/>
      <c r="BI295" s="36"/>
      <c r="BJ295" s="36"/>
      <c r="BK295" s="36"/>
      <c r="BL295" s="36"/>
      <c r="BM295" s="36"/>
      <c r="BN295" s="36"/>
      <c r="BO295" s="36"/>
      <c r="BP295" s="36"/>
      <c r="BQ295" s="36"/>
    </row>
    <row r="296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51"/>
      <c r="S296" s="51"/>
      <c r="T296" s="51"/>
      <c r="U296" s="51"/>
      <c r="V296" s="51"/>
      <c r="W296" s="51"/>
      <c r="X296" s="51"/>
      <c r="Y296" s="45"/>
      <c r="Z296" s="45"/>
      <c r="AA296" s="45"/>
      <c r="AB296" s="45"/>
      <c r="AC296" s="45"/>
      <c r="AD296" s="45"/>
      <c r="AE296" s="45"/>
      <c r="AF296" s="45"/>
      <c r="AG296" s="45"/>
      <c r="AH296" s="45"/>
      <c r="AI296" s="45"/>
      <c r="AJ296" s="45"/>
      <c r="AK296" s="45"/>
      <c r="AL296" s="45"/>
      <c r="AM296" s="45"/>
      <c r="AN296" s="45"/>
      <c r="AO296" s="45"/>
      <c r="AP296" s="45"/>
      <c r="AQ296" s="36"/>
      <c r="AR296" s="36"/>
      <c r="AS296" s="36"/>
      <c r="AT296" s="36"/>
      <c r="AU296" s="36"/>
      <c r="AV296" s="36"/>
      <c r="AW296" s="36"/>
      <c r="AX296" s="36"/>
      <c r="AY296" s="36"/>
      <c r="AZ296" s="36"/>
      <c r="BA296" s="36"/>
      <c r="BB296" s="36"/>
      <c r="BC296" s="36"/>
      <c r="BD296" s="36"/>
      <c r="BE296" s="36"/>
      <c r="BF296" s="36"/>
      <c r="BG296" s="36"/>
      <c r="BH296" s="36"/>
      <c r="BI296" s="36"/>
      <c r="BJ296" s="36"/>
      <c r="BK296" s="36"/>
      <c r="BL296" s="36"/>
      <c r="BM296" s="36"/>
      <c r="BN296" s="36"/>
      <c r="BO296" s="36"/>
      <c r="BP296" s="36"/>
      <c r="BQ296" s="36"/>
    </row>
    <row r="297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51"/>
      <c r="S297" s="51"/>
      <c r="T297" s="51"/>
      <c r="U297" s="51"/>
      <c r="V297" s="51"/>
      <c r="W297" s="51"/>
      <c r="X297" s="51"/>
      <c r="Y297" s="45"/>
      <c r="Z297" s="45"/>
      <c r="AA297" s="45"/>
      <c r="AB297" s="45"/>
      <c r="AC297" s="45"/>
      <c r="AD297" s="45"/>
      <c r="AE297" s="45"/>
      <c r="AF297" s="45"/>
      <c r="AG297" s="45"/>
      <c r="AH297" s="45"/>
      <c r="AI297" s="45"/>
      <c r="AJ297" s="45"/>
      <c r="AK297" s="45"/>
      <c r="AL297" s="45"/>
      <c r="AM297" s="45"/>
      <c r="AN297" s="45"/>
      <c r="AO297" s="45"/>
      <c r="AP297" s="45"/>
      <c r="AQ297" s="36"/>
      <c r="AR297" s="36"/>
      <c r="AS297" s="36"/>
      <c r="AT297" s="36"/>
      <c r="AU297" s="36"/>
      <c r="AV297" s="36"/>
      <c r="AW297" s="36"/>
      <c r="AX297" s="36"/>
      <c r="AY297" s="36"/>
      <c r="AZ297" s="36"/>
      <c r="BA297" s="36"/>
      <c r="BB297" s="36"/>
      <c r="BC297" s="36"/>
      <c r="BD297" s="36"/>
      <c r="BE297" s="36"/>
      <c r="BF297" s="36"/>
      <c r="BG297" s="36"/>
      <c r="BH297" s="36"/>
      <c r="BI297" s="36"/>
      <c r="BJ297" s="36"/>
      <c r="BK297" s="36"/>
      <c r="BL297" s="36"/>
      <c r="BM297" s="36"/>
      <c r="BN297" s="36"/>
      <c r="BO297" s="36"/>
      <c r="BP297" s="36"/>
      <c r="BQ297" s="36"/>
    </row>
    <row r="298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51"/>
      <c r="S298" s="51"/>
      <c r="T298" s="51"/>
      <c r="U298" s="51"/>
      <c r="V298" s="51"/>
      <c r="W298" s="51"/>
      <c r="X298" s="51"/>
      <c r="Y298" s="45"/>
      <c r="Z298" s="45"/>
      <c r="AA298" s="45"/>
      <c r="AB298" s="45"/>
      <c r="AC298" s="45"/>
      <c r="AD298" s="45"/>
      <c r="AE298" s="45"/>
      <c r="AF298" s="45"/>
      <c r="AG298" s="45"/>
      <c r="AH298" s="45"/>
      <c r="AI298" s="45"/>
      <c r="AJ298" s="45"/>
      <c r="AK298" s="45"/>
      <c r="AL298" s="45"/>
      <c r="AM298" s="45"/>
      <c r="AN298" s="45"/>
      <c r="AO298" s="45"/>
      <c r="AP298" s="45"/>
      <c r="AQ298" s="36"/>
      <c r="AR298" s="36"/>
      <c r="AS298" s="36"/>
      <c r="AT298" s="36"/>
      <c r="AU298" s="36"/>
      <c r="AV298" s="36"/>
      <c r="AW298" s="36"/>
      <c r="AX298" s="36"/>
      <c r="AY298" s="36"/>
      <c r="AZ298" s="36"/>
      <c r="BA298" s="36"/>
      <c r="BB298" s="36"/>
      <c r="BC298" s="36"/>
      <c r="BD298" s="36"/>
      <c r="BE298" s="36"/>
      <c r="BF298" s="36"/>
      <c r="BG298" s="36"/>
      <c r="BH298" s="36"/>
      <c r="BI298" s="36"/>
      <c r="BJ298" s="36"/>
      <c r="BK298" s="36"/>
      <c r="BL298" s="36"/>
      <c r="BM298" s="36"/>
      <c r="BN298" s="36"/>
      <c r="BO298" s="36"/>
      <c r="BP298" s="36"/>
      <c r="BQ298" s="36"/>
    </row>
    <row r="299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51"/>
      <c r="S299" s="51"/>
      <c r="T299" s="51"/>
      <c r="U299" s="51"/>
      <c r="V299" s="51"/>
      <c r="W299" s="51"/>
      <c r="X299" s="51"/>
      <c r="Y299" s="45"/>
      <c r="Z299" s="45"/>
      <c r="AA299" s="45"/>
      <c r="AB299" s="45"/>
      <c r="AC299" s="45"/>
      <c r="AD299" s="45"/>
      <c r="AE299" s="45"/>
      <c r="AF299" s="45"/>
      <c r="AG299" s="45"/>
      <c r="AH299" s="45"/>
      <c r="AI299" s="45"/>
      <c r="AJ299" s="45"/>
      <c r="AK299" s="45"/>
      <c r="AL299" s="45"/>
      <c r="AM299" s="45"/>
      <c r="AN299" s="45"/>
      <c r="AO299" s="45"/>
      <c r="AP299" s="45"/>
      <c r="AQ299" s="36"/>
      <c r="AR299" s="36"/>
      <c r="AS299" s="36"/>
      <c r="AT299" s="36"/>
      <c r="AU299" s="36"/>
      <c r="AV299" s="36"/>
      <c r="AW299" s="36"/>
      <c r="AX299" s="36"/>
      <c r="AY299" s="36"/>
      <c r="AZ299" s="36"/>
      <c r="BA299" s="36"/>
      <c r="BB299" s="36"/>
      <c r="BC299" s="36"/>
      <c r="BD299" s="36"/>
      <c r="BE299" s="36"/>
      <c r="BF299" s="36"/>
      <c r="BG299" s="36"/>
      <c r="BH299" s="36"/>
      <c r="BI299" s="36"/>
      <c r="BJ299" s="36"/>
      <c r="BK299" s="36"/>
      <c r="BL299" s="36"/>
      <c r="BM299" s="36"/>
      <c r="BN299" s="36"/>
      <c r="BO299" s="36"/>
      <c r="BP299" s="36"/>
      <c r="BQ299" s="36"/>
    </row>
    <row r="300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52"/>
      <c r="S300" s="51"/>
      <c r="T300" s="51"/>
      <c r="U300" s="51"/>
      <c r="V300" s="51"/>
      <c r="W300" s="51"/>
      <c r="X300" s="51"/>
      <c r="Y300" s="45"/>
      <c r="Z300" s="45"/>
      <c r="AA300" s="45"/>
      <c r="AB300" s="45"/>
      <c r="AC300" s="45"/>
      <c r="AD300" s="45"/>
      <c r="AE300" s="45"/>
      <c r="AF300" s="45"/>
      <c r="AG300" s="45"/>
      <c r="AH300" s="45"/>
      <c r="AI300" s="45"/>
      <c r="AJ300" s="45"/>
      <c r="AK300" s="45"/>
      <c r="AL300" s="45"/>
      <c r="AM300" s="45"/>
      <c r="AN300" s="45"/>
      <c r="AO300" s="45"/>
      <c r="AP300" s="45"/>
      <c r="AQ300" s="36"/>
      <c r="AR300" s="36"/>
      <c r="AS300" s="36"/>
      <c r="AT300" s="36"/>
      <c r="AU300" s="36"/>
      <c r="AV300" s="36"/>
      <c r="AW300" s="36"/>
      <c r="AX300" s="36"/>
      <c r="AY300" s="36"/>
      <c r="AZ300" s="36"/>
      <c r="BA300" s="36"/>
      <c r="BB300" s="36"/>
      <c r="BC300" s="36"/>
      <c r="BD300" s="36"/>
      <c r="BE300" s="36"/>
      <c r="BF300" s="36"/>
      <c r="BG300" s="36"/>
      <c r="BH300" s="36"/>
      <c r="BI300" s="36"/>
      <c r="BJ300" s="36"/>
      <c r="BK300" s="36"/>
      <c r="BL300" s="36"/>
      <c r="BM300" s="36"/>
      <c r="BN300" s="36"/>
      <c r="BO300" s="36"/>
      <c r="BP300" s="36"/>
      <c r="BQ300" s="36"/>
    </row>
    <row r="30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51"/>
      <c r="S301" s="51"/>
      <c r="T301" s="51"/>
      <c r="U301" s="51"/>
      <c r="V301" s="51"/>
      <c r="W301" s="51"/>
      <c r="X301" s="51"/>
      <c r="Y301" s="45"/>
      <c r="Z301" s="45"/>
      <c r="AA301" s="45"/>
      <c r="AB301" s="45"/>
      <c r="AC301" s="45"/>
      <c r="AD301" s="45"/>
      <c r="AE301" s="45"/>
      <c r="AF301" s="45"/>
      <c r="AG301" s="45"/>
      <c r="AH301" s="45"/>
      <c r="AI301" s="45"/>
      <c r="AJ301" s="45"/>
      <c r="AK301" s="45"/>
      <c r="AL301" s="45"/>
      <c r="AM301" s="45"/>
      <c r="AN301" s="45"/>
      <c r="AO301" s="45"/>
      <c r="AP301" s="45"/>
      <c r="AQ301" s="36"/>
      <c r="AR301" s="36"/>
      <c r="AS301" s="36"/>
      <c r="AT301" s="36"/>
      <c r="AU301" s="36"/>
      <c r="AV301" s="36"/>
      <c r="AW301" s="36"/>
      <c r="AX301" s="36"/>
      <c r="AY301" s="36"/>
      <c r="AZ301" s="36"/>
      <c r="BA301" s="36"/>
      <c r="BB301" s="36"/>
      <c r="BC301" s="36"/>
      <c r="BD301" s="36"/>
      <c r="BE301" s="36"/>
      <c r="BF301" s="36"/>
      <c r="BG301" s="36"/>
      <c r="BH301" s="36"/>
      <c r="BI301" s="36"/>
      <c r="BJ301" s="36"/>
      <c r="BK301" s="36"/>
      <c r="BL301" s="36"/>
      <c r="BM301" s="36"/>
      <c r="BN301" s="36"/>
      <c r="BO301" s="36"/>
      <c r="BP301" s="36"/>
      <c r="BQ301" s="36"/>
    </row>
    <row r="302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51"/>
      <c r="S302" s="51"/>
      <c r="T302" s="51"/>
      <c r="U302" s="51"/>
      <c r="V302" s="51"/>
      <c r="W302" s="51"/>
      <c r="X302" s="51"/>
      <c r="Y302" s="45"/>
      <c r="Z302" s="45"/>
      <c r="AA302" s="45"/>
      <c r="AB302" s="45"/>
      <c r="AC302" s="45"/>
      <c r="AD302" s="45"/>
      <c r="AE302" s="45"/>
      <c r="AF302" s="45"/>
      <c r="AG302" s="45"/>
      <c r="AH302" s="45"/>
      <c r="AI302" s="45"/>
      <c r="AJ302" s="45"/>
      <c r="AK302" s="45"/>
      <c r="AL302" s="45"/>
      <c r="AM302" s="45"/>
      <c r="AN302" s="45"/>
      <c r="AO302" s="45"/>
      <c r="AP302" s="45"/>
      <c r="AQ302" s="36"/>
      <c r="AR302" s="36"/>
      <c r="AS302" s="36"/>
      <c r="AT302" s="36"/>
      <c r="AU302" s="36"/>
      <c r="AV302" s="36"/>
      <c r="AW302" s="36"/>
      <c r="AX302" s="36"/>
      <c r="AY302" s="36"/>
      <c r="AZ302" s="36"/>
      <c r="BA302" s="36"/>
      <c r="BB302" s="36"/>
      <c r="BC302" s="36"/>
      <c r="BD302" s="36"/>
      <c r="BE302" s="36"/>
      <c r="BF302" s="36"/>
      <c r="BG302" s="36"/>
      <c r="BH302" s="36"/>
      <c r="BI302" s="36"/>
      <c r="BJ302" s="36"/>
      <c r="BK302" s="36"/>
      <c r="BL302" s="36"/>
      <c r="BM302" s="36"/>
      <c r="BN302" s="36"/>
      <c r="BO302" s="36"/>
      <c r="BP302" s="36"/>
      <c r="BQ302" s="36"/>
    </row>
    <row r="303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51"/>
      <c r="S303" s="51"/>
      <c r="T303" s="51"/>
      <c r="U303" s="51"/>
      <c r="V303" s="51"/>
      <c r="W303" s="51"/>
      <c r="X303" s="51"/>
      <c r="Y303" s="45"/>
      <c r="Z303" s="45"/>
      <c r="AA303" s="45"/>
      <c r="AB303" s="45"/>
      <c r="AC303" s="45"/>
      <c r="AD303" s="45"/>
      <c r="AE303" s="45"/>
      <c r="AF303" s="45"/>
      <c r="AG303" s="45"/>
      <c r="AH303" s="45"/>
      <c r="AI303" s="45"/>
      <c r="AJ303" s="45"/>
      <c r="AK303" s="45"/>
      <c r="AL303" s="45"/>
      <c r="AM303" s="45"/>
      <c r="AN303" s="45"/>
      <c r="AO303" s="45"/>
      <c r="AP303" s="45"/>
      <c r="AQ303" s="36"/>
      <c r="AR303" s="36"/>
      <c r="AS303" s="36"/>
      <c r="AT303" s="36"/>
      <c r="AU303" s="36"/>
      <c r="AV303" s="36"/>
      <c r="AW303" s="36"/>
      <c r="AX303" s="36"/>
      <c r="AY303" s="36"/>
      <c r="AZ303" s="36"/>
      <c r="BA303" s="36"/>
      <c r="BB303" s="36"/>
      <c r="BC303" s="36"/>
      <c r="BD303" s="36"/>
      <c r="BE303" s="36"/>
      <c r="BF303" s="36"/>
      <c r="BG303" s="36"/>
      <c r="BH303" s="36"/>
      <c r="BI303" s="36"/>
      <c r="BJ303" s="36"/>
      <c r="BK303" s="36"/>
      <c r="BL303" s="36"/>
      <c r="BM303" s="36"/>
      <c r="BN303" s="36"/>
      <c r="BO303" s="36"/>
      <c r="BP303" s="36"/>
      <c r="BQ303" s="36"/>
    </row>
    <row r="304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51"/>
      <c r="S304" s="51"/>
      <c r="T304" s="51"/>
      <c r="U304" s="51"/>
      <c r="V304" s="51"/>
      <c r="W304" s="51"/>
      <c r="X304" s="51"/>
      <c r="Y304" s="45"/>
      <c r="Z304" s="45"/>
      <c r="AA304" s="45"/>
      <c r="AB304" s="45"/>
      <c r="AC304" s="45"/>
      <c r="AD304" s="45"/>
      <c r="AE304" s="45"/>
      <c r="AF304" s="45"/>
      <c r="AG304" s="45"/>
      <c r="AH304" s="45"/>
      <c r="AI304" s="45"/>
      <c r="AJ304" s="45"/>
      <c r="AK304" s="45"/>
      <c r="AL304" s="45"/>
      <c r="AM304" s="45"/>
      <c r="AN304" s="45"/>
      <c r="AO304" s="45"/>
      <c r="AP304" s="45"/>
      <c r="AQ304" s="36"/>
      <c r="AR304" s="36"/>
      <c r="AS304" s="36"/>
      <c r="AT304" s="36"/>
      <c r="AU304" s="36"/>
      <c r="AV304" s="36"/>
      <c r="AW304" s="36"/>
      <c r="AX304" s="36"/>
      <c r="AY304" s="36"/>
      <c r="AZ304" s="36"/>
      <c r="BA304" s="36"/>
      <c r="BB304" s="36"/>
      <c r="BC304" s="36"/>
      <c r="BD304" s="36"/>
      <c r="BE304" s="36"/>
      <c r="BF304" s="36"/>
      <c r="BG304" s="36"/>
      <c r="BH304" s="36"/>
      <c r="BI304" s="36"/>
      <c r="BJ304" s="36"/>
      <c r="BK304" s="36"/>
      <c r="BL304" s="36"/>
      <c r="BM304" s="36"/>
      <c r="BN304" s="36"/>
      <c r="BO304" s="36"/>
      <c r="BP304" s="36"/>
      <c r="BQ304" s="36"/>
    </row>
    <row r="30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51"/>
      <c r="S305" s="51"/>
      <c r="T305" s="51"/>
      <c r="U305" s="51"/>
      <c r="V305" s="51"/>
      <c r="W305" s="51"/>
      <c r="X305" s="51"/>
      <c r="Y305" s="45"/>
      <c r="Z305" s="45"/>
      <c r="AA305" s="45"/>
      <c r="AB305" s="45"/>
      <c r="AC305" s="45"/>
      <c r="AD305" s="45"/>
      <c r="AE305" s="45"/>
      <c r="AF305" s="45"/>
      <c r="AG305" s="45"/>
      <c r="AH305" s="45"/>
      <c r="AI305" s="45"/>
      <c r="AJ305" s="45"/>
      <c r="AK305" s="45"/>
      <c r="AL305" s="45"/>
      <c r="AM305" s="45"/>
      <c r="AN305" s="45"/>
      <c r="AO305" s="45"/>
      <c r="AP305" s="45"/>
      <c r="AQ305" s="36"/>
      <c r="AR305" s="36"/>
      <c r="AS305" s="36"/>
      <c r="AT305" s="36"/>
      <c r="AU305" s="36"/>
      <c r="AV305" s="36"/>
      <c r="AW305" s="36"/>
      <c r="AX305" s="36"/>
      <c r="AY305" s="36"/>
      <c r="AZ305" s="36"/>
      <c r="BA305" s="36"/>
      <c r="BB305" s="36"/>
      <c r="BC305" s="36"/>
      <c r="BD305" s="36"/>
      <c r="BE305" s="36"/>
      <c r="BF305" s="36"/>
      <c r="BG305" s="36"/>
      <c r="BH305" s="36"/>
      <c r="BI305" s="36"/>
      <c r="BJ305" s="36"/>
      <c r="BK305" s="36"/>
      <c r="BL305" s="36"/>
      <c r="BM305" s="36"/>
      <c r="BN305" s="36"/>
      <c r="BO305" s="36"/>
      <c r="BP305" s="36"/>
      <c r="BQ305" s="36"/>
    </row>
    <row r="306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51"/>
      <c r="S306" s="51"/>
      <c r="T306" s="51"/>
      <c r="U306" s="51"/>
      <c r="V306" s="51"/>
      <c r="W306" s="51"/>
      <c r="X306" s="51"/>
      <c r="Y306" s="45"/>
      <c r="Z306" s="45"/>
      <c r="AA306" s="45"/>
      <c r="AB306" s="45"/>
      <c r="AC306" s="45"/>
      <c r="AD306" s="45"/>
      <c r="AE306" s="45"/>
      <c r="AF306" s="45"/>
      <c r="AG306" s="45"/>
      <c r="AH306" s="45"/>
      <c r="AI306" s="45"/>
      <c r="AJ306" s="45"/>
      <c r="AK306" s="45"/>
      <c r="AL306" s="45"/>
      <c r="AM306" s="45"/>
      <c r="AN306" s="45"/>
      <c r="AO306" s="45"/>
      <c r="AP306" s="45"/>
      <c r="AQ306" s="36"/>
      <c r="AR306" s="36"/>
      <c r="AS306" s="36"/>
      <c r="AT306" s="36"/>
      <c r="AU306" s="36"/>
      <c r="AV306" s="36"/>
      <c r="AW306" s="36"/>
      <c r="AX306" s="36"/>
      <c r="AY306" s="36"/>
      <c r="AZ306" s="36"/>
      <c r="BA306" s="36"/>
      <c r="BB306" s="36"/>
      <c r="BC306" s="36"/>
      <c r="BD306" s="36"/>
      <c r="BE306" s="36"/>
      <c r="BF306" s="36"/>
      <c r="BG306" s="36"/>
      <c r="BH306" s="36"/>
      <c r="BI306" s="36"/>
      <c r="BJ306" s="36"/>
      <c r="BK306" s="36"/>
      <c r="BL306" s="36"/>
      <c r="BM306" s="36"/>
      <c r="BN306" s="36"/>
      <c r="BO306" s="36"/>
      <c r="BP306" s="36"/>
      <c r="BQ306" s="36"/>
    </row>
    <row r="307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51"/>
      <c r="S307" s="51"/>
      <c r="T307" s="51"/>
      <c r="U307" s="51"/>
      <c r="V307" s="51"/>
      <c r="W307" s="51"/>
      <c r="X307" s="51"/>
      <c r="Y307" s="45"/>
      <c r="Z307" s="45"/>
      <c r="AA307" s="45"/>
      <c r="AB307" s="45"/>
      <c r="AC307" s="45"/>
      <c r="AD307" s="45"/>
      <c r="AE307" s="45"/>
      <c r="AF307" s="45"/>
      <c r="AG307" s="45"/>
      <c r="AH307" s="45"/>
      <c r="AI307" s="45"/>
      <c r="AJ307" s="45"/>
      <c r="AK307" s="45"/>
      <c r="AL307" s="45"/>
      <c r="AM307" s="45"/>
      <c r="AN307" s="45"/>
      <c r="AO307" s="45"/>
      <c r="AP307" s="45"/>
      <c r="AQ307" s="36"/>
      <c r="AR307" s="36"/>
      <c r="AS307" s="36"/>
      <c r="AT307" s="36"/>
      <c r="AU307" s="36"/>
      <c r="AV307" s="36"/>
      <c r="AW307" s="36"/>
      <c r="AX307" s="36"/>
      <c r="AY307" s="36"/>
      <c r="AZ307" s="36"/>
      <c r="BA307" s="36"/>
      <c r="BB307" s="36"/>
      <c r="BC307" s="36"/>
      <c r="BD307" s="36"/>
      <c r="BE307" s="36"/>
      <c r="BF307" s="36"/>
      <c r="BG307" s="36"/>
      <c r="BH307" s="36"/>
      <c r="BI307" s="36"/>
      <c r="BJ307" s="36"/>
      <c r="BK307" s="36"/>
      <c r="BL307" s="36"/>
      <c r="BM307" s="36"/>
      <c r="BN307" s="36"/>
      <c r="BO307" s="36"/>
      <c r="BP307" s="36"/>
      <c r="BQ307" s="36"/>
    </row>
    <row r="308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51"/>
      <c r="S308" s="51"/>
      <c r="T308" s="51"/>
      <c r="U308" s="51"/>
      <c r="V308" s="51"/>
      <c r="W308" s="51"/>
      <c r="X308" s="51"/>
      <c r="Y308" s="45"/>
      <c r="Z308" s="45"/>
      <c r="AA308" s="45"/>
      <c r="AB308" s="45"/>
      <c r="AC308" s="45"/>
      <c r="AD308" s="45"/>
      <c r="AE308" s="45"/>
      <c r="AF308" s="45"/>
      <c r="AG308" s="45"/>
      <c r="AH308" s="45"/>
      <c r="AI308" s="45"/>
      <c r="AJ308" s="45"/>
      <c r="AK308" s="45"/>
      <c r="AL308" s="45"/>
      <c r="AM308" s="45"/>
      <c r="AN308" s="45"/>
      <c r="AO308" s="45"/>
      <c r="AP308" s="45"/>
      <c r="AQ308" s="36"/>
      <c r="AR308" s="36"/>
      <c r="AS308" s="36"/>
      <c r="AT308" s="36"/>
      <c r="AU308" s="36"/>
      <c r="AV308" s="36"/>
      <c r="AW308" s="36"/>
      <c r="AX308" s="36"/>
      <c r="AY308" s="36"/>
      <c r="AZ308" s="36"/>
      <c r="BA308" s="36"/>
      <c r="BB308" s="36"/>
      <c r="BC308" s="36"/>
      <c r="BD308" s="36"/>
      <c r="BE308" s="36"/>
      <c r="BF308" s="36"/>
      <c r="BG308" s="36"/>
      <c r="BH308" s="36"/>
      <c r="BI308" s="36"/>
      <c r="BJ308" s="36"/>
      <c r="BK308" s="36"/>
      <c r="BL308" s="36"/>
      <c r="BM308" s="36"/>
      <c r="BN308" s="36"/>
      <c r="BO308" s="36"/>
      <c r="BP308" s="36"/>
      <c r="BQ308" s="36"/>
    </row>
    <row r="309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51"/>
      <c r="S309" s="51"/>
      <c r="T309" s="51"/>
      <c r="U309" s="51"/>
      <c r="V309" s="51"/>
      <c r="W309" s="51"/>
      <c r="X309" s="51"/>
      <c r="Y309" s="45"/>
      <c r="Z309" s="45"/>
      <c r="AA309" s="45"/>
      <c r="AB309" s="45"/>
      <c r="AC309" s="45"/>
      <c r="AD309" s="45"/>
      <c r="AE309" s="45"/>
      <c r="AF309" s="45"/>
      <c r="AG309" s="45"/>
      <c r="AH309" s="45"/>
      <c r="AI309" s="45"/>
      <c r="AJ309" s="45"/>
      <c r="AK309" s="45"/>
      <c r="AL309" s="45"/>
      <c r="AM309" s="45"/>
      <c r="AN309" s="45"/>
      <c r="AO309" s="45"/>
      <c r="AP309" s="45"/>
      <c r="AQ309" s="36"/>
      <c r="AR309" s="36"/>
      <c r="AS309" s="36"/>
      <c r="AT309" s="36"/>
      <c r="AU309" s="36"/>
      <c r="AV309" s="36"/>
      <c r="AW309" s="36"/>
      <c r="AX309" s="36"/>
      <c r="AY309" s="36"/>
      <c r="AZ309" s="36"/>
      <c r="BA309" s="36"/>
      <c r="BB309" s="36"/>
      <c r="BC309" s="36"/>
      <c r="BD309" s="36"/>
      <c r="BE309" s="36"/>
      <c r="BF309" s="36"/>
      <c r="BG309" s="36"/>
      <c r="BH309" s="36"/>
      <c r="BI309" s="36"/>
      <c r="BJ309" s="36"/>
      <c r="BK309" s="36"/>
      <c r="BL309" s="36"/>
      <c r="BM309" s="36"/>
      <c r="BN309" s="36"/>
      <c r="BO309" s="36"/>
      <c r="BP309" s="36"/>
      <c r="BQ309" s="36"/>
    </row>
    <row r="310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51"/>
      <c r="S310" s="51"/>
      <c r="T310" s="51"/>
      <c r="U310" s="51"/>
      <c r="V310" s="51"/>
      <c r="W310" s="51"/>
      <c r="X310" s="51"/>
      <c r="Y310" s="45"/>
      <c r="Z310" s="45"/>
      <c r="AA310" s="45"/>
      <c r="AB310" s="45"/>
      <c r="AC310" s="45"/>
      <c r="AD310" s="45"/>
      <c r="AE310" s="45"/>
      <c r="AF310" s="45"/>
      <c r="AG310" s="45"/>
      <c r="AH310" s="45"/>
      <c r="AI310" s="45"/>
      <c r="AJ310" s="45"/>
      <c r="AK310" s="45"/>
      <c r="AL310" s="45"/>
      <c r="AM310" s="45"/>
      <c r="AN310" s="45"/>
      <c r="AO310" s="45"/>
      <c r="AP310" s="45"/>
      <c r="AQ310" s="36"/>
      <c r="AR310" s="36"/>
      <c r="AS310" s="36"/>
      <c r="AT310" s="36"/>
      <c r="AU310" s="36"/>
      <c r="AV310" s="36"/>
      <c r="AW310" s="36"/>
      <c r="AX310" s="36"/>
      <c r="AY310" s="36"/>
      <c r="AZ310" s="36"/>
      <c r="BA310" s="36"/>
      <c r="BB310" s="36"/>
      <c r="BC310" s="36"/>
      <c r="BD310" s="36"/>
      <c r="BE310" s="36"/>
      <c r="BF310" s="36"/>
      <c r="BG310" s="36"/>
      <c r="BH310" s="36"/>
      <c r="BI310" s="36"/>
      <c r="BJ310" s="36"/>
      <c r="BK310" s="36"/>
      <c r="BL310" s="36"/>
      <c r="BM310" s="36"/>
      <c r="BN310" s="36"/>
      <c r="BO310" s="36"/>
      <c r="BP310" s="36"/>
      <c r="BQ310" s="36"/>
    </row>
    <row r="31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51"/>
      <c r="S311" s="51"/>
      <c r="T311" s="51"/>
      <c r="U311" s="51"/>
      <c r="V311" s="51"/>
      <c r="W311" s="51"/>
      <c r="X311" s="51"/>
      <c r="Y311" s="45"/>
      <c r="Z311" s="45"/>
      <c r="AA311" s="45"/>
      <c r="AB311" s="45"/>
      <c r="AC311" s="45"/>
      <c r="AD311" s="45"/>
      <c r="AE311" s="45"/>
      <c r="AF311" s="45"/>
      <c r="AG311" s="45"/>
      <c r="AH311" s="45"/>
      <c r="AI311" s="45"/>
      <c r="AJ311" s="45"/>
      <c r="AK311" s="45"/>
      <c r="AL311" s="45"/>
      <c r="AM311" s="45"/>
      <c r="AN311" s="45"/>
      <c r="AO311" s="45"/>
      <c r="AP311" s="45"/>
      <c r="AQ311" s="36"/>
      <c r="AR311" s="36"/>
      <c r="AS311" s="36"/>
      <c r="AT311" s="36"/>
      <c r="AU311" s="36"/>
      <c r="AV311" s="36"/>
      <c r="AW311" s="36"/>
      <c r="AX311" s="36"/>
      <c r="AY311" s="36"/>
      <c r="AZ311" s="36"/>
      <c r="BA311" s="36"/>
      <c r="BB311" s="36"/>
      <c r="BC311" s="36"/>
      <c r="BD311" s="36"/>
      <c r="BE311" s="36"/>
      <c r="BF311" s="36"/>
      <c r="BG311" s="36"/>
      <c r="BH311" s="36"/>
      <c r="BI311" s="36"/>
      <c r="BJ311" s="36"/>
      <c r="BK311" s="36"/>
      <c r="BL311" s="36"/>
      <c r="BM311" s="36"/>
      <c r="BN311" s="36"/>
      <c r="BO311" s="36"/>
      <c r="BP311" s="36"/>
      <c r="BQ311" s="36"/>
    </row>
    <row r="312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51"/>
      <c r="S312" s="51"/>
      <c r="T312" s="51"/>
      <c r="U312" s="51"/>
      <c r="V312" s="51"/>
      <c r="W312" s="51"/>
      <c r="X312" s="51"/>
      <c r="Y312" s="45"/>
      <c r="Z312" s="45"/>
      <c r="AA312" s="45"/>
      <c r="AB312" s="45"/>
      <c r="AC312" s="45"/>
      <c r="AD312" s="45"/>
      <c r="AE312" s="45"/>
      <c r="AF312" s="45"/>
      <c r="AG312" s="45"/>
      <c r="AH312" s="45"/>
      <c r="AI312" s="45"/>
      <c r="AJ312" s="45"/>
      <c r="AK312" s="45"/>
      <c r="AL312" s="45"/>
      <c r="AM312" s="45"/>
      <c r="AN312" s="45"/>
      <c r="AO312" s="45"/>
      <c r="AP312" s="45"/>
      <c r="AQ312" s="36"/>
      <c r="AR312" s="36"/>
      <c r="AS312" s="36"/>
      <c r="AT312" s="36"/>
      <c r="AU312" s="36"/>
      <c r="AV312" s="36"/>
      <c r="AW312" s="36"/>
      <c r="AX312" s="36"/>
      <c r="AY312" s="36"/>
      <c r="AZ312" s="36"/>
      <c r="BA312" s="36"/>
      <c r="BB312" s="36"/>
      <c r="BC312" s="36"/>
      <c r="BD312" s="36"/>
      <c r="BE312" s="36"/>
      <c r="BF312" s="36"/>
      <c r="BG312" s="36"/>
      <c r="BH312" s="36"/>
      <c r="BI312" s="36"/>
      <c r="BJ312" s="36"/>
      <c r="BK312" s="36"/>
      <c r="BL312" s="36"/>
      <c r="BM312" s="36"/>
      <c r="BN312" s="36"/>
      <c r="BO312" s="36"/>
      <c r="BP312" s="36"/>
      <c r="BQ312" s="36"/>
    </row>
    <row r="313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51"/>
      <c r="S313" s="51"/>
      <c r="T313" s="51"/>
      <c r="U313" s="51"/>
      <c r="V313" s="51"/>
      <c r="W313" s="51"/>
      <c r="X313" s="51"/>
      <c r="Y313" s="45"/>
      <c r="Z313" s="45"/>
      <c r="AA313" s="45"/>
      <c r="AB313" s="45"/>
      <c r="AC313" s="45"/>
      <c r="AD313" s="45"/>
      <c r="AE313" s="45"/>
      <c r="AF313" s="45"/>
      <c r="AG313" s="45"/>
      <c r="AH313" s="45"/>
      <c r="AI313" s="45"/>
      <c r="AJ313" s="45"/>
      <c r="AK313" s="45"/>
      <c r="AL313" s="45"/>
      <c r="AM313" s="45"/>
      <c r="AN313" s="45"/>
      <c r="AO313" s="45"/>
      <c r="AP313" s="45"/>
      <c r="AQ313" s="36"/>
      <c r="AR313" s="36"/>
      <c r="AS313" s="36"/>
      <c r="AT313" s="36"/>
      <c r="AU313" s="36"/>
      <c r="AV313" s="36"/>
      <c r="AW313" s="36"/>
      <c r="AX313" s="36"/>
      <c r="AY313" s="36"/>
      <c r="AZ313" s="36"/>
      <c r="BA313" s="36"/>
      <c r="BB313" s="36"/>
      <c r="BC313" s="36"/>
      <c r="BD313" s="36"/>
      <c r="BE313" s="36"/>
      <c r="BF313" s="36"/>
      <c r="BG313" s="36"/>
      <c r="BH313" s="36"/>
      <c r="BI313" s="36"/>
      <c r="BJ313" s="36"/>
      <c r="BK313" s="36"/>
      <c r="BL313" s="36"/>
      <c r="BM313" s="36"/>
      <c r="BN313" s="36"/>
      <c r="BO313" s="36"/>
      <c r="BP313" s="36"/>
      <c r="BQ313" s="36"/>
    </row>
    <row r="314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51"/>
      <c r="S314" s="51"/>
      <c r="T314" s="51"/>
      <c r="U314" s="51"/>
      <c r="V314" s="51"/>
      <c r="W314" s="51"/>
      <c r="X314" s="51"/>
      <c r="Y314" s="45"/>
      <c r="Z314" s="45"/>
      <c r="AA314" s="45"/>
      <c r="AB314" s="45"/>
      <c r="AC314" s="45"/>
      <c r="AD314" s="45"/>
      <c r="AE314" s="45"/>
      <c r="AF314" s="45"/>
      <c r="AG314" s="45"/>
      <c r="AH314" s="45"/>
      <c r="AI314" s="45"/>
      <c r="AJ314" s="45"/>
      <c r="AK314" s="45"/>
      <c r="AL314" s="45"/>
      <c r="AM314" s="45"/>
      <c r="AN314" s="45"/>
      <c r="AO314" s="45"/>
      <c r="AP314" s="45"/>
      <c r="AQ314" s="36"/>
      <c r="AR314" s="36"/>
      <c r="AS314" s="36"/>
      <c r="AT314" s="36"/>
      <c r="AU314" s="36"/>
      <c r="AV314" s="36"/>
      <c r="AW314" s="36"/>
      <c r="AX314" s="36"/>
      <c r="AY314" s="36"/>
      <c r="AZ314" s="36"/>
      <c r="BA314" s="36"/>
      <c r="BB314" s="36"/>
      <c r="BC314" s="36"/>
      <c r="BD314" s="36"/>
      <c r="BE314" s="36"/>
      <c r="BF314" s="36"/>
      <c r="BG314" s="36"/>
      <c r="BH314" s="36"/>
      <c r="BI314" s="36"/>
      <c r="BJ314" s="36"/>
      <c r="BK314" s="36"/>
      <c r="BL314" s="36"/>
      <c r="BM314" s="36"/>
      <c r="BN314" s="36"/>
      <c r="BO314" s="36"/>
      <c r="BP314" s="36"/>
      <c r="BQ314" s="36"/>
    </row>
    <row r="31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51"/>
      <c r="S315" s="51"/>
      <c r="T315" s="51"/>
      <c r="U315" s="51"/>
      <c r="V315" s="51"/>
      <c r="W315" s="51"/>
      <c r="X315" s="51"/>
      <c r="Y315" s="45"/>
      <c r="Z315" s="45"/>
      <c r="AA315" s="45"/>
      <c r="AB315" s="45"/>
      <c r="AC315" s="45"/>
      <c r="AD315" s="45"/>
      <c r="AE315" s="45"/>
      <c r="AF315" s="45"/>
      <c r="AG315" s="45"/>
      <c r="AH315" s="45"/>
      <c r="AI315" s="45"/>
      <c r="AJ315" s="45"/>
      <c r="AK315" s="45"/>
      <c r="AL315" s="45"/>
      <c r="AM315" s="45"/>
      <c r="AN315" s="45"/>
      <c r="AO315" s="45"/>
      <c r="AP315" s="45"/>
      <c r="AQ315" s="36"/>
      <c r="AR315" s="36"/>
      <c r="AS315" s="36"/>
      <c r="AT315" s="36"/>
      <c r="AU315" s="36"/>
      <c r="AV315" s="36"/>
      <c r="AW315" s="36"/>
      <c r="AX315" s="36"/>
      <c r="AY315" s="36"/>
      <c r="AZ315" s="36"/>
      <c r="BA315" s="36"/>
      <c r="BB315" s="36"/>
      <c r="BC315" s="36"/>
      <c r="BD315" s="36"/>
      <c r="BE315" s="36"/>
      <c r="BF315" s="36"/>
      <c r="BG315" s="36"/>
      <c r="BH315" s="36"/>
      <c r="BI315" s="36"/>
      <c r="BJ315" s="36"/>
      <c r="BK315" s="36"/>
      <c r="BL315" s="36"/>
      <c r="BM315" s="36"/>
      <c r="BN315" s="36"/>
      <c r="BO315" s="36"/>
      <c r="BP315" s="36"/>
      <c r="BQ315" s="36"/>
    </row>
    <row r="316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51"/>
      <c r="S316" s="51"/>
      <c r="T316" s="51"/>
      <c r="U316" s="51"/>
      <c r="V316" s="51"/>
      <c r="W316" s="51"/>
      <c r="X316" s="51"/>
      <c r="Y316" s="45"/>
      <c r="Z316" s="45"/>
      <c r="AA316" s="45"/>
      <c r="AB316" s="45"/>
      <c r="AC316" s="45"/>
      <c r="AD316" s="45"/>
      <c r="AE316" s="45"/>
      <c r="AF316" s="45"/>
      <c r="AG316" s="45"/>
      <c r="AH316" s="45"/>
      <c r="AI316" s="45"/>
      <c r="AJ316" s="45"/>
      <c r="AK316" s="45"/>
      <c r="AL316" s="45"/>
      <c r="AM316" s="45"/>
      <c r="AN316" s="45"/>
      <c r="AO316" s="45"/>
      <c r="AP316" s="45"/>
      <c r="AQ316" s="36"/>
      <c r="AR316" s="36"/>
      <c r="AS316" s="36"/>
      <c r="AT316" s="36"/>
      <c r="AU316" s="36"/>
      <c r="AV316" s="36"/>
      <c r="AW316" s="36"/>
      <c r="AX316" s="36"/>
      <c r="AY316" s="36"/>
      <c r="AZ316" s="36"/>
      <c r="BA316" s="36"/>
      <c r="BB316" s="36"/>
      <c r="BC316" s="36"/>
      <c r="BD316" s="36"/>
      <c r="BE316" s="36"/>
      <c r="BF316" s="36"/>
      <c r="BG316" s="36"/>
      <c r="BH316" s="36"/>
      <c r="BI316" s="36"/>
      <c r="BJ316" s="36"/>
      <c r="BK316" s="36"/>
      <c r="BL316" s="36"/>
      <c r="BM316" s="36"/>
      <c r="BN316" s="36"/>
      <c r="BO316" s="36"/>
      <c r="BP316" s="36"/>
      <c r="BQ316" s="36"/>
    </row>
    <row r="317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51"/>
      <c r="S317" s="51"/>
      <c r="T317" s="51"/>
      <c r="U317" s="51"/>
      <c r="V317" s="51"/>
      <c r="W317" s="51"/>
      <c r="X317" s="51"/>
      <c r="Y317" s="45"/>
      <c r="Z317" s="45"/>
      <c r="AA317" s="45"/>
      <c r="AB317" s="45"/>
      <c r="AC317" s="45"/>
      <c r="AD317" s="45"/>
      <c r="AE317" s="45"/>
      <c r="AF317" s="45"/>
      <c r="AG317" s="45"/>
      <c r="AH317" s="45"/>
      <c r="AI317" s="45"/>
      <c r="AJ317" s="45"/>
      <c r="AK317" s="45"/>
      <c r="AL317" s="45"/>
      <c r="AM317" s="45"/>
      <c r="AN317" s="45"/>
      <c r="AO317" s="45"/>
      <c r="AP317" s="45"/>
      <c r="AQ317" s="36"/>
      <c r="AR317" s="36"/>
      <c r="AS317" s="36"/>
      <c r="AT317" s="36"/>
      <c r="AU317" s="36"/>
      <c r="AV317" s="36"/>
      <c r="AW317" s="36"/>
      <c r="AX317" s="36"/>
      <c r="AY317" s="36"/>
      <c r="AZ317" s="36"/>
      <c r="BA317" s="36"/>
      <c r="BB317" s="36"/>
      <c r="BC317" s="36"/>
      <c r="BD317" s="36"/>
      <c r="BE317" s="36"/>
      <c r="BF317" s="36"/>
      <c r="BG317" s="36"/>
      <c r="BH317" s="36"/>
      <c r="BI317" s="36"/>
      <c r="BJ317" s="36"/>
      <c r="BK317" s="36"/>
      <c r="BL317" s="36"/>
      <c r="BM317" s="36"/>
      <c r="BN317" s="36"/>
      <c r="BO317" s="36"/>
      <c r="BP317" s="36"/>
      <c r="BQ317" s="36"/>
    </row>
    <row r="318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51"/>
      <c r="S318" s="51"/>
      <c r="T318" s="51"/>
      <c r="U318" s="51"/>
      <c r="V318" s="51"/>
      <c r="W318" s="51"/>
      <c r="X318" s="51"/>
      <c r="Y318" s="45"/>
      <c r="Z318" s="45"/>
      <c r="AA318" s="45"/>
      <c r="AB318" s="45"/>
      <c r="AC318" s="45"/>
      <c r="AD318" s="45"/>
      <c r="AE318" s="45"/>
      <c r="AF318" s="45"/>
      <c r="AG318" s="45"/>
      <c r="AH318" s="45"/>
      <c r="AI318" s="45"/>
      <c r="AJ318" s="45"/>
      <c r="AK318" s="45"/>
      <c r="AL318" s="45"/>
      <c r="AM318" s="45"/>
      <c r="AN318" s="45"/>
      <c r="AO318" s="45"/>
      <c r="AP318" s="45"/>
      <c r="AQ318" s="36"/>
      <c r="AR318" s="36"/>
      <c r="AS318" s="36"/>
      <c r="AT318" s="36"/>
      <c r="AU318" s="36"/>
      <c r="AV318" s="36"/>
      <c r="AW318" s="36"/>
      <c r="AX318" s="36"/>
      <c r="AY318" s="36"/>
      <c r="AZ318" s="36"/>
      <c r="BA318" s="36"/>
      <c r="BB318" s="36"/>
      <c r="BC318" s="36"/>
      <c r="BD318" s="36"/>
      <c r="BE318" s="36"/>
      <c r="BF318" s="36"/>
      <c r="BG318" s="36"/>
      <c r="BH318" s="36"/>
      <c r="BI318" s="36"/>
      <c r="BJ318" s="36"/>
      <c r="BK318" s="36"/>
      <c r="BL318" s="36"/>
      <c r="BM318" s="36"/>
      <c r="BN318" s="36"/>
      <c r="BO318" s="36"/>
      <c r="BP318" s="36"/>
      <c r="BQ318" s="36"/>
    </row>
    <row r="319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51"/>
      <c r="S319" s="51"/>
      <c r="T319" s="51"/>
      <c r="U319" s="51"/>
      <c r="V319" s="51"/>
      <c r="W319" s="51"/>
      <c r="X319" s="51"/>
      <c r="Y319" s="45"/>
      <c r="Z319" s="45"/>
      <c r="AA319" s="45"/>
      <c r="AB319" s="45"/>
      <c r="AC319" s="45"/>
      <c r="AD319" s="45"/>
      <c r="AE319" s="45"/>
      <c r="AF319" s="45"/>
      <c r="AG319" s="45"/>
      <c r="AH319" s="45"/>
      <c r="AI319" s="45"/>
      <c r="AJ319" s="45"/>
      <c r="AK319" s="45"/>
      <c r="AL319" s="45"/>
      <c r="AM319" s="45"/>
      <c r="AN319" s="45"/>
      <c r="AO319" s="45"/>
      <c r="AP319" s="45"/>
      <c r="AQ319" s="36"/>
      <c r="AR319" s="36"/>
      <c r="AS319" s="36"/>
      <c r="AT319" s="36"/>
      <c r="AU319" s="36"/>
      <c r="AV319" s="36"/>
      <c r="AW319" s="36"/>
      <c r="AX319" s="36"/>
      <c r="AY319" s="36"/>
      <c r="AZ319" s="36"/>
      <c r="BA319" s="36"/>
      <c r="BB319" s="36"/>
      <c r="BC319" s="36"/>
      <c r="BD319" s="36"/>
      <c r="BE319" s="36"/>
      <c r="BF319" s="36"/>
      <c r="BG319" s="36"/>
      <c r="BH319" s="36"/>
      <c r="BI319" s="36"/>
      <c r="BJ319" s="36"/>
      <c r="BK319" s="36"/>
      <c r="BL319" s="36"/>
      <c r="BM319" s="36"/>
      <c r="BN319" s="36"/>
      <c r="BO319" s="36"/>
      <c r="BP319" s="36"/>
      <c r="BQ319" s="36"/>
    </row>
    <row r="320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51"/>
      <c r="S320" s="51"/>
      <c r="T320" s="51"/>
      <c r="U320" s="51"/>
      <c r="V320" s="51"/>
      <c r="W320" s="51"/>
      <c r="X320" s="51"/>
      <c r="Y320" s="45"/>
      <c r="Z320" s="45"/>
      <c r="AA320" s="45"/>
      <c r="AB320" s="45"/>
      <c r="AC320" s="45"/>
      <c r="AD320" s="45"/>
      <c r="AE320" s="45"/>
      <c r="AF320" s="45"/>
      <c r="AG320" s="45"/>
      <c r="AH320" s="45"/>
      <c r="AI320" s="45"/>
      <c r="AJ320" s="45"/>
      <c r="AK320" s="45"/>
      <c r="AL320" s="45"/>
      <c r="AM320" s="45"/>
      <c r="AN320" s="45"/>
      <c r="AO320" s="45"/>
      <c r="AP320" s="45"/>
      <c r="AQ320" s="36"/>
      <c r="AR320" s="36"/>
      <c r="AS320" s="36"/>
      <c r="AT320" s="36"/>
      <c r="AU320" s="36"/>
      <c r="AV320" s="36"/>
      <c r="AW320" s="36"/>
      <c r="AX320" s="36"/>
      <c r="AY320" s="36"/>
      <c r="AZ320" s="36"/>
      <c r="BA320" s="36"/>
      <c r="BB320" s="36"/>
      <c r="BC320" s="36"/>
      <c r="BD320" s="36"/>
      <c r="BE320" s="36"/>
      <c r="BF320" s="36"/>
      <c r="BG320" s="36"/>
      <c r="BH320" s="36"/>
      <c r="BI320" s="36"/>
      <c r="BJ320" s="36"/>
      <c r="BK320" s="36"/>
      <c r="BL320" s="36"/>
      <c r="BM320" s="36"/>
      <c r="BN320" s="36"/>
      <c r="BO320" s="36"/>
      <c r="BP320" s="36"/>
      <c r="BQ320" s="36"/>
    </row>
    <row r="32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51"/>
      <c r="S321" s="51"/>
      <c r="T321" s="51"/>
      <c r="U321" s="51"/>
      <c r="V321" s="51"/>
      <c r="W321" s="51"/>
      <c r="X321" s="51"/>
      <c r="Y321" s="45"/>
      <c r="Z321" s="45"/>
      <c r="AA321" s="45"/>
      <c r="AB321" s="45"/>
      <c r="AC321" s="45"/>
      <c r="AD321" s="45"/>
      <c r="AE321" s="45"/>
      <c r="AF321" s="45"/>
      <c r="AG321" s="45"/>
      <c r="AH321" s="45"/>
      <c r="AI321" s="45"/>
      <c r="AJ321" s="45"/>
      <c r="AK321" s="45"/>
      <c r="AL321" s="45"/>
      <c r="AM321" s="45"/>
      <c r="AN321" s="45"/>
      <c r="AO321" s="45"/>
      <c r="AP321" s="45"/>
      <c r="AQ321" s="36"/>
      <c r="AR321" s="36"/>
      <c r="AS321" s="36"/>
      <c r="AT321" s="36"/>
      <c r="AU321" s="36"/>
      <c r="AV321" s="36"/>
      <c r="AW321" s="36"/>
      <c r="AX321" s="36"/>
      <c r="AY321" s="36"/>
      <c r="AZ321" s="36"/>
      <c r="BA321" s="36"/>
      <c r="BB321" s="36"/>
      <c r="BC321" s="36"/>
      <c r="BD321" s="36"/>
      <c r="BE321" s="36"/>
      <c r="BF321" s="36"/>
      <c r="BG321" s="36"/>
      <c r="BH321" s="36"/>
      <c r="BI321" s="36"/>
      <c r="BJ321" s="36"/>
      <c r="BK321" s="36"/>
      <c r="BL321" s="36"/>
      <c r="BM321" s="36"/>
      <c r="BN321" s="36"/>
      <c r="BO321" s="36"/>
      <c r="BP321" s="36"/>
      <c r="BQ321" s="36"/>
    </row>
    <row r="322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51"/>
      <c r="S322" s="51"/>
      <c r="T322" s="51"/>
      <c r="U322" s="51"/>
      <c r="V322" s="51"/>
      <c r="W322" s="51"/>
      <c r="X322" s="51"/>
      <c r="Y322" s="45"/>
      <c r="Z322" s="45"/>
      <c r="AA322" s="45"/>
      <c r="AB322" s="45"/>
      <c r="AC322" s="45"/>
      <c r="AD322" s="45"/>
      <c r="AE322" s="45"/>
      <c r="AF322" s="45"/>
      <c r="AG322" s="45"/>
      <c r="AH322" s="45"/>
      <c r="AI322" s="45"/>
      <c r="AJ322" s="45"/>
      <c r="AK322" s="45"/>
      <c r="AL322" s="45"/>
      <c r="AM322" s="45"/>
      <c r="AN322" s="45"/>
      <c r="AO322" s="45"/>
      <c r="AP322" s="45"/>
      <c r="AQ322" s="36"/>
      <c r="AR322" s="36"/>
      <c r="AS322" s="36"/>
      <c r="AT322" s="36"/>
      <c r="AU322" s="36"/>
      <c r="AV322" s="36"/>
      <c r="AW322" s="36"/>
      <c r="AX322" s="36"/>
      <c r="AY322" s="36"/>
      <c r="AZ322" s="36"/>
      <c r="BA322" s="36"/>
      <c r="BB322" s="36"/>
      <c r="BC322" s="36"/>
      <c r="BD322" s="36"/>
      <c r="BE322" s="36"/>
      <c r="BF322" s="36"/>
      <c r="BG322" s="36"/>
      <c r="BH322" s="36"/>
      <c r="BI322" s="36"/>
      <c r="BJ322" s="36"/>
      <c r="BK322" s="36"/>
      <c r="BL322" s="36"/>
      <c r="BM322" s="36"/>
      <c r="BN322" s="36"/>
      <c r="BO322" s="36"/>
      <c r="BP322" s="36"/>
      <c r="BQ322" s="36"/>
    </row>
    <row r="323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51"/>
      <c r="S323" s="51"/>
      <c r="T323" s="51"/>
      <c r="U323" s="51"/>
      <c r="V323" s="51"/>
      <c r="W323" s="51"/>
      <c r="X323" s="51"/>
      <c r="Y323" s="45"/>
      <c r="Z323" s="45"/>
      <c r="AA323" s="45"/>
      <c r="AB323" s="45"/>
      <c r="AC323" s="45"/>
      <c r="AD323" s="45"/>
      <c r="AE323" s="45"/>
      <c r="AF323" s="45"/>
      <c r="AG323" s="45"/>
      <c r="AH323" s="45"/>
      <c r="AI323" s="45"/>
      <c r="AJ323" s="45"/>
      <c r="AK323" s="45"/>
      <c r="AL323" s="45"/>
      <c r="AM323" s="45"/>
      <c r="AN323" s="45"/>
      <c r="AO323" s="45"/>
      <c r="AP323" s="45"/>
      <c r="AQ323" s="36"/>
      <c r="AR323" s="36"/>
      <c r="AS323" s="36"/>
      <c r="AT323" s="36"/>
      <c r="AU323" s="36"/>
      <c r="AV323" s="36"/>
      <c r="AW323" s="36"/>
      <c r="AX323" s="36"/>
      <c r="AY323" s="36"/>
      <c r="AZ323" s="36"/>
      <c r="BA323" s="36"/>
      <c r="BB323" s="36"/>
      <c r="BC323" s="36"/>
      <c r="BD323" s="36"/>
      <c r="BE323" s="36"/>
      <c r="BF323" s="36"/>
      <c r="BG323" s="36"/>
      <c r="BH323" s="36"/>
      <c r="BI323" s="36"/>
      <c r="BJ323" s="36"/>
      <c r="BK323" s="36"/>
      <c r="BL323" s="36"/>
      <c r="BM323" s="36"/>
      <c r="BN323" s="36"/>
      <c r="BO323" s="36"/>
      <c r="BP323" s="36"/>
      <c r="BQ323" s="36"/>
    </row>
    <row r="324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51"/>
      <c r="S324" s="51"/>
      <c r="T324" s="51"/>
      <c r="U324" s="51"/>
      <c r="V324" s="51"/>
      <c r="W324" s="51"/>
      <c r="X324" s="51"/>
      <c r="Y324" s="45"/>
      <c r="Z324" s="45"/>
      <c r="AA324" s="45"/>
      <c r="AB324" s="45"/>
      <c r="AC324" s="45"/>
      <c r="AD324" s="45"/>
      <c r="AE324" s="45"/>
      <c r="AF324" s="45"/>
      <c r="AG324" s="45"/>
      <c r="AH324" s="45"/>
      <c r="AI324" s="45"/>
      <c r="AJ324" s="45"/>
      <c r="AK324" s="45"/>
      <c r="AL324" s="45"/>
      <c r="AM324" s="45"/>
      <c r="AN324" s="45"/>
      <c r="AO324" s="45"/>
      <c r="AP324" s="45"/>
      <c r="AQ324" s="36"/>
      <c r="AR324" s="36"/>
      <c r="AS324" s="36"/>
      <c r="AT324" s="36"/>
      <c r="AU324" s="36"/>
      <c r="AV324" s="36"/>
      <c r="AW324" s="36"/>
      <c r="AX324" s="36"/>
      <c r="AY324" s="36"/>
      <c r="AZ324" s="36"/>
      <c r="BA324" s="36"/>
      <c r="BB324" s="36"/>
      <c r="BC324" s="36"/>
      <c r="BD324" s="36"/>
      <c r="BE324" s="36"/>
      <c r="BF324" s="36"/>
      <c r="BG324" s="36"/>
      <c r="BH324" s="36"/>
      <c r="BI324" s="36"/>
      <c r="BJ324" s="36"/>
      <c r="BK324" s="36"/>
      <c r="BL324" s="36"/>
      <c r="BM324" s="36"/>
      <c r="BN324" s="36"/>
      <c r="BO324" s="36"/>
      <c r="BP324" s="36"/>
      <c r="BQ324" s="36"/>
    </row>
    <row r="32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51"/>
      <c r="S325" s="51"/>
      <c r="T325" s="51"/>
      <c r="U325" s="51"/>
      <c r="V325" s="51"/>
      <c r="W325" s="51"/>
      <c r="X325" s="51"/>
      <c r="Y325" s="45"/>
      <c r="Z325" s="45"/>
      <c r="AA325" s="45"/>
      <c r="AB325" s="45"/>
      <c r="AC325" s="45"/>
      <c r="AD325" s="45"/>
      <c r="AE325" s="45"/>
      <c r="AF325" s="45"/>
      <c r="AG325" s="45"/>
      <c r="AH325" s="45"/>
      <c r="AI325" s="45"/>
      <c r="AJ325" s="45"/>
      <c r="AK325" s="45"/>
      <c r="AL325" s="45"/>
      <c r="AM325" s="45"/>
      <c r="AN325" s="45"/>
      <c r="AO325" s="45"/>
      <c r="AP325" s="45"/>
      <c r="AQ325" s="36"/>
      <c r="AR325" s="36"/>
      <c r="AS325" s="36"/>
      <c r="AT325" s="36"/>
      <c r="AU325" s="36"/>
      <c r="AV325" s="36"/>
      <c r="AW325" s="36"/>
      <c r="AX325" s="36"/>
      <c r="AY325" s="36"/>
      <c r="AZ325" s="36"/>
      <c r="BA325" s="36"/>
      <c r="BB325" s="36"/>
      <c r="BC325" s="36"/>
      <c r="BD325" s="36"/>
      <c r="BE325" s="36"/>
      <c r="BF325" s="36"/>
      <c r="BG325" s="36"/>
      <c r="BH325" s="36"/>
      <c r="BI325" s="36"/>
      <c r="BJ325" s="36"/>
      <c r="BK325" s="36"/>
      <c r="BL325" s="36"/>
      <c r="BM325" s="36"/>
      <c r="BN325" s="36"/>
      <c r="BO325" s="36"/>
      <c r="BP325" s="36"/>
      <c r="BQ325" s="36"/>
    </row>
    <row r="326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51"/>
      <c r="S326" s="51"/>
      <c r="T326" s="51"/>
      <c r="U326" s="51"/>
      <c r="V326" s="51"/>
      <c r="W326" s="51"/>
      <c r="X326" s="51"/>
      <c r="Y326" s="45"/>
      <c r="Z326" s="45"/>
      <c r="AA326" s="45"/>
      <c r="AB326" s="45"/>
      <c r="AC326" s="45"/>
      <c r="AD326" s="45"/>
      <c r="AE326" s="45"/>
      <c r="AF326" s="45"/>
      <c r="AG326" s="45"/>
      <c r="AH326" s="45"/>
      <c r="AI326" s="45"/>
      <c r="AJ326" s="45"/>
      <c r="AK326" s="45"/>
      <c r="AL326" s="45"/>
      <c r="AM326" s="45"/>
      <c r="AN326" s="45"/>
      <c r="AO326" s="45"/>
      <c r="AP326" s="45"/>
      <c r="AQ326" s="36"/>
      <c r="AR326" s="36"/>
      <c r="AS326" s="36"/>
      <c r="AT326" s="36"/>
      <c r="AU326" s="36"/>
      <c r="AV326" s="36"/>
      <c r="AW326" s="36"/>
      <c r="AX326" s="36"/>
      <c r="AY326" s="36"/>
      <c r="AZ326" s="36"/>
      <c r="BA326" s="36"/>
      <c r="BB326" s="36"/>
      <c r="BC326" s="36"/>
      <c r="BD326" s="36"/>
      <c r="BE326" s="36"/>
      <c r="BF326" s="36"/>
      <c r="BG326" s="36"/>
      <c r="BH326" s="36"/>
      <c r="BI326" s="36"/>
      <c r="BJ326" s="36"/>
      <c r="BK326" s="36"/>
      <c r="BL326" s="36"/>
      <c r="BM326" s="36"/>
      <c r="BN326" s="36"/>
      <c r="BO326" s="36"/>
      <c r="BP326" s="36"/>
      <c r="BQ326" s="36"/>
    </row>
    <row r="327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51"/>
      <c r="S327" s="51"/>
      <c r="T327" s="51"/>
      <c r="U327" s="51"/>
      <c r="V327" s="51"/>
      <c r="W327" s="51"/>
      <c r="X327" s="51"/>
      <c r="Y327" s="45"/>
      <c r="Z327" s="45"/>
      <c r="AA327" s="45"/>
      <c r="AB327" s="45"/>
      <c r="AC327" s="45"/>
      <c r="AD327" s="45"/>
      <c r="AE327" s="45"/>
      <c r="AF327" s="45"/>
      <c r="AG327" s="45"/>
      <c r="AH327" s="45"/>
      <c r="AI327" s="45"/>
      <c r="AJ327" s="45"/>
      <c r="AK327" s="45"/>
      <c r="AL327" s="45"/>
      <c r="AM327" s="45"/>
      <c r="AN327" s="45"/>
      <c r="AO327" s="45"/>
      <c r="AP327" s="45"/>
      <c r="AQ327" s="36"/>
      <c r="AR327" s="36"/>
      <c r="AS327" s="36"/>
      <c r="AT327" s="36"/>
      <c r="AU327" s="36"/>
      <c r="AV327" s="36"/>
      <c r="AW327" s="36"/>
      <c r="AX327" s="36"/>
      <c r="AY327" s="36"/>
      <c r="AZ327" s="36"/>
      <c r="BA327" s="36"/>
      <c r="BB327" s="36"/>
      <c r="BC327" s="36"/>
      <c r="BD327" s="36"/>
      <c r="BE327" s="36"/>
      <c r="BF327" s="36"/>
      <c r="BG327" s="36"/>
      <c r="BH327" s="36"/>
      <c r="BI327" s="36"/>
      <c r="BJ327" s="36"/>
      <c r="BK327" s="36"/>
      <c r="BL327" s="36"/>
      <c r="BM327" s="36"/>
      <c r="BN327" s="36"/>
      <c r="BO327" s="36"/>
      <c r="BP327" s="36"/>
      <c r="BQ327" s="36"/>
    </row>
    <row r="328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51"/>
      <c r="S328" s="51"/>
      <c r="T328" s="51"/>
      <c r="U328" s="51"/>
      <c r="V328" s="51"/>
      <c r="W328" s="51"/>
      <c r="X328" s="51"/>
      <c r="Y328" s="45"/>
      <c r="Z328" s="45"/>
      <c r="AA328" s="45"/>
      <c r="AB328" s="45"/>
      <c r="AC328" s="45"/>
      <c r="AD328" s="45"/>
      <c r="AE328" s="45"/>
      <c r="AF328" s="45"/>
      <c r="AG328" s="45"/>
      <c r="AH328" s="45"/>
      <c r="AI328" s="45"/>
      <c r="AJ328" s="45"/>
      <c r="AK328" s="45"/>
      <c r="AL328" s="45"/>
      <c r="AM328" s="45"/>
      <c r="AN328" s="45"/>
      <c r="AO328" s="45"/>
      <c r="AP328" s="45"/>
      <c r="AQ328" s="36"/>
      <c r="AR328" s="36"/>
      <c r="AS328" s="36"/>
      <c r="AT328" s="36"/>
      <c r="AU328" s="36"/>
      <c r="AV328" s="36"/>
      <c r="AW328" s="36"/>
      <c r="AX328" s="36"/>
      <c r="AY328" s="36"/>
      <c r="AZ328" s="36"/>
      <c r="BA328" s="36"/>
      <c r="BB328" s="36"/>
      <c r="BC328" s="36"/>
      <c r="BD328" s="36"/>
      <c r="BE328" s="36"/>
      <c r="BF328" s="36"/>
      <c r="BG328" s="36"/>
      <c r="BH328" s="36"/>
      <c r="BI328" s="36"/>
      <c r="BJ328" s="36"/>
      <c r="BK328" s="36"/>
      <c r="BL328" s="36"/>
      <c r="BM328" s="36"/>
      <c r="BN328" s="36"/>
      <c r="BO328" s="36"/>
      <c r="BP328" s="36"/>
      <c r="BQ328" s="36"/>
    </row>
    <row r="329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51"/>
      <c r="S329" s="51"/>
      <c r="T329" s="51"/>
      <c r="U329" s="51"/>
      <c r="V329" s="51"/>
      <c r="W329" s="51"/>
      <c r="X329" s="51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5"/>
      <c r="AM329" s="45"/>
      <c r="AN329" s="45"/>
      <c r="AO329" s="45"/>
      <c r="AP329" s="45"/>
      <c r="AQ329" s="36"/>
      <c r="AR329" s="36"/>
      <c r="AS329" s="36"/>
      <c r="AT329" s="36"/>
      <c r="AU329" s="36"/>
      <c r="AV329" s="36"/>
      <c r="AW329" s="36"/>
      <c r="AX329" s="36"/>
      <c r="AY329" s="36"/>
      <c r="AZ329" s="36"/>
      <c r="BA329" s="36"/>
      <c r="BB329" s="36"/>
      <c r="BC329" s="36"/>
      <c r="BD329" s="36"/>
      <c r="BE329" s="36"/>
      <c r="BF329" s="36"/>
      <c r="BG329" s="36"/>
      <c r="BH329" s="36"/>
      <c r="BI329" s="36"/>
      <c r="BJ329" s="36"/>
      <c r="BK329" s="36"/>
      <c r="BL329" s="36"/>
      <c r="BM329" s="36"/>
      <c r="BN329" s="36"/>
      <c r="BO329" s="36"/>
      <c r="BP329" s="36"/>
      <c r="BQ329" s="36"/>
    </row>
    <row r="330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51"/>
      <c r="S330" s="51"/>
      <c r="T330" s="51"/>
      <c r="U330" s="51"/>
      <c r="V330" s="51"/>
      <c r="W330" s="51"/>
      <c r="X330" s="51"/>
      <c r="Y330" s="45"/>
      <c r="Z330" s="45"/>
      <c r="AA330" s="45"/>
      <c r="AB330" s="45"/>
      <c r="AC330" s="45"/>
      <c r="AD330" s="45"/>
      <c r="AE330" s="45"/>
      <c r="AF330" s="45"/>
      <c r="AG330" s="45"/>
      <c r="AH330" s="45"/>
      <c r="AI330" s="45"/>
      <c r="AJ330" s="45"/>
      <c r="AK330" s="45"/>
      <c r="AL330" s="45"/>
      <c r="AM330" s="45"/>
      <c r="AN330" s="45"/>
      <c r="AO330" s="45"/>
      <c r="AP330" s="45"/>
      <c r="AQ330" s="36"/>
      <c r="AR330" s="36"/>
      <c r="AS330" s="36"/>
      <c r="AT330" s="36"/>
      <c r="AU330" s="36"/>
      <c r="AV330" s="36"/>
      <c r="AW330" s="36"/>
      <c r="AX330" s="36"/>
      <c r="AY330" s="36"/>
      <c r="AZ330" s="36"/>
      <c r="BA330" s="36"/>
      <c r="BB330" s="36"/>
      <c r="BC330" s="36"/>
      <c r="BD330" s="36"/>
      <c r="BE330" s="36"/>
      <c r="BF330" s="36"/>
      <c r="BG330" s="36"/>
      <c r="BH330" s="36"/>
      <c r="BI330" s="36"/>
      <c r="BJ330" s="36"/>
      <c r="BK330" s="36"/>
      <c r="BL330" s="36"/>
      <c r="BM330" s="36"/>
      <c r="BN330" s="36"/>
      <c r="BO330" s="36"/>
      <c r="BP330" s="36"/>
      <c r="BQ330" s="36"/>
    </row>
    <row r="33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51"/>
      <c r="S331" s="51"/>
      <c r="T331" s="51"/>
      <c r="U331" s="51"/>
      <c r="V331" s="51"/>
      <c r="W331" s="51"/>
      <c r="X331" s="51"/>
      <c r="Y331" s="45"/>
      <c r="Z331" s="45"/>
      <c r="AA331" s="45"/>
      <c r="AB331" s="45"/>
      <c r="AC331" s="45"/>
      <c r="AD331" s="45"/>
      <c r="AE331" s="45"/>
      <c r="AF331" s="45"/>
      <c r="AG331" s="45"/>
      <c r="AH331" s="45"/>
      <c r="AI331" s="45"/>
      <c r="AJ331" s="45"/>
      <c r="AK331" s="45"/>
      <c r="AL331" s="45"/>
      <c r="AM331" s="45"/>
      <c r="AN331" s="45"/>
      <c r="AO331" s="45"/>
      <c r="AP331" s="45"/>
      <c r="AQ331" s="36"/>
      <c r="AR331" s="36"/>
      <c r="AS331" s="36"/>
      <c r="AT331" s="36"/>
      <c r="AU331" s="36"/>
      <c r="AV331" s="36"/>
      <c r="AW331" s="36"/>
      <c r="AX331" s="36"/>
      <c r="AY331" s="36"/>
      <c r="AZ331" s="36"/>
      <c r="BA331" s="36"/>
      <c r="BB331" s="36"/>
      <c r="BC331" s="36"/>
      <c r="BD331" s="36"/>
      <c r="BE331" s="36"/>
      <c r="BF331" s="36"/>
      <c r="BG331" s="36"/>
      <c r="BH331" s="36"/>
      <c r="BI331" s="36"/>
      <c r="BJ331" s="36"/>
      <c r="BK331" s="36"/>
      <c r="BL331" s="36"/>
      <c r="BM331" s="36"/>
      <c r="BN331" s="36"/>
      <c r="BO331" s="36"/>
      <c r="BP331" s="36"/>
      <c r="BQ331" s="36"/>
    </row>
    <row r="332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51"/>
      <c r="S332" s="51"/>
      <c r="T332" s="51"/>
      <c r="U332" s="51"/>
      <c r="V332" s="51"/>
      <c r="W332" s="51"/>
      <c r="X332" s="51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5"/>
      <c r="AM332" s="45"/>
      <c r="AN332" s="45"/>
      <c r="AO332" s="45"/>
      <c r="AP332" s="45"/>
      <c r="AQ332" s="36"/>
      <c r="AR332" s="36"/>
      <c r="AS332" s="36"/>
      <c r="AT332" s="36"/>
      <c r="AU332" s="36"/>
      <c r="AV332" s="36"/>
      <c r="AW332" s="36"/>
      <c r="AX332" s="36"/>
      <c r="AY332" s="36"/>
      <c r="AZ332" s="36"/>
      <c r="BA332" s="36"/>
      <c r="BB332" s="36"/>
      <c r="BC332" s="36"/>
      <c r="BD332" s="36"/>
      <c r="BE332" s="36"/>
      <c r="BF332" s="36"/>
      <c r="BG332" s="36"/>
      <c r="BH332" s="36"/>
      <c r="BI332" s="36"/>
      <c r="BJ332" s="36"/>
      <c r="BK332" s="36"/>
      <c r="BL332" s="36"/>
      <c r="BM332" s="36"/>
      <c r="BN332" s="36"/>
      <c r="BO332" s="36"/>
      <c r="BP332" s="36"/>
      <c r="BQ332" s="36"/>
    </row>
    <row r="333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51"/>
      <c r="S333" s="51"/>
      <c r="T333" s="51"/>
      <c r="U333" s="51"/>
      <c r="V333" s="51"/>
      <c r="W333" s="51"/>
      <c r="X333" s="51"/>
      <c r="Y333" s="45"/>
      <c r="Z333" s="45"/>
      <c r="AA333" s="45"/>
      <c r="AB333" s="45"/>
      <c r="AC333" s="45"/>
      <c r="AD333" s="45"/>
      <c r="AE333" s="45"/>
      <c r="AF333" s="45"/>
      <c r="AG333" s="45"/>
      <c r="AH333" s="45"/>
      <c r="AI333" s="45"/>
      <c r="AJ333" s="45"/>
      <c r="AK333" s="45"/>
      <c r="AL333" s="45"/>
      <c r="AM333" s="45"/>
      <c r="AN333" s="45"/>
      <c r="AO333" s="45"/>
      <c r="AP333" s="45"/>
      <c r="AQ333" s="36"/>
      <c r="AR333" s="36"/>
      <c r="AS333" s="36"/>
      <c r="AT333" s="36"/>
      <c r="AU333" s="36"/>
      <c r="AV333" s="36"/>
      <c r="AW333" s="36"/>
      <c r="AX333" s="36"/>
      <c r="AY333" s="36"/>
      <c r="AZ333" s="36"/>
      <c r="BA333" s="36"/>
      <c r="BB333" s="36"/>
      <c r="BC333" s="36"/>
      <c r="BD333" s="36"/>
      <c r="BE333" s="36"/>
      <c r="BF333" s="36"/>
      <c r="BG333" s="36"/>
      <c r="BH333" s="36"/>
      <c r="BI333" s="36"/>
      <c r="BJ333" s="36"/>
      <c r="BK333" s="36"/>
      <c r="BL333" s="36"/>
      <c r="BM333" s="36"/>
      <c r="BN333" s="36"/>
      <c r="BO333" s="36"/>
      <c r="BP333" s="36"/>
      <c r="BQ333" s="36"/>
    </row>
    <row r="334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51"/>
      <c r="S334" s="51"/>
      <c r="T334" s="51"/>
      <c r="U334" s="51"/>
      <c r="V334" s="51"/>
      <c r="W334" s="51"/>
      <c r="X334" s="51"/>
      <c r="Y334" s="45"/>
      <c r="Z334" s="45"/>
      <c r="AA334" s="45"/>
      <c r="AB334" s="45"/>
      <c r="AC334" s="45"/>
      <c r="AD334" s="45"/>
      <c r="AE334" s="45"/>
      <c r="AF334" s="45"/>
      <c r="AG334" s="45"/>
      <c r="AH334" s="45"/>
      <c r="AI334" s="45"/>
      <c r="AJ334" s="45"/>
      <c r="AK334" s="45"/>
      <c r="AL334" s="45"/>
      <c r="AM334" s="45"/>
      <c r="AN334" s="45"/>
      <c r="AO334" s="45"/>
      <c r="AP334" s="45"/>
      <c r="AQ334" s="36"/>
      <c r="AR334" s="36"/>
      <c r="AS334" s="36"/>
      <c r="AT334" s="36"/>
      <c r="AU334" s="36"/>
      <c r="AV334" s="36"/>
      <c r="AW334" s="36"/>
      <c r="AX334" s="36"/>
      <c r="AY334" s="36"/>
      <c r="AZ334" s="36"/>
      <c r="BA334" s="36"/>
      <c r="BB334" s="36"/>
      <c r="BC334" s="36"/>
      <c r="BD334" s="36"/>
      <c r="BE334" s="36"/>
      <c r="BF334" s="36"/>
      <c r="BG334" s="36"/>
      <c r="BH334" s="36"/>
      <c r="BI334" s="36"/>
      <c r="BJ334" s="36"/>
      <c r="BK334" s="36"/>
      <c r="BL334" s="36"/>
      <c r="BM334" s="36"/>
      <c r="BN334" s="36"/>
      <c r="BO334" s="36"/>
      <c r="BP334" s="36"/>
      <c r="BQ334" s="36"/>
    </row>
    <row r="33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51"/>
      <c r="S335" s="51"/>
      <c r="T335" s="51"/>
      <c r="U335" s="51"/>
      <c r="V335" s="51"/>
      <c r="W335" s="51"/>
      <c r="X335" s="51"/>
      <c r="Y335" s="45"/>
      <c r="Z335" s="45"/>
      <c r="AA335" s="45"/>
      <c r="AB335" s="45"/>
      <c r="AC335" s="45"/>
      <c r="AD335" s="45"/>
      <c r="AE335" s="45"/>
      <c r="AF335" s="45"/>
      <c r="AG335" s="45"/>
      <c r="AH335" s="45"/>
      <c r="AI335" s="45"/>
      <c r="AJ335" s="45"/>
      <c r="AK335" s="45"/>
      <c r="AL335" s="45"/>
      <c r="AM335" s="45"/>
      <c r="AN335" s="45"/>
      <c r="AO335" s="45"/>
      <c r="AP335" s="45"/>
      <c r="AQ335" s="36"/>
      <c r="AR335" s="36"/>
      <c r="AS335" s="36"/>
      <c r="AT335" s="36"/>
      <c r="AU335" s="36"/>
      <c r="AV335" s="36"/>
      <c r="AW335" s="36"/>
      <c r="AX335" s="36"/>
      <c r="AY335" s="36"/>
      <c r="AZ335" s="36"/>
      <c r="BA335" s="36"/>
      <c r="BB335" s="36"/>
      <c r="BC335" s="36"/>
      <c r="BD335" s="36"/>
      <c r="BE335" s="36"/>
      <c r="BF335" s="36"/>
      <c r="BG335" s="36"/>
      <c r="BH335" s="36"/>
      <c r="BI335" s="36"/>
      <c r="BJ335" s="36"/>
      <c r="BK335" s="36"/>
      <c r="BL335" s="36"/>
      <c r="BM335" s="36"/>
      <c r="BN335" s="36"/>
      <c r="BO335" s="36"/>
      <c r="BP335" s="36"/>
      <c r="BQ335" s="36"/>
    </row>
    <row r="336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51"/>
      <c r="S336" s="51"/>
      <c r="T336" s="51"/>
      <c r="U336" s="51"/>
      <c r="V336" s="51"/>
      <c r="W336" s="51"/>
      <c r="X336" s="51"/>
      <c r="Y336" s="45"/>
      <c r="Z336" s="45"/>
      <c r="AA336" s="45"/>
      <c r="AB336" s="45"/>
      <c r="AC336" s="45"/>
      <c r="AD336" s="45"/>
      <c r="AE336" s="45"/>
      <c r="AF336" s="45"/>
      <c r="AG336" s="45"/>
      <c r="AH336" s="45"/>
      <c r="AI336" s="45"/>
      <c r="AJ336" s="45"/>
      <c r="AK336" s="45"/>
      <c r="AL336" s="45"/>
      <c r="AM336" s="45"/>
      <c r="AN336" s="45"/>
      <c r="AO336" s="45"/>
      <c r="AP336" s="45"/>
      <c r="AQ336" s="36"/>
      <c r="AR336" s="36"/>
      <c r="AS336" s="36"/>
      <c r="AT336" s="36"/>
      <c r="AU336" s="36"/>
      <c r="AV336" s="36"/>
      <c r="AW336" s="36"/>
      <c r="AX336" s="36"/>
      <c r="AY336" s="36"/>
      <c r="AZ336" s="36"/>
      <c r="BA336" s="36"/>
      <c r="BB336" s="36"/>
      <c r="BC336" s="36"/>
      <c r="BD336" s="36"/>
      <c r="BE336" s="36"/>
      <c r="BF336" s="36"/>
      <c r="BG336" s="36"/>
      <c r="BH336" s="36"/>
      <c r="BI336" s="36"/>
      <c r="BJ336" s="36"/>
      <c r="BK336" s="36"/>
      <c r="BL336" s="36"/>
      <c r="BM336" s="36"/>
      <c r="BN336" s="36"/>
      <c r="BO336" s="36"/>
      <c r="BP336" s="36"/>
      <c r="BQ336" s="36"/>
    </row>
    <row r="337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51"/>
      <c r="S337" s="51"/>
      <c r="T337" s="51"/>
      <c r="U337" s="51"/>
      <c r="V337" s="51"/>
      <c r="W337" s="51"/>
      <c r="X337" s="51"/>
      <c r="Y337" s="45"/>
      <c r="Z337" s="45"/>
      <c r="AA337" s="45"/>
      <c r="AB337" s="45"/>
      <c r="AC337" s="45"/>
      <c r="AD337" s="45"/>
      <c r="AE337" s="45"/>
      <c r="AF337" s="45"/>
      <c r="AG337" s="45"/>
      <c r="AH337" s="45"/>
      <c r="AI337" s="45"/>
      <c r="AJ337" s="45"/>
      <c r="AK337" s="45"/>
      <c r="AL337" s="45"/>
      <c r="AM337" s="45"/>
      <c r="AN337" s="45"/>
      <c r="AO337" s="45"/>
      <c r="AP337" s="45"/>
      <c r="AQ337" s="36"/>
      <c r="AR337" s="36"/>
      <c r="AS337" s="36"/>
      <c r="AT337" s="36"/>
      <c r="AU337" s="36"/>
      <c r="AV337" s="36"/>
      <c r="AW337" s="36"/>
      <c r="AX337" s="36"/>
      <c r="AY337" s="36"/>
      <c r="AZ337" s="36"/>
      <c r="BA337" s="36"/>
      <c r="BB337" s="36"/>
      <c r="BC337" s="36"/>
      <c r="BD337" s="36"/>
      <c r="BE337" s="36"/>
      <c r="BF337" s="36"/>
      <c r="BG337" s="36"/>
      <c r="BH337" s="36"/>
      <c r="BI337" s="36"/>
      <c r="BJ337" s="36"/>
      <c r="BK337" s="36"/>
      <c r="BL337" s="36"/>
      <c r="BM337" s="36"/>
      <c r="BN337" s="36"/>
      <c r="BO337" s="36"/>
      <c r="BP337" s="36"/>
      <c r="BQ337" s="36"/>
    </row>
    <row r="338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51"/>
      <c r="S338" s="51"/>
      <c r="T338" s="51"/>
      <c r="U338" s="51"/>
      <c r="V338" s="51"/>
      <c r="W338" s="51"/>
      <c r="X338" s="51"/>
      <c r="Y338" s="45"/>
      <c r="Z338" s="45"/>
      <c r="AA338" s="45"/>
      <c r="AB338" s="45"/>
      <c r="AC338" s="45"/>
      <c r="AD338" s="45"/>
      <c r="AE338" s="45"/>
      <c r="AF338" s="45"/>
      <c r="AG338" s="45"/>
      <c r="AH338" s="45"/>
      <c r="AI338" s="45"/>
      <c r="AJ338" s="45"/>
      <c r="AK338" s="45"/>
      <c r="AL338" s="45"/>
      <c r="AM338" s="45"/>
      <c r="AN338" s="45"/>
      <c r="AO338" s="45"/>
      <c r="AP338" s="45"/>
      <c r="AQ338" s="36"/>
      <c r="AR338" s="36"/>
      <c r="AS338" s="36"/>
      <c r="AT338" s="36"/>
      <c r="AU338" s="36"/>
      <c r="AV338" s="36"/>
      <c r="AW338" s="36"/>
      <c r="AX338" s="36"/>
      <c r="AY338" s="36"/>
      <c r="AZ338" s="36"/>
      <c r="BA338" s="36"/>
      <c r="BB338" s="36"/>
      <c r="BC338" s="36"/>
      <c r="BD338" s="36"/>
      <c r="BE338" s="36"/>
      <c r="BF338" s="36"/>
      <c r="BG338" s="36"/>
      <c r="BH338" s="36"/>
      <c r="BI338" s="36"/>
      <c r="BJ338" s="36"/>
      <c r="BK338" s="36"/>
      <c r="BL338" s="36"/>
      <c r="BM338" s="36"/>
      <c r="BN338" s="36"/>
      <c r="BO338" s="36"/>
      <c r="BP338" s="36"/>
      <c r="BQ338" s="36"/>
    </row>
    <row r="339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51"/>
      <c r="S339" s="53"/>
      <c r="T339" s="53"/>
      <c r="U339" s="51"/>
      <c r="V339" s="51"/>
      <c r="W339" s="51"/>
      <c r="X339" s="51"/>
      <c r="Y339" s="45"/>
      <c r="Z339" s="45"/>
      <c r="AA339" s="45"/>
      <c r="AB339" s="45"/>
      <c r="AC339" s="45"/>
      <c r="AD339" s="45"/>
      <c r="AE339" s="45"/>
      <c r="AF339" s="45"/>
      <c r="AG339" s="45"/>
      <c r="AH339" s="45"/>
      <c r="AI339" s="45"/>
      <c r="AJ339" s="45"/>
      <c r="AK339" s="45"/>
      <c r="AL339" s="45"/>
      <c r="AM339" s="45"/>
      <c r="AN339" s="45"/>
      <c r="AO339" s="45"/>
      <c r="AP339" s="45"/>
      <c r="AQ339" s="36"/>
      <c r="AR339" s="36"/>
      <c r="AS339" s="36"/>
      <c r="AT339" s="36"/>
      <c r="AU339" s="36"/>
      <c r="AV339" s="36"/>
      <c r="AW339" s="36"/>
      <c r="AX339" s="36"/>
      <c r="AY339" s="36"/>
      <c r="AZ339" s="36"/>
      <c r="BA339" s="36"/>
      <c r="BB339" s="36"/>
      <c r="BC339" s="36"/>
      <c r="BD339" s="36"/>
      <c r="BE339" s="36"/>
      <c r="BF339" s="36"/>
      <c r="BG339" s="36"/>
      <c r="BH339" s="36"/>
      <c r="BI339" s="36"/>
      <c r="BJ339" s="36"/>
      <c r="BK339" s="36"/>
      <c r="BL339" s="36"/>
      <c r="BM339" s="36"/>
      <c r="BN339" s="36"/>
      <c r="BO339" s="36"/>
      <c r="BP339" s="36"/>
      <c r="BQ339" s="36"/>
    </row>
    <row r="340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51"/>
      <c r="S340" s="51"/>
      <c r="T340" s="51"/>
      <c r="U340" s="51"/>
      <c r="V340" s="51"/>
      <c r="W340" s="51"/>
      <c r="X340" s="51"/>
      <c r="Y340" s="45"/>
      <c r="Z340" s="45"/>
      <c r="AA340" s="45"/>
      <c r="AB340" s="45"/>
      <c r="AC340" s="45"/>
      <c r="AD340" s="45"/>
      <c r="AE340" s="45"/>
      <c r="AF340" s="45"/>
      <c r="AG340" s="45"/>
      <c r="AH340" s="45"/>
      <c r="AI340" s="45"/>
      <c r="AJ340" s="45"/>
      <c r="AK340" s="45"/>
      <c r="AL340" s="45"/>
      <c r="AM340" s="45"/>
      <c r="AN340" s="45"/>
      <c r="AO340" s="45"/>
      <c r="AP340" s="45"/>
      <c r="AQ340" s="36"/>
      <c r="AR340" s="36"/>
      <c r="AS340" s="36"/>
      <c r="AT340" s="36"/>
      <c r="AU340" s="36"/>
      <c r="AV340" s="36"/>
      <c r="AW340" s="36"/>
      <c r="AX340" s="36"/>
      <c r="AY340" s="36"/>
      <c r="AZ340" s="36"/>
      <c r="BA340" s="36"/>
      <c r="BB340" s="36"/>
      <c r="BC340" s="36"/>
      <c r="BD340" s="36"/>
      <c r="BE340" s="36"/>
      <c r="BF340" s="36"/>
      <c r="BG340" s="36"/>
      <c r="BH340" s="36"/>
      <c r="BI340" s="36"/>
      <c r="BJ340" s="36"/>
      <c r="BK340" s="36"/>
      <c r="BL340" s="36"/>
      <c r="BM340" s="36"/>
      <c r="BN340" s="36"/>
      <c r="BO340" s="36"/>
      <c r="BP340" s="36"/>
      <c r="BQ340" s="36"/>
    </row>
    <row r="34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51"/>
      <c r="S341" s="51"/>
      <c r="T341" s="51"/>
      <c r="U341" s="51"/>
      <c r="V341" s="51"/>
      <c r="W341" s="51"/>
      <c r="X341" s="51"/>
      <c r="Y341" s="45"/>
      <c r="Z341" s="45"/>
      <c r="AA341" s="45"/>
      <c r="AB341" s="45"/>
      <c r="AC341" s="45"/>
      <c r="AD341" s="45"/>
      <c r="AE341" s="45"/>
      <c r="AF341" s="45"/>
      <c r="AG341" s="45"/>
      <c r="AH341" s="45"/>
      <c r="AI341" s="45"/>
      <c r="AJ341" s="45"/>
      <c r="AK341" s="45"/>
      <c r="AL341" s="45"/>
      <c r="AM341" s="45"/>
      <c r="AN341" s="45"/>
      <c r="AO341" s="45"/>
      <c r="AP341" s="45"/>
      <c r="AQ341" s="36"/>
      <c r="AR341" s="36"/>
      <c r="AS341" s="36"/>
      <c r="AT341" s="36"/>
      <c r="AU341" s="36"/>
      <c r="AV341" s="36"/>
      <c r="AW341" s="36"/>
      <c r="AX341" s="36"/>
      <c r="AY341" s="36"/>
      <c r="AZ341" s="36"/>
      <c r="BA341" s="36"/>
      <c r="BB341" s="36"/>
      <c r="BC341" s="36"/>
      <c r="BD341" s="36"/>
      <c r="BE341" s="36"/>
      <c r="BF341" s="36"/>
      <c r="BG341" s="36"/>
      <c r="BH341" s="36"/>
      <c r="BI341" s="36"/>
      <c r="BJ341" s="36"/>
      <c r="BK341" s="36"/>
      <c r="BL341" s="36"/>
      <c r="BM341" s="36"/>
      <c r="BN341" s="36"/>
      <c r="BO341" s="36"/>
      <c r="BP341" s="36"/>
      <c r="BQ341" s="36"/>
    </row>
    <row r="342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51"/>
      <c r="S342" s="51"/>
      <c r="T342" s="51"/>
      <c r="U342" s="51"/>
      <c r="V342" s="51"/>
      <c r="W342" s="51"/>
      <c r="X342" s="51"/>
      <c r="Y342" s="45"/>
      <c r="Z342" s="45"/>
      <c r="AA342" s="45"/>
      <c r="AB342" s="45"/>
      <c r="AC342" s="45"/>
      <c r="AD342" s="45"/>
      <c r="AE342" s="45"/>
      <c r="AF342" s="45"/>
      <c r="AG342" s="45"/>
      <c r="AH342" s="45"/>
      <c r="AI342" s="45"/>
      <c r="AJ342" s="45"/>
      <c r="AK342" s="45"/>
      <c r="AL342" s="45"/>
      <c r="AM342" s="45"/>
      <c r="AN342" s="45"/>
      <c r="AO342" s="45"/>
      <c r="AP342" s="45"/>
      <c r="AQ342" s="36"/>
      <c r="AR342" s="36"/>
      <c r="AS342" s="36"/>
      <c r="AT342" s="36"/>
      <c r="AU342" s="36"/>
      <c r="AV342" s="36"/>
      <c r="AW342" s="36"/>
      <c r="AX342" s="36"/>
      <c r="AY342" s="36"/>
      <c r="AZ342" s="36"/>
      <c r="BA342" s="36"/>
      <c r="BB342" s="36"/>
      <c r="BC342" s="36"/>
      <c r="BD342" s="36"/>
      <c r="BE342" s="36"/>
      <c r="BF342" s="36"/>
      <c r="BG342" s="36"/>
      <c r="BH342" s="36"/>
      <c r="BI342" s="36"/>
      <c r="BJ342" s="36"/>
      <c r="BK342" s="36"/>
      <c r="BL342" s="36"/>
      <c r="BM342" s="36"/>
      <c r="BN342" s="36"/>
      <c r="BO342" s="36"/>
      <c r="BP342" s="36"/>
      <c r="BQ342" s="36"/>
    </row>
    <row r="343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51"/>
      <c r="S343" s="51"/>
      <c r="T343" s="51"/>
      <c r="U343" s="51"/>
      <c r="V343" s="51"/>
      <c r="W343" s="51"/>
      <c r="X343" s="51"/>
      <c r="Y343" s="45"/>
      <c r="Z343" s="45"/>
      <c r="AA343" s="45"/>
      <c r="AB343" s="45"/>
      <c r="AC343" s="45"/>
      <c r="AD343" s="45"/>
      <c r="AE343" s="45"/>
      <c r="AF343" s="45"/>
      <c r="AG343" s="45"/>
      <c r="AH343" s="45"/>
      <c r="AI343" s="45"/>
      <c r="AJ343" s="45"/>
      <c r="AK343" s="45"/>
      <c r="AL343" s="45"/>
      <c r="AM343" s="45"/>
      <c r="AN343" s="45"/>
      <c r="AO343" s="45"/>
      <c r="AP343" s="45"/>
      <c r="AQ343" s="36"/>
      <c r="AR343" s="36"/>
      <c r="AS343" s="36"/>
      <c r="AT343" s="36"/>
      <c r="AU343" s="36"/>
      <c r="AV343" s="36"/>
      <c r="AW343" s="36"/>
      <c r="AX343" s="36"/>
      <c r="AY343" s="36"/>
      <c r="AZ343" s="36"/>
      <c r="BA343" s="36"/>
      <c r="BB343" s="36"/>
      <c r="BC343" s="36"/>
      <c r="BD343" s="36"/>
      <c r="BE343" s="36"/>
      <c r="BF343" s="36"/>
      <c r="BG343" s="36"/>
      <c r="BH343" s="36"/>
      <c r="BI343" s="36"/>
      <c r="BJ343" s="36"/>
      <c r="BK343" s="36"/>
      <c r="BL343" s="36"/>
      <c r="BM343" s="36"/>
      <c r="BN343" s="36"/>
      <c r="BO343" s="36"/>
      <c r="BP343" s="36"/>
      <c r="BQ343" s="36"/>
    </row>
    <row r="344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51"/>
      <c r="S344" s="51"/>
      <c r="T344" s="51"/>
      <c r="U344" s="51"/>
      <c r="V344" s="51"/>
      <c r="W344" s="51"/>
      <c r="X344" s="51"/>
      <c r="Y344" s="45"/>
      <c r="Z344" s="45"/>
      <c r="AA344" s="45"/>
      <c r="AB344" s="45"/>
      <c r="AC344" s="45"/>
      <c r="AD344" s="45"/>
      <c r="AE344" s="45"/>
      <c r="AF344" s="45"/>
      <c r="AG344" s="45"/>
      <c r="AH344" s="45"/>
      <c r="AI344" s="45"/>
      <c r="AJ344" s="45"/>
      <c r="AK344" s="45"/>
      <c r="AL344" s="45"/>
      <c r="AM344" s="45"/>
      <c r="AN344" s="45"/>
      <c r="AO344" s="45"/>
      <c r="AP344" s="45"/>
      <c r="AQ344" s="36"/>
      <c r="AR344" s="36"/>
      <c r="AS344" s="36"/>
      <c r="AT344" s="36"/>
      <c r="AU344" s="36"/>
      <c r="AV344" s="36"/>
      <c r="AW344" s="36"/>
      <c r="AX344" s="36"/>
      <c r="AY344" s="36"/>
      <c r="AZ344" s="36"/>
      <c r="BA344" s="36"/>
      <c r="BB344" s="36"/>
      <c r="BC344" s="36"/>
      <c r="BD344" s="36"/>
      <c r="BE344" s="36"/>
      <c r="BF344" s="36"/>
      <c r="BG344" s="36"/>
      <c r="BH344" s="36"/>
      <c r="BI344" s="36"/>
      <c r="BJ344" s="36"/>
      <c r="BK344" s="36"/>
      <c r="BL344" s="36"/>
      <c r="BM344" s="36"/>
      <c r="BN344" s="36"/>
      <c r="BO344" s="36"/>
      <c r="BP344" s="36"/>
      <c r="BQ344" s="36"/>
    </row>
    <row r="34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51"/>
      <c r="S345" s="51"/>
      <c r="T345" s="51"/>
      <c r="U345" s="51"/>
      <c r="V345" s="51"/>
      <c r="W345" s="51"/>
      <c r="X345" s="51"/>
      <c r="Y345" s="45"/>
      <c r="Z345" s="45"/>
      <c r="AA345" s="45"/>
      <c r="AB345" s="45"/>
      <c r="AC345" s="45"/>
      <c r="AD345" s="45"/>
      <c r="AE345" s="45"/>
      <c r="AF345" s="45"/>
      <c r="AG345" s="45"/>
      <c r="AH345" s="45"/>
      <c r="AI345" s="45"/>
      <c r="AJ345" s="45"/>
      <c r="AK345" s="45"/>
      <c r="AL345" s="45"/>
      <c r="AM345" s="45"/>
      <c r="AN345" s="45"/>
      <c r="AO345" s="45"/>
      <c r="AP345" s="45"/>
      <c r="AQ345" s="36"/>
      <c r="AR345" s="36"/>
      <c r="AS345" s="36"/>
      <c r="AT345" s="36"/>
      <c r="AU345" s="36"/>
      <c r="AV345" s="36"/>
      <c r="AW345" s="36"/>
      <c r="AX345" s="36"/>
      <c r="AY345" s="36"/>
      <c r="AZ345" s="36"/>
      <c r="BA345" s="36"/>
      <c r="BB345" s="36"/>
      <c r="BC345" s="36"/>
      <c r="BD345" s="36"/>
      <c r="BE345" s="36"/>
      <c r="BF345" s="36"/>
      <c r="BG345" s="36"/>
      <c r="BH345" s="36"/>
      <c r="BI345" s="36"/>
      <c r="BJ345" s="36"/>
      <c r="BK345" s="36"/>
      <c r="BL345" s="36"/>
      <c r="BM345" s="36"/>
      <c r="BN345" s="36"/>
      <c r="BO345" s="36"/>
      <c r="BP345" s="36"/>
      <c r="BQ345" s="36"/>
    </row>
    <row r="346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51"/>
      <c r="S346" s="51"/>
      <c r="T346" s="51"/>
      <c r="U346" s="51"/>
      <c r="V346" s="51"/>
      <c r="W346" s="51"/>
      <c r="X346" s="51"/>
      <c r="Y346" s="45"/>
      <c r="Z346" s="45"/>
      <c r="AA346" s="45"/>
      <c r="AB346" s="45"/>
      <c r="AC346" s="45"/>
      <c r="AD346" s="45"/>
      <c r="AE346" s="45"/>
      <c r="AF346" s="45"/>
      <c r="AG346" s="45"/>
      <c r="AH346" s="45"/>
      <c r="AI346" s="45"/>
      <c r="AJ346" s="45"/>
      <c r="AK346" s="45"/>
      <c r="AL346" s="45"/>
      <c r="AM346" s="45"/>
      <c r="AN346" s="45"/>
      <c r="AO346" s="45"/>
      <c r="AP346" s="45"/>
      <c r="AQ346" s="36"/>
      <c r="AR346" s="36"/>
      <c r="AS346" s="36"/>
      <c r="AT346" s="36"/>
      <c r="AU346" s="36"/>
      <c r="AV346" s="36"/>
      <c r="AW346" s="36"/>
      <c r="AX346" s="36"/>
      <c r="AY346" s="36"/>
      <c r="AZ346" s="36"/>
      <c r="BA346" s="36"/>
      <c r="BB346" s="36"/>
      <c r="BC346" s="36"/>
      <c r="BD346" s="36"/>
      <c r="BE346" s="36"/>
      <c r="BF346" s="36"/>
      <c r="BG346" s="36"/>
      <c r="BH346" s="36"/>
      <c r="BI346" s="36"/>
      <c r="BJ346" s="36"/>
      <c r="BK346" s="36"/>
      <c r="BL346" s="36"/>
      <c r="BM346" s="36"/>
      <c r="BN346" s="36"/>
      <c r="BO346" s="36"/>
      <c r="BP346" s="36"/>
      <c r="BQ346" s="36"/>
    </row>
    <row r="347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51"/>
      <c r="S347" s="51"/>
      <c r="T347" s="51"/>
      <c r="U347" s="51"/>
      <c r="V347" s="51"/>
      <c r="W347" s="51"/>
      <c r="X347" s="51"/>
      <c r="Y347" s="45"/>
      <c r="Z347" s="45"/>
      <c r="AA347" s="45"/>
      <c r="AB347" s="45"/>
      <c r="AC347" s="45"/>
      <c r="AD347" s="45"/>
      <c r="AE347" s="45"/>
      <c r="AF347" s="45"/>
      <c r="AG347" s="45"/>
      <c r="AH347" s="45"/>
      <c r="AI347" s="45"/>
      <c r="AJ347" s="45"/>
      <c r="AK347" s="45"/>
      <c r="AL347" s="45"/>
      <c r="AM347" s="45"/>
      <c r="AN347" s="45"/>
      <c r="AO347" s="45"/>
      <c r="AP347" s="45"/>
      <c r="AQ347" s="36"/>
      <c r="AR347" s="36"/>
      <c r="AS347" s="36"/>
      <c r="AT347" s="36"/>
      <c r="AU347" s="36"/>
      <c r="AV347" s="36"/>
      <c r="AW347" s="36"/>
      <c r="AX347" s="36"/>
      <c r="AY347" s="36"/>
      <c r="AZ347" s="36"/>
      <c r="BA347" s="36"/>
      <c r="BB347" s="36"/>
      <c r="BC347" s="36"/>
      <c r="BD347" s="36"/>
      <c r="BE347" s="36"/>
      <c r="BF347" s="36"/>
      <c r="BG347" s="36"/>
      <c r="BH347" s="36"/>
      <c r="BI347" s="36"/>
      <c r="BJ347" s="36"/>
      <c r="BK347" s="36"/>
      <c r="BL347" s="36"/>
      <c r="BM347" s="36"/>
      <c r="BN347" s="36"/>
      <c r="BO347" s="36"/>
      <c r="BP347" s="36"/>
      <c r="BQ347" s="36"/>
    </row>
    <row r="348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51"/>
      <c r="S348" s="51"/>
      <c r="T348" s="51"/>
      <c r="U348" s="51"/>
      <c r="V348" s="51"/>
      <c r="W348" s="51"/>
      <c r="X348" s="51"/>
      <c r="Y348" s="45"/>
      <c r="Z348" s="45"/>
      <c r="AA348" s="45"/>
      <c r="AB348" s="45"/>
      <c r="AC348" s="45"/>
      <c r="AD348" s="45"/>
      <c r="AE348" s="45"/>
      <c r="AF348" s="45"/>
      <c r="AG348" s="45"/>
      <c r="AH348" s="45"/>
      <c r="AI348" s="45"/>
      <c r="AJ348" s="45"/>
      <c r="AK348" s="45"/>
      <c r="AL348" s="45"/>
      <c r="AM348" s="45"/>
      <c r="AN348" s="45"/>
      <c r="AO348" s="45"/>
      <c r="AP348" s="45"/>
      <c r="AQ348" s="36"/>
      <c r="AR348" s="36"/>
      <c r="AS348" s="36"/>
      <c r="AT348" s="36"/>
      <c r="AU348" s="36"/>
      <c r="AV348" s="36"/>
      <c r="AW348" s="36"/>
      <c r="AX348" s="36"/>
      <c r="AY348" s="36"/>
      <c r="AZ348" s="36"/>
      <c r="BA348" s="36"/>
      <c r="BB348" s="36"/>
      <c r="BC348" s="36"/>
      <c r="BD348" s="36"/>
      <c r="BE348" s="36"/>
      <c r="BF348" s="36"/>
      <c r="BG348" s="36"/>
      <c r="BH348" s="36"/>
      <c r="BI348" s="36"/>
      <c r="BJ348" s="36"/>
      <c r="BK348" s="36"/>
      <c r="BL348" s="36"/>
      <c r="BM348" s="36"/>
      <c r="BN348" s="36"/>
      <c r="BO348" s="36"/>
      <c r="BP348" s="36"/>
      <c r="BQ348" s="36"/>
    </row>
    <row r="349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51"/>
      <c r="S349" s="51"/>
      <c r="T349" s="51"/>
      <c r="U349" s="51"/>
      <c r="V349" s="51"/>
      <c r="W349" s="51"/>
      <c r="X349" s="51"/>
      <c r="Y349" s="45"/>
      <c r="Z349" s="45"/>
      <c r="AA349" s="45"/>
      <c r="AB349" s="45"/>
      <c r="AC349" s="45"/>
      <c r="AD349" s="45"/>
      <c r="AE349" s="45"/>
      <c r="AF349" s="45"/>
      <c r="AG349" s="45"/>
      <c r="AH349" s="45"/>
      <c r="AI349" s="45"/>
      <c r="AJ349" s="45"/>
      <c r="AK349" s="45"/>
      <c r="AL349" s="45"/>
      <c r="AM349" s="45"/>
      <c r="AN349" s="45"/>
      <c r="AO349" s="45"/>
      <c r="AP349" s="45"/>
      <c r="AQ349" s="36"/>
      <c r="AR349" s="36"/>
      <c r="AS349" s="36"/>
      <c r="AT349" s="36"/>
      <c r="AU349" s="36"/>
      <c r="AV349" s="36"/>
      <c r="AW349" s="36"/>
      <c r="AX349" s="36"/>
      <c r="AY349" s="36"/>
      <c r="AZ349" s="36"/>
      <c r="BA349" s="36"/>
      <c r="BB349" s="36"/>
      <c r="BC349" s="36"/>
      <c r="BD349" s="36"/>
      <c r="BE349" s="36"/>
      <c r="BF349" s="36"/>
      <c r="BG349" s="36"/>
      <c r="BH349" s="36"/>
      <c r="BI349" s="36"/>
      <c r="BJ349" s="36"/>
      <c r="BK349" s="36"/>
      <c r="BL349" s="36"/>
      <c r="BM349" s="36"/>
      <c r="BN349" s="36"/>
      <c r="BO349" s="36"/>
      <c r="BP349" s="36"/>
      <c r="BQ349" s="36"/>
    </row>
    <row r="350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51"/>
      <c r="S350" s="51"/>
      <c r="T350" s="51"/>
      <c r="U350" s="51"/>
      <c r="V350" s="51"/>
      <c r="W350" s="51"/>
      <c r="X350" s="51"/>
      <c r="Y350" s="45"/>
      <c r="Z350" s="45"/>
      <c r="AA350" s="45"/>
      <c r="AB350" s="45"/>
      <c r="AC350" s="45"/>
      <c r="AD350" s="45"/>
      <c r="AE350" s="45"/>
      <c r="AF350" s="45"/>
      <c r="AG350" s="45"/>
      <c r="AH350" s="45"/>
      <c r="AI350" s="45"/>
      <c r="AJ350" s="45"/>
      <c r="AK350" s="45"/>
      <c r="AL350" s="45"/>
      <c r="AM350" s="45"/>
      <c r="AN350" s="45"/>
      <c r="AO350" s="45"/>
      <c r="AP350" s="45"/>
      <c r="AQ350" s="36"/>
      <c r="AR350" s="36"/>
      <c r="AS350" s="36"/>
      <c r="AT350" s="36"/>
      <c r="AU350" s="36"/>
      <c r="AV350" s="36"/>
      <c r="AW350" s="36"/>
      <c r="AX350" s="36"/>
      <c r="AY350" s="36"/>
      <c r="AZ350" s="36"/>
      <c r="BA350" s="36"/>
      <c r="BB350" s="36"/>
      <c r="BC350" s="36"/>
      <c r="BD350" s="36"/>
      <c r="BE350" s="36"/>
      <c r="BF350" s="36"/>
      <c r="BG350" s="36"/>
      <c r="BH350" s="36"/>
      <c r="BI350" s="36"/>
      <c r="BJ350" s="36"/>
      <c r="BK350" s="36"/>
      <c r="BL350" s="36"/>
      <c r="BM350" s="36"/>
      <c r="BN350" s="36"/>
      <c r="BO350" s="36"/>
      <c r="BP350" s="36"/>
      <c r="BQ350" s="36"/>
    </row>
    <row r="35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51"/>
      <c r="S351" s="51"/>
      <c r="T351" s="51"/>
      <c r="U351" s="51"/>
      <c r="V351" s="51"/>
      <c r="W351" s="51"/>
      <c r="X351" s="51"/>
      <c r="Y351" s="45"/>
      <c r="Z351" s="45"/>
      <c r="AA351" s="45"/>
      <c r="AB351" s="45"/>
      <c r="AC351" s="45"/>
      <c r="AD351" s="45"/>
      <c r="AE351" s="45"/>
      <c r="AF351" s="45"/>
      <c r="AG351" s="45"/>
      <c r="AH351" s="45"/>
      <c r="AI351" s="45"/>
      <c r="AJ351" s="45"/>
      <c r="AK351" s="45"/>
      <c r="AL351" s="45"/>
      <c r="AM351" s="45"/>
      <c r="AN351" s="45"/>
      <c r="AO351" s="45"/>
      <c r="AP351" s="45"/>
      <c r="AQ351" s="36"/>
      <c r="AR351" s="36"/>
      <c r="AS351" s="36"/>
      <c r="AT351" s="36"/>
      <c r="AU351" s="36"/>
      <c r="AV351" s="36"/>
      <c r="AW351" s="36"/>
      <c r="AX351" s="36"/>
      <c r="AY351" s="36"/>
      <c r="AZ351" s="36"/>
      <c r="BA351" s="36"/>
      <c r="BB351" s="36"/>
      <c r="BC351" s="36"/>
      <c r="BD351" s="36"/>
      <c r="BE351" s="36"/>
      <c r="BF351" s="36"/>
      <c r="BG351" s="36"/>
      <c r="BH351" s="36"/>
      <c r="BI351" s="36"/>
      <c r="BJ351" s="36"/>
      <c r="BK351" s="36"/>
      <c r="BL351" s="36"/>
      <c r="BM351" s="36"/>
      <c r="BN351" s="36"/>
      <c r="BO351" s="36"/>
      <c r="BP351" s="36"/>
      <c r="BQ351" s="36"/>
    </row>
    <row r="352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51"/>
      <c r="S352" s="51"/>
      <c r="T352" s="51"/>
      <c r="U352" s="51"/>
      <c r="V352" s="51"/>
      <c r="W352" s="51"/>
      <c r="X352" s="51"/>
      <c r="Y352" s="45"/>
      <c r="Z352" s="45"/>
      <c r="AA352" s="45"/>
      <c r="AB352" s="45"/>
      <c r="AC352" s="45"/>
      <c r="AD352" s="45"/>
      <c r="AE352" s="45"/>
      <c r="AF352" s="45"/>
      <c r="AG352" s="45"/>
      <c r="AH352" s="45"/>
      <c r="AI352" s="45"/>
      <c r="AJ352" s="45"/>
      <c r="AK352" s="45"/>
      <c r="AL352" s="45"/>
      <c r="AM352" s="45"/>
      <c r="AN352" s="45"/>
      <c r="AO352" s="45"/>
      <c r="AP352" s="45"/>
      <c r="AQ352" s="36"/>
      <c r="AR352" s="36"/>
      <c r="AS352" s="36"/>
      <c r="AT352" s="36"/>
      <c r="AU352" s="36"/>
      <c r="AV352" s="36"/>
      <c r="AW352" s="36"/>
      <c r="AX352" s="36"/>
      <c r="AY352" s="36"/>
      <c r="AZ352" s="36"/>
      <c r="BA352" s="36"/>
      <c r="BB352" s="36"/>
      <c r="BC352" s="36"/>
      <c r="BD352" s="36"/>
      <c r="BE352" s="36"/>
      <c r="BF352" s="36"/>
      <c r="BG352" s="36"/>
      <c r="BH352" s="36"/>
      <c r="BI352" s="36"/>
      <c r="BJ352" s="36"/>
      <c r="BK352" s="36"/>
      <c r="BL352" s="36"/>
      <c r="BM352" s="36"/>
      <c r="BN352" s="36"/>
      <c r="BO352" s="36"/>
      <c r="BP352" s="36"/>
      <c r="BQ352" s="36"/>
    </row>
    <row r="353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51"/>
      <c r="S353" s="51"/>
      <c r="T353" s="51"/>
      <c r="U353" s="51"/>
      <c r="V353" s="51"/>
      <c r="W353" s="51"/>
      <c r="X353" s="51"/>
      <c r="Y353" s="45"/>
      <c r="Z353" s="45"/>
      <c r="AA353" s="45"/>
      <c r="AB353" s="45"/>
      <c r="AC353" s="45"/>
      <c r="AD353" s="45"/>
      <c r="AE353" s="45"/>
      <c r="AF353" s="45"/>
      <c r="AG353" s="45"/>
      <c r="AH353" s="45"/>
      <c r="AI353" s="45"/>
      <c r="AJ353" s="45"/>
      <c r="AK353" s="45"/>
      <c r="AL353" s="45"/>
      <c r="AM353" s="45"/>
      <c r="AN353" s="45"/>
      <c r="AO353" s="45"/>
      <c r="AP353" s="45"/>
      <c r="AQ353" s="36"/>
      <c r="AR353" s="36"/>
      <c r="AS353" s="36"/>
      <c r="AT353" s="36"/>
      <c r="AU353" s="36"/>
      <c r="AV353" s="36"/>
      <c r="AW353" s="36"/>
      <c r="AX353" s="36"/>
      <c r="AY353" s="36"/>
      <c r="AZ353" s="36"/>
      <c r="BA353" s="36"/>
      <c r="BB353" s="36"/>
      <c r="BC353" s="36"/>
      <c r="BD353" s="36"/>
      <c r="BE353" s="36"/>
      <c r="BF353" s="36"/>
      <c r="BG353" s="36"/>
      <c r="BH353" s="36"/>
      <c r="BI353" s="36"/>
      <c r="BJ353" s="36"/>
      <c r="BK353" s="36"/>
      <c r="BL353" s="36"/>
      <c r="BM353" s="36"/>
      <c r="BN353" s="36"/>
      <c r="BO353" s="36"/>
      <c r="BP353" s="36"/>
      <c r="BQ353" s="36"/>
    </row>
    <row r="354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51"/>
      <c r="S354" s="51"/>
      <c r="T354" s="51"/>
      <c r="U354" s="51"/>
      <c r="V354" s="51"/>
      <c r="W354" s="51"/>
      <c r="X354" s="51"/>
      <c r="Y354" s="45"/>
      <c r="Z354" s="45"/>
      <c r="AA354" s="45"/>
      <c r="AB354" s="45"/>
      <c r="AC354" s="45"/>
      <c r="AD354" s="45"/>
      <c r="AE354" s="45"/>
      <c r="AF354" s="45"/>
      <c r="AG354" s="45"/>
      <c r="AH354" s="45"/>
      <c r="AI354" s="45"/>
      <c r="AJ354" s="45"/>
      <c r="AK354" s="45"/>
      <c r="AL354" s="45"/>
      <c r="AM354" s="45"/>
      <c r="AN354" s="45"/>
      <c r="AO354" s="45"/>
      <c r="AP354" s="45"/>
      <c r="AQ354" s="36"/>
      <c r="AR354" s="36"/>
      <c r="AS354" s="36"/>
      <c r="AT354" s="36"/>
      <c r="AU354" s="36"/>
      <c r="AV354" s="36"/>
      <c r="AW354" s="36"/>
      <c r="AX354" s="36"/>
      <c r="AY354" s="36"/>
      <c r="AZ354" s="36"/>
      <c r="BA354" s="36"/>
      <c r="BB354" s="36"/>
      <c r="BC354" s="36"/>
      <c r="BD354" s="36"/>
      <c r="BE354" s="36"/>
      <c r="BF354" s="36"/>
      <c r="BG354" s="36"/>
      <c r="BH354" s="36"/>
      <c r="BI354" s="36"/>
      <c r="BJ354" s="36"/>
      <c r="BK354" s="36"/>
      <c r="BL354" s="36"/>
      <c r="BM354" s="36"/>
      <c r="BN354" s="36"/>
      <c r="BO354" s="36"/>
      <c r="BP354" s="36"/>
      <c r="BQ354" s="36"/>
    </row>
    <row r="35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51"/>
      <c r="S355" s="51"/>
      <c r="T355" s="51"/>
      <c r="U355" s="51"/>
      <c r="V355" s="51"/>
      <c r="W355" s="51"/>
      <c r="X355" s="51"/>
      <c r="Y355" s="45"/>
      <c r="Z355" s="45"/>
      <c r="AA355" s="45"/>
      <c r="AB355" s="45"/>
      <c r="AC355" s="45"/>
      <c r="AD355" s="45"/>
      <c r="AE355" s="45"/>
      <c r="AF355" s="45"/>
      <c r="AG355" s="45"/>
      <c r="AH355" s="45"/>
      <c r="AI355" s="45"/>
      <c r="AJ355" s="45"/>
      <c r="AK355" s="45"/>
      <c r="AL355" s="45"/>
      <c r="AM355" s="45"/>
      <c r="AN355" s="45"/>
      <c r="AO355" s="45"/>
      <c r="AP355" s="45"/>
      <c r="AQ355" s="36"/>
      <c r="AR355" s="36"/>
      <c r="AS355" s="36"/>
      <c r="AT355" s="36"/>
      <c r="AU355" s="36"/>
      <c r="AV355" s="36"/>
      <c r="AW355" s="36"/>
      <c r="AX355" s="36"/>
      <c r="AY355" s="36"/>
      <c r="AZ355" s="36"/>
      <c r="BA355" s="36"/>
      <c r="BB355" s="36"/>
      <c r="BC355" s="36"/>
      <c r="BD355" s="36"/>
      <c r="BE355" s="36"/>
      <c r="BF355" s="36"/>
      <c r="BG355" s="36"/>
      <c r="BH355" s="36"/>
      <c r="BI355" s="36"/>
      <c r="BJ355" s="36"/>
      <c r="BK355" s="36"/>
      <c r="BL355" s="36"/>
      <c r="BM355" s="36"/>
      <c r="BN355" s="36"/>
      <c r="BO355" s="36"/>
      <c r="BP355" s="36"/>
      <c r="BQ355" s="36"/>
    </row>
    <row r="356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51"/>
      <c r="S356" s="51"/>
      <c r="T356" s="51"/>
      <c r="U356" s="51"/>
      <c r="V356" s="51"/>
      <c r="W356" s="51"/>
      <c r="X356" s="51"/>
      <c r="Y356" s="45"/>
      <c r="Z356" s="45"/>
      <c r="AA356" s="45"/>
      <c r="AB356" s="45"/>
      <c r="AC356" s="45"/>
      <c r="AD356" s="45"/>
      <c r="AE356" s="45"/>
      <c r="AF356" s="45"/>
      <c r="AG356" s="45"/>
      <c r="AH356" s="45"/>
      <c r="AI356" s="45"/>
      <c r="AJ356" s="45"/>
      <c r="AK356" s="45"/>
      <c r="AL356" s="45"/>
      <c r="AM356" s="45"/>
      <c r="AN356" s="45"/>
      <c r="AO356" s="45"/>
      <c r="AP356" s="45"/>
      <c r="AQ356" s="36"/>
      <c r="AR356" s="36"/>
      <c r="AS356" s="36"/>
      <c r="AT356" s="36"/>
      <c r="AU356" s="36"/>
      <c r="AV356" s="36"/>
      <c r="AW356" s="36"/>
      <c r="AX356" s="36"/>
      <c r="AY356" s="36"/>
      <c r="AZ356" s="36"/>
      <c r="BA356" s="36"/>
      <c r="BB356" s="36"/>
      <c r="BC356" s="36"/>
      <c r="BD356" s="36"/>
      <c r="BE356" s="36"/>
      <c r="BF356" s="36"/>
      <c r="BG356" s="36"/>
      <c r="BH356" s="36"/>
      <c r="BI356" s="36"/>
      <c r="BJ356" s="36"/>
      <c r="BK356" s="36"/>
      <c r="BL356" s="36"/>
      <c r="BM356" s="36"/>
      <c r="BN356" s="36"/>
      <c r="BO356" s="36"/>
      <c r="BP356" s="36"/>
      <c r="BQ356" s="36"/>
    </row>
    <row r="357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51"/>
      <c r="S357" s="51"/>
      <c r="T357" s="51"/>
      <c r="U357" s="51"/>
      <c r="V357" s="51"/>
      <c r="W357" s="51"/>
      <c r="X357" s="51"/>
      <c r="Y357" s="45"/>
      <c r="Z357" s="45"/>
      <c r="AA357" s="45"/>
      <c r="AB357" s="45"/>
      <c r="AC357" s="45"/>
      <c r="AD357" s="45"/>
      <c r="AE357" s="45"/>
      <c r="AF357" s="45"/>
      <c r="AG357" s="45"/>
      <c r="AH357" s="45"/>
      <c r="AI357" s="45"/>
      <c r="AJ357" s="45"/>
      <c r="AK357" s="45"/>
      <c r="AL357" s="45"/>
      <c r="AM357" s="45"/>
      <c r="AN357" s="45"/>
      <c r="AO357" s="45"/>
      <c r="AP357" s="45"/>
      <c r="AQ357" s="36"/>
      <c r="AR357" s="36"/>
      <c r="AS357" s="36"/>
      <c r="AT357" s="36"/>
      <c r="AU357" s="36"/>
      <c r="AV357" s="36"/>
      <c r="AW357" s="36"/>
      <c r="AX357" s="36"/>
      <c r="AY357" s="36"/>
      <c r="AZ357" s="36"/>
      <c r="BA357" s="36"/>
      <c r="BB357" s="36"/>
      <c r="BC357" s="36"/>
      <c r="BD357" s="36"/>
      <c r="BE357" s="36"/>
      <c r="BF357" s="36"/>
      <c r="BG357" s="36"/>
      <c r="BH357" s="36"/>
      <c r="BI357" s="36"/>
      <c r="BJ357" s="36"/>
      <c r="BK357" s="36"/>
      <c r="BL357" s="36"/>
      <c r="BM357" s="36"/>
      <c r="BN357" s="36"/>
      <c r="BO357" s="36"/>
      <c r="BP357" s="36"/>
      <c r="BQ357" s="36"/>
    </row>
    <row r="358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51"/>
      <c r="S358" s="51"/>
      <c r="T358" s="51"/>
      <c r="U358" s="51"/>
      <c r="V358" s="51"/>
      <c r="W358" s="51"/>
      <c r="X358" s="51"/>
      <c r="Y358" s="45"/>
      <c r="Z358" s="45"/>
      <c r="AA358" s="45"/>
      <c r="AB358" s="45"/>
      <c r="AC358" s="45"/>
      <c r="AD358" s="45"/>
      <c r="AE358" s="45"/>
      <c r="AF358" s="45"/>
      <c r="AG358" s="45"/>
      <c r="AH358" s="45"/>
      <c r="AI358" s="45"/>
      <c r="AJ358" s="45"/>
      <c r="AK358" s="45"/>
      <c r="AL358" s="45"/>
      <c r="AM358" s="45"/>
      <c r="AN358" s="45"/>
      <c r="AO358" s="45"/>
      <c r="AP358" s="45"/>
      <c r="AQ358" s="36"/>
      <c r="AR358" s="36"/>
      <c r="AS358" s="36"/>
      <c r="AT358" s="36"/>
      <c r="AU358" s="36"/>
      <c r="AV358" s="36"/>
      <c r="AW358" s="36"/>
      <c r="AX358" s="36"/>
      <c r="AY358" s="36"/>
      <c r="AZ358" s="36"/>
      <c r="BA358" s="36"/>
      <c r="BB358" s="36"/>
      <c r="BC358" s="36"/>
      <c r="BD358" s="36"/>
      <c r="BE358" s="36"/>
      <c r="BF358" s="36"/>
      <c r="BG358" s="36"/>
      <c r="BH358" s="36"/>
      <c r="BI358" s="36"/>
      <c r="BJ358" s="36"/>
      <c r="BK358" s="36"/>
      <c r="BL358" s="36"/>
      <c r="BM358" s="36"/>
      <c r="BN358" s="36"/>
      <c r="BO358" s="36"/>
      <c r="BP358" s="36"/>
      <c r="BQ358" s="36"/>
    </row>
    <row r="359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51"/>
      <c r="S359" s="51"/>
      <c r="T359" s="51"/>
      <c r="U359" s="51"/>
      <c r="V359" s="51"/>
      <c r="W359" s="51"/>
      <c r="X359" s="51"/>
      <c r="Y359" s="45"/>
      <c r="Z359" s="45"/>
      <c r="AA359" s="45"/>
      <c r="AB359" s="45"/>
      <c r="AC359" s="45"/>
      <c r="AD359" s="45"/>
      <c r="AE359" s="45"/>
      <c r="AF359" s="45"/>
      <c r="AG359" s="45"/>
      <c r="AH359" s="45"/>
      <c r="AI359" s="45"/>
      <c r="AJ359" s="45"/>
      <c r="AK359" s="45"/>
      <c r="AL359" s="45"/>
      <c r="AM359" s="45"/>
      <c r="AN359" s="45"/>
      <c r="AO359" s="45"/>
      <c r="AP359" s="45"/>
      <c r="AQ359" s="36"/>
      <c r="AR359" s="36"/>
      <c r="AS359" s="36"/>
      <c r="AT359" s="36"/>
      <c r="AU359" s="36"/>
      <c r="AV359" s="36"/>
      <c r="AW359" s="36"/>
      <c r="AX359" s="36"/>
      <c r="AY359" s="36"/>
      <c r="AZ359" s="36"/>
      <c r="BA359" s="36"/>
      <c r="BB359" s="36"/>
      <c r="BC359" s="36"/>
      <c r="BD359" s="36"/>
      <c r="BE359" s="36"/>
      <c r="BF359" s="36"/>
      <c r="BG359" s="36"/>
      <c r="BH359" s="36"/>
      <c r="BI359" s="36"/>
      <c r="BJ359" s="36"/>
      <c r="BK359" s="36"/>
      <c r="BL359" s="36"/>
      <c r="BM359" s="36"/>
      <c r="BN359" s="36"/>
      <c r="BO359" s="36"/>
      <c r="BP359" s="36"/>
      <c r="BQ359" s="36"/>
    </row>
    <row r="360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51"/>
      <c r="S360" s="51"/>
      <c r="T360" s="51"/>
      <c r="U360" s="51"/>
      <c r="V360" s="51"/>
      <c r="W360" s="51"/>
      <c r="X360" s="51"/>
      <c r="Y360" s="45"/>
      <c r="Z360" s="45"/>
      <c r="AA360" s="45"/>
      <c r="AB360" s="45"/>
      <c r="AC360" s="45"/>
      <c r="AD360" s="45"/>
      <c r="AE360" s="45"/>
      <c r="AF360" s="45"/>
      <c r="AG360" s="45"/>
      <c r="AH360" s="45"/>
      <c r="AI360" s="45"/>
      <c r="AJ360" s="45"/>
      <c r="AK360" s="45"/>
      <c r="AL360" s="45"/>
      <c r="AM360" s="45"/>
      <c r="AN360" s="45"/>
      <c r="AO360" s="45"/>
      <c r="AP360" s="45"/>
      <c r="AQ360" s="36"/>
      <c r="AR360" s="36"/>
      <c r="AS360" s="36"/>
      <c r="AT360" s="36"/>
      <c r="AU360" s="36"/>
      <c r="AV360" s="36"/>
      <c r="AW360" s="36"/>
      <c r="AX360" s="36"/>
      <c r="AY360" s="36"/>
      <c r="AZ360" s="36"/>
      <c r="BA360" s="36"/>
      <c r="BB360" s="36"/>
      <c r="BC360" s="36"/>
      <c r="BD360" s="36"/>
      <c r="BE360" s="36"/>
      <c r="BF360" s="36"/>
      <c r="BG360" s="36"/>
      <c r="BH360" s="36"/>
      <c r="BI360" s="36"/>
      <c r="BJ360" s="36"/>
      <c r="BK360" s="36"/>
      <c r="BL360" s="36"/>
      <c r="BM360" s="36"/>
      <c r="BN360" s="36"/>
      <c r="BO360" s="36"/>
      <c r="BP360" s="36"/>
      <c r="BQ360" s="36"/>
    </row>
    <row r="36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51"/>
      <c r="S361" s="51"/>
      <c r="T361" s="51"/>
      <c r="U361" s="51"/>
      <c r="V361" s="51"/>
      <c r="W361" s="51"/>
      <c r="X361" s="51"/>
      <c r="Y361" s="45"/>
      <c r="Z361" s="45"/>
      <c r="AA361" s="45"/>
      <c r="AB361" s="45"/>
      <c r="AC361" s="45"/>
      <c r="AD361" s="45"/>
      <c r="AE361" s="45"/>
      <c r="AF361" s="45"/>
      <c r="AG361" s="45"/>
      <c r="AH361" s="45"/>
      <c r="AI361" s="45"/>
      <c r="AJ361" s="45"/>
      <c r="AK361" s="45"/>
      <c r="AL361" s="45"/>
      <c r="AM361" s="45"/>
      <c r="AN361" s="45"/>
      <c r="AO361" s="45"/>
      <c r="AP361" s="45"/>
      <c r="AQ361" s="36"/>
      <c r="AR361" s="36"/>
      <c r="AS361" s="36"/>
      <c r="AT361" s="36"/>
      <c r="AU361" s="36"/>
      <c r="AV361" s="36"/>
      <c r="AW361" s="36"/>
      <c r="AX361" s="36"/>
      <c r="AY361" s="36"/>
      <c r="AZ361" s="36"/>
      <c r="BA361" s="36"/>
      <c r="BB361" s="36"/>
      <c r="BC361" s="36"/>
      <c r="BD361" s="36"/>
      <c r="BE361" s="36"/>
      <c r="BF361" s="36"/>
      <c r="BG361" s="36"/>
      <c r="BH361" s="36"/>
      <c r="BI361" s="36"/>
      <c r="BJ361" s="36"/>
      <c r="BK361" s="36"/>
      <c r="BL361" s="36"/>
      <c r="BM361" s="36"/>
      <c r="BN361" s="36"/>
      <c r="BO361" s="36"/>
      <c r="BP361" s="36"/>
      <c r="BQ361" s="36"/>
    </row>
    <row r="362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51"/>
      <c r="S362" s="51"/>
      <c r="T362" s="51"/>
      <c r="U362" s="51"/>
      <c r="V362" s="51"/>
      <c r="W362" s="51"/>
      <c r="X362" s="51"/>
      <c r="Y362" s="45"/>
      <c r="Z362" s="45"/>
      <c r="AA362" s="45"/>
      <c r="AB362" s="45"/>
      <c r="AC362" s="45"/>
      <c r="AD362" s="45"/>
      <c r="AE362" s="45"/>
      <c r="AF362" s="45"/>
      <c r="AG362" s="45"/>
      <c r="AH362" s="45"/>
      <c r="AI362" s="45"/>
      <c r="AJ362" s="45"/>
      <c r="AK362" s="45"/>
      <c r="AL362" s="45"/>
      <c r="AM362" s="45"/>
      <c r="AN362" s="45"/>
      <c r="AO362" s="45"/>
      <c r="AP362" s="45"/>
      <c r="AQ362" s="36"/>
      <c r="AR362" s="36"/>
      <c r="AS362" s="36"/>
      <c r="AT362" s="36"/>
      <c r="AU362" s="36"/>
      <c r="AV362" s="36"/>
      <c r="AW362" s="36"/>
      <c r="AX362" s="36"/>
      <c r="AY362" s="36"/>
      <c r="AZ362" s="36"/>
      <c r="BA362" s="36"/>
      <c r="BB362" s="36"/>
      <c r="BC362" s="36"/>
      <c r="BD362" s="36"/>
      <c r="BE362" s="36"/>
      <c r="BF362" s="36"/>
      <c r="BG362" s="36"/>
      <c r="BH362" s="36"/>
      <c r="BI362" s="36"/>
      <c r="BJ362" s="36"/>
      <c r="BK362" s="36"/>
      <c r="BL362" s="36"/>
      <c r="BM362" s="36"/>
      <c r="BN362" s="36"/>
      <c r="BO362" s="36"/>
      <c r="BP362" s="36"/>
      <c r="BQ362" s="36"/>
    </row>
    <row r="363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51"/>
      <c r="S363" s="51"/>
      <c r="T363" s="51"/>
      <c r="U363" s="51"/>
      <c r="V363" s="51"/>
      <c r="W363" s="51"/>
      <c r="X363" s="51"/>
      <c r="Y363" s="45"/>
      <c r="Z363" s="45"/>
      <c r="AA363" s="45"/>
      <c r="AB363" s="45"/>
      <c r="AC363" s="45"/>
      <c r="AD363" s="45"/>
      <c r="AE363" s="45"/>
      <c r="AF363" s="45"/>
      <c r="AG363" s="45"/>
      <c r="AH363" s="45"/>
      <c r="AI363" s="45"/>
      <c r="AJ363" s="45"/>
      <c r="AK363" s="45"/>
      <c r="AL363" s="45"/>
      <c r="AM363" s="45"/>
      <c r="AN363" s="45"/>
      <c r="AO363" s="45"/>
      <c r="AP363" s="45"/>
      <c r="AQ363" s="36"/>
      <c r="AR363" s="36"/>
      <c r="AS363" s="36"/>
      <c r="AT363" s="36"/>
      <c r="AU363" s="36"/>
      <c r="AV363" s="36"/>
      <c r="AW363" s="36"/>
      <c r="AX363" s="36"/>
      <c r="AY363" s="36"/>
      <c r="AZ363" s="36"/>
      <c r="BA363" s="36"/>
      <c r="BB363" s="36"/>
      <c r="BC363" s="36"/>
      <c r="BD363" s="36"/>
      <c r="BE363" s="36"/>
      <c r="BF363" s="36"/>
      <c r="BG363" s="36"/>
      <c r="BH363" s="36"/>
      <c r="BI363" s="36"/>
      <c r="BJ363" s="36"/>
      <c r="BK363" s="36"/>
      <c r="BL363" s="36"/>
      <c r="BM363" s="36"/>
      <c r="BN363" s="36"/>
      <c r="BO363" s="36"/>
      <c r="BP363" s="36"/>
      <c r="BQ363" s="36"/>
    </row>
    <row r="364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51"/>
      <c r="S364" s="51"/>
      <c r="T364" s="51"/>
      <c r="U364" s="51"/>
      <c r="V364" s="51"/>
      <c r="W364" s="51"/>
      <c r="X364" s="51"/>
      <c r="Y364" s="45"/>
      <c r="Z364" s="45"/>
      <c r="AA364" s="45"/>
      <c r="AB364" s="45"/>
      <c r="AC364" s="45"/>
      <c r="AD364" s="45"/>
      <c r="AE364" s="45"/>
      <c r="AF364" s="45"/>
      <c r="AG364" s="45"/>
      <c r="AH364" s="45"/>
      <c r="AI364" s="45"/>
      <c r="AJ364" s="45"/>
      <c r="AK364" s="45"/>
      <c r="AL364" s="45"/>
      <c r="AM364" s="45"/>
      <c r="AN364" s="45"/>
      <c r="AO364" s="45"/>
      <c r="AP364" s="45"/>
      <c r="AQ364" s="36"/>
      <c r="AR364" s="36"/>
      <c r="AS364" s="36"/>
      <c r="AT364" s="36"/>
      <c r="AU364" s="36"/>
      <c r="AV364" s="36"/>
      <c r="AW364" s="36"/>
      <c r="AX364" s="36"/>
      <c r="AY364" s="36"/>
      <c r="AZ364" s="36"/>
      <c r="BA364" s="36"/>
      <c r="BB364" s="36"/>
      <c r="BC364" s="36"/>
      <c r="BD364" s="36"/>
      <c r="BE364" s="36"/>
      <c r="BF364" s="36"/>
      <c r="BG364" s="36"/>
      <c r="BH364" s="36"/>
      <c r="BI364" s="36"/>
      <c r="BJ364" s="36"/>
      <c r="BK364" s="36"/>
      <c r="BL364" s="36"/>
      <c r="BM364" s="36"/>
      <c r="BN364" s="36"/>
      <c r="BO364" s="36"/>
      <c r="BP364" s="36"/>
      <c r="BQ364" s="36"/>
    </row>
    <row r="36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51"/>
      <c r="S365" s="51"/>
      <c r="T365" s="51"/>
      <c r="U365" s="51"/>
      <c r="V365" s="51"/>
      <c r="W365" s="51"/>
      <c r="X365" s="51"/>
      <c r="Y365" s="45"/>
      <c r="Z365" s="45"/>
      <c r="AA365" s="45"/>
      <c r="AB365" s="45"/>
      <c r="AC365" s="45"/>
      <c r="AD365" s="45"/>
      <c r="AE365" s="45"/>
      <c r="AF365" s="45"/>
      <c r="AG365" s="45"/>
      <c r="AH365" s="45"/>
      <c r="AI365" s="45"/>
      <c r="AJ365" s="45"/>
      <c r="AK365" s="45"/>
      <c r="AL365" s="45"/>
      <c r="AM365" s="45"/>
      <c r="AN365" s="45"/>
      <c r="AO365" s="45"/>
      <c r="AP365" s="45"/>
      <c r="AQ365" s="36"/>
      <c r="AR365" s="36"/>
      <c r="AS365" s="36"/>
      <c r="AT365" s="36"/>
      <c r="AU365" s="36"/>
      <c r="AV365" s="36"/>
      <c r="AW365" s="36"/>
      <c r="AX365" s="36"/>
      <c r="AY365" s="36"/>
      <c r="AZ365" s="36"/>
      <c r="BA365" s="36"/>
      <c r="BB365" s="36"/>
      <c r="BC365" s="36"/>
      <c r="BD365" s="36"/>
      <c r="BE365" s="36"/>
      <c r="BF365" s="36"/>
      <c r="BG365" s="36"/>
      <c r="BH365" s="36"/>
      <c r="BI365" s="36"/>
      <c r="BJ365" s="36"/>
      <c r="BK365" s="36"/>
      <c r="BL365" s="36"/>
      <c r="BM365" s="36"/>
      <c r="BN365" s="36"/>
      <c r="BO365" s="36"/>
      <c r="BP365" s="36"/>
      <c r="BQ365" s="36"/>
    </row>
    <row r="366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51"/>
      <c r="S366" s="51"/>
      <c r="T366" s="51"/>
      <c r="U366" s="51"/>
      <c r="V366" s="51"/>
      <c r="W366" s="51"/>
      <c r="X366" s="51"/>
      <c r="Y366" s="45"/>
      <c r="Z366" s="45"/>
      <c r="AA366" s="45"/>
      <c r="AB366" s="45"/>
      <c r="AC366" s="45"/>
      <c r="AD366" s="45"/>
      <c r="AE366" s="45"/>
      <c r="AF366" s="45"/>
      <c r="AG366" s="45"/>
      <c r="AH366" s="45"/>
      <c r="AI366" s="45"/>
      <c r="AJ366" s="45"/>
      <c r="AK366" s="45"/>
      <c r="AL366" s="45"/>
      <c r="AM366" s="45"/>
      <c r="AN366" s="45"/>
      <c r="AO366" s="45"/>
      <c r="AP366" s="45"/>
      <c r="AQ366" s="36"/>
      <c r="AR366" s="36"/>
      <c r="AS366" s="36"/>
      <c r="AT366" s="36"/>
      <c r="AU366" s="36"/>
      <c r="AV366" s="36"/>
      <c r="AW366" s="36"/>
      <c r="AX366" s="36"/>
      <c r="AY366" s="36"/>
      <c r="AZ366" s="36"/>
      <c r="BA366" s="36"/>
      <c r="BB366" s="36"/>
      <c r="BC366" s="36"/>
      <c r="BD366" s="36"/>
      <c r="BE366" s="36"/>
      <c r="BF366" s="36"/>
      <c r="BG366" s="36"/>
      <c r="BH366" s="36"/>
      <c r="BI366" s="36"/>
      <c r="BJ366" s="36"/>
      <c r="BK366" s="36"/>
      <c r="BL366" s="36"/>
      <c r="BM366" s="36"/>
      <c r="BN366" s="36"/>
      <c r="BO366" s="36"/>
      <c r="BP366" s="36"/>
      <c r="BQ366" s="36"/>
    </row>
    <row r="367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51"/>
      <c r="S367" s="51"/>
      <c r="T367" s="51"/>
      <c r="U367" s="51"/>
      <c r="V367" s="51"/>
      <c r="W367" s="51"/>
      <c r="X367" s="51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5"/>
      <c r="AM367" s="45"/>
      <c r="AN367" s="45"/>
      <c r="AO367" s="45"/>
      <c r="AP367" s="45"/>
      <c r="AQ367" s="36"/>
      <c r="AR367" s="36"/>
      <c r="AS367" s="36"/>
      <c r="AT367" s="36"/>
      <c r="AU367" s="36"/>
      <c r="AV367" s="36"/>
      <c r="AW367" s="36"/>
      <c r="AX367" s="36"/>
      <c r="AY367" s="36"/>
      <c r="AZ367" s="36"/>
      <c r="BA367" s="36"/>
      <c r="BB367" s="36"/>
      <c r="BC367" s="36"/>
      <c r="BD367" s="36"/>
      <c r="BE367" s="36"/>
      <c r="BF367" s="36"/>
      <c r="BG367" s="36"/>
      <c r="BH367" s="36"/>
      <c r="BI367" s="36"/>
      <c r="BJ367" s="36"/>
      <c r="BK367" s="36"/>
      <c r="BL367" s="36"/>
      <c r="BM367" s="36"/>
      <c r="BN367" s="36"/>
      <c r="BO367" s="36"/>
      <c r="BP367" s="36"/>
      <c r="BQ367" s="36"/>
    </row>
    <row r="368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51"/>
      <c r="S368" s="51"/>
      <c r="T368" s="51"/>
      <c r="U368" s="51"/>
      <c r="V368" s="51"/>
      <c r="W368" s="51"/>
      <c r="X368" s="51"/>
      <c r="Y368" s="45"/>
      <c r="Z368" s="45"/>
      <c r="AA368" s="45"/>
      <c r="AB368" s="45"/>
      <c r="AC368" s="45"/>
      <c r="AD368" s="45"/>
      <c r="AE368" s="45"/>
      <c r="AF368" s="45"/>
      <c r="AG368" s="45"/>
      <c r="AH368" s="45"/>
      <c r="AI368" s="45"/>
      <c r="AJ368" s="45"/>
      <c r="AK368" s="45"/>
      <c r="AL368" s="45"/>
      <c r="AM368" s="45"/>
      <c r="AN368" s="45"/>
      <c r="AO368" s="45"/>
      <c r="AP368" s="45"/>
      <c r="AQ368" s="36"/>
      <c r="AR368" s="36"/>
      <c r="AS368" s="36"/>
      <c r="AT368" s="36"/>
      <c r="AU368" s="36"/>
      <c r="AV368" s="36"/>
      <c r="AW368" s="36"/>
      <c r="AX368" s="36"/>
      <c r="AY368" s="36"/>
      <c r="AZ368" s="36"/>
      <c r="BA368" s="36"/>
      <c r="BB368" s="36"/>
      <c r="BC368" s="36"/>
      <c r="BD368" s="36"/>
      <c r="BE368" s="36"/>
      <c r="BF368" s="36"/>
      <c r="BG368" s="36"/>
      <c r="BH368" s="36"/>
      <c r="BI368" s="36"/>
      <c r="BJ368" s="36"/>
      <c r="BK368" s="36"/>
      <c r="BL368" s="36"/>
      <c r="BM368" s="36"/>
      <c r="BN368" s="36"/>
      <c r="BO368" s="36"/>
      <c r="BP368" s="36"/>
      <c r="BQ368" s="36"/>
    </row>
    <row r="369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51"/>
      <c r="S369" s="51"/>
      <c r="T369" s="51"/>
      <c r="U369" s="51"/>
      <c r="V369" s="51"/>
      <c r="W369" s="51"/>
      <c r="X369" s="51"/>
      <c r="Y369" s="45"/>
      <c r="Z369" s="45"/>
      <c r="AA369" s="45"/>
      <c r="AB369" s="45"/>
      <c r="AC369" s="45"/>
      <c r="AD369" s="45"/>
      <c r="AE369" s="45"/>
      <c r="AF369" s="45"/>
      <c r="AG369" s="45"/>
      <c r="AH369" s="45"/>
      <c r="AI369" s="45"/>
      <c r="AJ369" s="45"/>
      <c r="AK369" s="45"/>
      <c r="AL369" s="45"/>
      <c r="AM369" s="45"/>
      <c r="AN369" s="45"/>
      <c r="AO369" s="45"/>
      <c r="AP369" s="45"/>
      <c r="AQ369" s="36"/>
      <c r="AR369" s="36"/>
      <c r="AS369" s="36"/>
      <c r="AT369" s="36"/>
      <c r="AU369" s="36"/>
      <c r="AV369" s="36"/>
      <c r="AW369" s="36"/>
      <c r="AX369" s="36"/>
      <c r="AY369" s="36"/>
      <c r="AZ369" s="36"/>
      <c r="BA369" s="36"/>
      <c r="BB369" s="36"/>
      <c r="BC369" s="36"/>
      <c r="BD369" s="36"/>
      <c r="BE369" s="36"/>
      <c r="BF369" s="36"/>
      <c r="BG369" s="36"/>
      <c r="BH369" s="36"/>
      <c r="BI369" s="36"/>
      <c r="BJ369" s="36"/>
      <c r="BK369" s="36"/>
      <c r="BL369" s="36"/>
      <c r="BM369" s="36"/>
      <c r="BN369" s="36"/>
      <c r="BO369" s="36"/>
      <c r="BP369" s="36"/>
      <c r="BQ369" s="36"/>
    </row>
    <row r="370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51"/>
      <c r="S370" s="51"/>
      <c r="T370" s="51"/>
      <c r="U370" s="51"/>
      <c r="V370" s="51"/>
      <c r="W370" s="51"/>
      <c r="X370" s="51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5"/>
      <c r="AM370" s="45"/>
      <c r="AN370" s="45"/>
      <c r="AO370" s="45"/>
      <c r="AP370" s="45"/>
      <c r="AQ370" s="36"/>
      <c r="AR370" s="36"/>
      <c r="AS370" s="36"/>
      <c r="AT370" s="36"/>
      <c r="AU370" s="36"/>
      <c r="AV370" s="36"/>
      <c r="AW370" s="36"/>
      <c r="AX370" s="36"/>
      <c r="AY370" s="36"/>
      <c r="AZ370" s="36"/>
      <c r="BA370" s="36"/>
      <c r="BB370" s="36"/>
      <c r="BC370" s="36"/>
      <c r="BD370" s="36"/>
      <c r="BE370" s="36"/>
      <c r="BF370" s="36"/>
      <c r="BG370" s="36"/>
      <c r="BH370" s="36"/>
      <c r="BI370" s="36"/>
      <c r="BJ370" s="36"/>
      <c r="BK370" s="36"/>
      <c r="BL370" s="36"/>
      <c r="BM370" s="36"/>
      <c r="BN370" s="36"/>
      <c r="BO370" s="36"/>
      <c r="BP370" s="36"/>
      <c r="BQ370" s="36"/>
    </row>
    <row r="37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51"/>
      <c r="S371" s="51"/>
      <c r="T371" s="51"/>
      <c r="U371" s="51"/>
      <c r="V371" s="51"/>
      <c r="W371" s="51"/>
      <c r="X371" s="51"/>
      <c r="Y371" s="45"/>
      <c r="Z371" s="45"/>
      <c r="AA371" s="45"/>
      <c r="AB371" s="45"/>
      <c r="AC371" s="45"/>
      <c r="AD371" s="45"/>
      <c r="AE371" s="45"/>
      <c r="AF371" s="45"/>
      <c r="AG371" s="45"/>
      <c r="AH371" s="45"/>
      <c r="AI371" s="45"/>
      <c r="AJ371" s="45"/>
      <c r="AK371" s="45"/>
      <c r="AL371" s="45"/>
      <c r="AM371" s="45"/>
      <c r="AN371" s="45"/>
      <c r="AO371" s="45"/>
      <c r="AP371" s="45"/>
      <c r="AQ371" s="36"/>
      <c r="AR371" s="36"/>
      <c r="AS371" s="36"/>
      <c r="AT371" s="36"/>
      <c r="AU371" s="36"/>
      <c r="AV371" s="36"/>
      <c r="AW371" s="36"/>
      <c r="AX371" s="36"/>
      <c r="AY371" s="36"/>
      <c r="AZ371" s="36"/>
      <c r="BA371" s="36"/>
      <c r="BB371" s="36"/>
      <c r="BC371" s="36"/>
      <c r="BD371" s="36"/>
      <c r="BE371" s="36"/>
      <c r="BF371" s="36"/>
      <c r="BG371" s="36"/>
      <c r="BH371" s="36"/>
      <c r="BI371" s="36"/>
      <c r="BJ371" s="36"/>
      <c r="BK371" s="36"/>
      <c r="BL371" s="36"/>
      <c r="BM371" s="36"/>
      <c r="BN371" s="36"/>
      <c r="BO371" s="36"/>
      <c r="BP371" s="36"/>
      <c r="BQ371" s="36"/>
    </row>
    <row r="372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51"/>
      <c r="S372" s="51"/>
      <c r="T372" s="51"/>
      <c r="U372" s="51"/>
      <c r="V372" s="51"/>
      <c r="W372" s="51"/>
      <c r="X372" s="51"/>
      <c r="Y372" s="45"/>
      <c r="Z372" s="45"/>
      <c r="AA372" s="45"/>
      <c r="AB372" s="45"/>
      <c r="AC372" s="45"/>
      <c r="AD372" s="45"/>
      <c r="AE372" s="45"/>
      <c r="AF372" s="45"/>
      <c r="AG372" s="45"/>
      <c r="AH372" s="45"/>
      <c r="AI372" s="45"/>
      <c r="AJ372" s="45"/>
      <c r="AK372" s="45"/>
      <c r="AL372" s="45"/>
      <c r="AM372" s="45"/>
      <c r="AN372" s="45"/>
      <c r="AO372" s="45"/>
      <c r="AP372" s="45"/>
      <c r="AQ372" s="36"/>
      <c r="AR372" s="36"/>
      <c r="AS372" s="36"/>
      <c r="AT372" s="36"/>
      <c r="AU372" s="36"/>
      <c r="AV372" s="36"/>
      <c r="AW372" s="36"/>
      <c r="AX372" s="36"/>
      <c r="AY372" s="36"/>
      <c r="AZ372" s="36"/>
      <c r="BA372" s="36"/>
      <c r="BB372" s="36"/>
      <c r="BC372" s="36"/>
      <c r="BD372" s="36"/>
      <c r="BE372" s="36"/>
      <c r="BF372" s="36"/>
      <c r="BG372" s="36"/>
      <c r="BH372" s="36"/>
      <c r="BI372" s="36"/>
      <c r="BJ372" s="36"/>
      <c r="BK372" s="36"/>
      <c r="BL372" s="36"/>
      <c r="BM372" s="36"/>
      <c r="BN372" s="36"/>
      <c r="BO372" s="36"/>
      <c r="BP372" s="36"/>
      <c r="BQ372" s="36"/>
    </row>
    <row r="373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51"/>
      <c r="S373" s="51"/>
      <c r="T373" s="51"/>
      <c r="U373" s="51"/>
      <c r="V373" s="51"/>
      <c r="W373" s="51"/>
      <c r="X373" s="51"/>
      <c r="Y373" s="45"/>
      <c r="Z373" s="45"/>
      <c r="AA373" s="45"/>
      <c r="AB373" s="45"/>
      <c r="AC373" s="45"/>
      <c r="AD373" s="45"/>
      <c r="AE373" s="45"/>
      <c r="AF373" s="45"/>
      <c r="AG373" s="45"/>
      <c r="AH373" s="45"/>
      <c r="AI373" s="45"/>
      <c r="AJ373" s="45"/>
      <c r="AK373" s="45"/>
      <c r="AL373" s="45"/>
      <c r="AM373" s="45"/>
      <c r="AN373" s="45"/>
      <c r="AO373" s="45"/>
      <c r="AP373" s="45"/>
      <c r="AQ373" s="36"/>
      <c r="AR373" s="36"/>
      <c r="AS373" s="36"/>
      <c r="AT373" s="36"/>
      <c r="AU373" s="36"/>
      <c r="AV373" s="36"/>
      <c r="AW373" s="36"/>
      <c r="AX373" s="36"/>
      <c r="AY373" s="36"/>
      <c r="AZ373" s="36"/>
      <c r="BA373" s="36"/>
      <c r="BB373" s="36"/>
      <c r="BC373" s="36"/>
      <c r="BD373" s="36"/>
      <c r="BE373" s="36"/>
      <c r="BF373" s="36"/>
      <c r="BG373" s="36"/>
      <c r="BH373" s="36"/>
      <c r="BI373" s="36"/>
      <c r="BJ373" s="36"/>
      <c r="BK373" s="36"/>
      <c r="BL373" s="36"/>
      <c r="BM373" s="36"/>
      <c r="BN373" s="36"/>
      <c r="BO373" s="36"/>
      <c r="BP373" s="36"/>
      <c r="BQ373" s="36"/>
    </row>
    <row r="374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51"/>
      <c r="S374" s="51"/>
      <c r="T374" s="51"/>
      <c r="U374" s="51"/>
      <c r="V374" s="51"/>
      <c r="W374" s="51"/>
      <c r="X374" s="51"/>
      <c r="Y374" s="45"/>
      <c r="Z374" s="45"/>
      <c r="AA374" s="45"/>
      <c r="AB374" s="45"/>
      <c r="AC374" s="45"/>
      <c r="AD374" s="45"/>
      <c r="AE374" s="45"/>
      <c r="AF374" s="45"/>
      <c r="AG374" s="45"/>
      <c r="AH374" s="45"/>
      <c r="AI374" s="45"/>
      <c r="AJ374" s="45"/>
      <c r="AK374" s="45"/>
      <c r="AL374" s="45"/>
      <c r="AM374" s="45"/>
      <c r="AN374" s="45"/>
      <c r="AO374" s="45"/>
      <c r="AP374" s="45"/>
      <c r="AQ374" s="36"/>
      <c r="AR374" s="36"/>
      <c r="AS374" s="36"/>
      <c r="AT374" s="36"/>
      <c r="AU374" s="36"/>
      <c r="AV374" s="36"/>
      <c r="AW374" s="36"/>
      <c r="AX374" s="36"/>
      <c r="AY374" s="36"/>
      <c r="AZ374" s="36"/>
      <c r="BA374" s="36"/>
      <c r="BB374" s="36"/>
      <c r="BC374" s="36"/>
      <c r="BD374" s="36"/>
      <c r="BE374" s="36"/>
      <c r="BF374" s="36"/>
      <c r="BG374" s="36"/>
      <c r="BH374" s="36"/>
      <c r="BI374" s="36"/>
      <c r="BJ374" s="36"/>
      <c r="BK374" s="36"/>
      <c r="BL374" s="36"/>
      <c r="BM374" s="36"/>
      <c r="BN374" s="36"/>
      <c r="BO374" s="36"/>
      <c r="BP374" s="36"/>
      <c r="BQ374" s="36"/>
    </row>
    <row r="3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51"/>
      <c r="S375" s="51"/>
      <c r="T375" s="51"/>
      <c r="U375" s="51"/>
      <c r="V375" s="51"/>
      <c r="W375" s="51"/>
      <c r="X375" s="51"/>
      <c r="Y375" s="45"/>
      <c r="Z375" s="45"/>
      <c r="AA375" s="45"/>
      <c r="AB375" s="45"/>
      <c r="AC375" s="45"/>
      <c r="AD375" s="45"/>
      <c r="AE375" s="45"/>
      <c r="AF375" s="45"/>
      <c r="AG375" s="45"/>
      <c r="AH375" s="45"/>
      <c r="AI375" s="45"/>
      <c r="AJ375" s="45"/>
      <c r="AK375" s="45"/>
      <c r="AL375" s="45"/>
      <c r="AM375" s="45"/>
      <c r="AN375" s="45"/>
      <c r="AO375" s="45"/>
      <c r="AP375" s="45"/>
      <c r="AQ375" s="36"/>
      <c r="AR375" s="36"/>
      <c r="AS375" s="36"/>
      <c r="AT375" s="36"/>
      <c r="AU375" s="36"/>
      <c r="AV375" s="36"/>
      <c r="AW375" s="36"/>
      <c r="AX375" s="36"/>
      <c r="AY375" s="36"/>
      <c r="AZ375" s="36"/>
      <c r="BA375" s="36"/>
      <c r="BB375" s="36"/>
      <c r="BC375" s="36"/>
      <c r="BD375" s="36"/>
      <c r="BE375" s="36"/>
      <c r="BF375" s="36"/>
      <c r="BG375" s="36"/>
      <c r="BH375" s="36"/>
      <c r="BI375" s="36"/>
      <c r="BJ375" s="36"/>
      <c r="BK375" s="36"/>
      <c r="BL375" s="36"/>
      <c r="BM375" s="36"/>
      <c r="BN375" s="36"/>
      <c r="BO375" s="36"/>
      <c r="BP375" s="36"/>
      <c r="BQ375" s="36"/>
    </row>
    <row r="376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51"/>
      <c r="S376" s="51"/>
      <c r="T376" s="51"/>
      <c r="U376" s="51"/>
      <c r="V376" s="51"/>
      <c r="W376" s="51"/>
      <c r="X376" s="51"/>
      <c r="Y376" s="45"/>
      <c r="Z376" s="45"/>
      <c r="AA376" s="45"/>
      <c r="AB376" s="45"/>
      <c r="AC376" s="45"/>
      <c r="AD376" s="45"/>
      <c r="AE376" s="45"/>
      <c r="AF376" s="45"/>
      <c r="AG376" s="45"/>
      <c r="AH376" s="45"/>
      <c r="AI376" s="45"/>
      <c r="AJ376" s="45"/>
      <c r="AK376" s="45"/>
      <c r="AL376" s="45"/>
      <c r="AM376" s="45"/>
      <c r="AN376" s="45"/>
      <c r="AO376" s="45"/>
      <c r="AP376" s="45"/>
      <c r="AQ376" s="36"/>
      <c r="AR376" s="36"/>
      <c r="AS376" s="36"/>
      <c r="AT376" s="36"/>
      <c r="AU376" s="36"/>
      <c r="AV376" s="36"/>
      <c r="AW376" s="36"/>
      <c r="AX376" s="36"/>
      <c r="AY376" s="36"/>
      <c r="AZ376" s="36"/>
      <c r="BA376" s="36"/>
      <c r="BB376" s="36"/>
      <c r="BC376" s="36"/>
      <c r="BD376" s="36"/>
      <c r="BE376" s="36"/>
      <c r="BF376" s="36"/>
      <c r="BG376" s="36"/>
      <c r="BH376" s="36"/>
      <c r="BI376" s="36"/>
      <c r="BJ376" s="36"/>
      <c r="BK376" s="36"/>
      <c r="BL376" s="36"/>
      <c r="BM376" s="36"/>
      <c r="BN376" s="36"/>
      <c r="BO376" s="36"/>
      <c r="BP376" s="36"/>
      <c r="BQ376" s="36"/>
    </row>
    <row r="377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51"/>
      <c r="S377" s="51"/>
      <c r="T377" s="51"/>
      <c r="U377" s="51"/>
      <c r="V377" s="51"/>
      <c r="W377" s="51"/>
      <c r="X377" s="51"/>
      <c r="Y377" s="45"/>
      <c r="Z377" s="45"/>
      <c r="AA377" s="45"/>
      <c r="AB377" s="45"/>
      <c r="AC377" s="45"/>
      <c r="AD377" s="45"/>
      <c r="AE377" s="45"/>
      <c r="AF377" s="45"/>
      <c r="AG377" s="45"/>
      <c r="AH377" s="45"/>
      <c r="AI377" s="45"/>
      <c r="AJ377" s="45"/>
      <c r="AK377" s="45"/>
      <c r="AL377" s="45"/>
      <c r="AM377" s="45"/>
      <c r="AN377" s="45"/>
      <c r="AO377" s="45"/>
      <c r="AP377" s="45"/>
      <c r="AQ377" s="36"/>
      <c r="AR377" s="36"/>
      <c r="AS377" s="36"/>
      <c r="AT377" s="36"/>
      <c r="AU377" s="36"/>
      <c r="AV377" s="36"/>
      <c r="AW377" s="36"/>
      <c r="AX377" s="36"/>
      <c r="AY377" s="36"/>
      <c r="AZ377" s="36"/>
      <c r="BA377" s="36"/>
      <c r="BB377" s="36"/>
      <c r="BC377" s="36"/>
      <c r="BD377" s="36"/>
      <c r="BE377" s="36"/>
      <c r="BF377" s="36"/>
      <c r="BG377" s="36"/>
      <c r="BH377" s="36"/>
      <c r="BI377" s="36"/>
      <c r="BJ377" s="36"/>
      <c r="BK377" s="36"/>
      <c r="BL377" s="36"/>
      <c r="BM377" s="36"/>
      <c r="BN377" s="36"/>
      <c r="BO377" s="36"/>
      <c r="BP377" s="36"/>
      <c r="BQ377" s="36"/>
    </row>
    <row r="378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51"/>
      <c r="S378" s="51"/>
      <c r="T378" s="51"/>
      <c r="U378" s="51"/>
      <c r="V378" s="51"/>
      <c r="W378" s="51"/>
      <c r="X378" s="51"/>
      <c r="Y378" s="45"/>
      <c r="Z378" s="45"/>
      <c r="AA378" s="45"/>
      <c r="AB378" s="45"/>
      <c r="AC378" s="45"/>
      <c r="AD378" s="45"/>
      <c r="AE378" s="45"/>
      <c r="AF378" s="45"/>
      <c r="AG378" s="45"/>
      <c r="AH378" s="45"/>
      <c r="AI378" s="45"/>
      <c r="AJ378" s="45"/>
      <c r="AK378" s="45"/>
      <c r="AL378" s="45"/>
      <c r="AM378" s="45"/>
      <c r="AN378" s="45"/>
      <c r="AO378" s="45"/>
      <c r="AP378" s="45"/>
      <c r="AQ378" s="36"/>
      <c r="AR378" s="36"/>
      <c r="AS378" s="36"/>
      <c r="AT378" s="36"/>
      <c r="AU378" s="36"/>
      <c r="AV378" s="36"/>
      <c r="AW378" s="36"/>
      <c r="AX378" s="36"/>
      <c r="AY378" s="36"/>
      <c r="AZ378" s="36"/>
      <c r="BA378" s="36"/>
      <c r="BB378" s="36"/>
      <c r="BC378" s="36"/>
      <c r="BD378" s="36"/>
      <c r="BE378" s="36"/>
      <c r="BF378" s="36"/>
      <c r="BG378" s="36"/>
      <c r="BH378" s="36"/>
      <c r="BI378" s="36"/>
      <c r="BJ378" s="36"/>
      <c r="BK378" s="36"/>
      <c r="BL378" s="36"/>
      <c r="BM378" s="36"/>
      <c r="BN378" s="36"/>
      <c r="BO378" s="36"/>
      <c r="BP378" s="36"/>
      <c r="BQ378" s="36"/>
    </row>
    <row r="379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51"/>
      <c r="S379" s="51"/>
      <c r="T379" s="51"/>
      <c r="U379" s="51"/>
      <c r="V379" s="51"/>
      <c r="W379" s="51"/>
      <c r="X379" s="51"/>
      <c r="Y379" s="45"/>
      <c r="Z379" s="45"/>
      <c r="AA379" s="45"/>
      <c r="AB379" s="45"/>
      <c r="AC379" s="45"/>
      <c r="AD379" s="45"/>
      <c r="AE379" s="45"/>
      <c r="AF379" s="45"/>
      <c r="AG379" s="45"/>
      <c r="AH379" s="45"/>
      <c r="AI379" s="45"/>
      <c r="AJ379" s="45"/>
      <c r="AK379" s="45"/>
      <c r="AL379" s="45"/>
      <c r="AM379" s="45"/>
      <c r="AN379" s="45"/>
      <c r="AO379" s="45"/>
      <c r="AP379" s="45"/>
      <c r="AQ379" s="36"/>
      <c r="AR379" s="36"/>
      <c r="AS379" s="36"/>
      <c r="AT379" s="36"/>
      <c r="AU379" s="36"/>
      <c r="AV379" s="36"/>
      <c r="AW379" s="36"/>
      <c r="AX379" s="36"/>
      <c r="AY379" s="36"/>
      <c r="AZ379" s="36"/>
      <c r="BA379" s="36"/>
      <c r="BB379" s="36"/>
      <c r="BC379" s="36"/>
      <c r="BD379" s="36"/>
      <c r="BE379" s="36"/>
      <c r="BF379" s="36"/>
      <c r="BG379" s="36"/>
      <c r="BH379" s="36"/>
      <c r="BI379" s="36"/>
      <c r="BJ379" s="36"/>
      <c r="BK379" s="36"/>
      <c r="BL379" s="36"/>
      <c r="BM379" s="36"/>
      <c r="BN379" s="36"/>
      <c r="BO379" s="36"/>
      <c r="BP379" s="36"/>
      <c r="BQ379" s="36"/>
    </row>
    <row r="380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51"/>
      <c r="S380" s="51"/>
      <c r="T380" s="51"/>
      <c r="U380" s="51"/>
      <c r="V380" s="51"/>
      <c r="W380" s="51"/>
      <c r="X380" s="51"/>
      <c r="Y380" s="45"/>
      <c r="Z380" s="45"/>
      <c r="AA380" s="45"/>
      <c r="AB380" s="45"/>
      <c r="AC380" s="45"/>
      <c r="AD380" s="45"/>
      <c r="AE380" s="45"/>
      <c r="AF380" s="45"/>
      <c r="AG380" s="45"/>
      <c r="AH380" s="45"/>
      <c r="AI380" s="45"/>
      <c r="AJ380" s="45"/>
      <c r="AK380" s="45"/>
      <c r="AL380" s="45"/>
      <c r="AM380" s="45"/>
      <c r="AN380" s="45"/>
      <c r="AO380" s="45"/>
      <c r="AP380" s="45"/>
      <c r="AQ380" s="36"/>
      <c r="AR380" s="36"/>
      <c r="AS380" s="36"/>
      <c r="AT380" s="36"/>
      <c r="AU380" s="36"/>
      <c r="AV380" s="36"/>
      <c r="AW380" s="36"/>
      <c r="AX380" s="36"/>
      <c r="AY380" s="36"/>
      <c r="AZ380" s="36"/>
      <c r="BA380" s="36"/>
      <c r="BB380" s="36"/>
      <c r="BC380" s="36"/>
      <c r="BD380" s="36"/>
      <c r="BE380" s="36"/>
      <c r="BF380" s="36"/>
      <c r="BG380" s="36"/>
      <c r="BH380" s="36"/>
      <c r="BI380" s="36"/>
      <c r="BJ380" s="36"/>
      <c r="BK380" s="36"/>
      <c r="BL380" s="36"/>
      <c r="BM380" s="36"/>
      <c r="BN380" s="36"/>
      <c r="BO380" s="36"/>
      <c r="BP380" s="36"/>
      <c r="BQ380" s="36"/>
    </row>
    <row r="38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51"/>
      <c r="S381" s="51"/>
      <c r="T381" s="51"/>
      <c r="U381" s="51"/>
      <c r="V381" s="51"/>
      <c r="W381" s="51"/>
      <c r="X381" s="51"/>
      <c r="Y381" s="45"/>
      <c r="Z381" s="45"/>
      <c r="AA381" s="45"/>
      <c r="AB381" s="45"/>
      <c r="AC381" s="45"/>
      <c r="AD381" s="45"/>
      <c r="AE381" s="45"/>
      <c r="AF381" s="45"/>
      <c r="AG381" s="45"/>
      <c r="AH381" s="45"/>
      <c r="AI381" s="45"/>
      <c r="AJ381" s="45"/>
      <c r="AK381" s="45"/>
      <c r="AL381" s="45"/>
      <c r="AM381" s="45"/>
      <c r="AN381" s="45"/>
      <c r="AO381" s="45"/>
      <c r="AP381" s="45"/>
      <c r="AQ381" s="36"/>
      <c r="AR381" s="36"/>
      <c r="AS381" s="36"/>
      <c r="AT381" s="36"/>
      <c r="AU381" s="36"/>
      <c r="AV381" s="36"/>
      <c r="AW381" s="36"/>
      <c r="AX381" s="36"/>
      <c r="AY381" s="36"/>
      <c r="AZ381" s="36"/>
      <c r="BA381" s="36"/>
      <c r="BB381" s="36"/>
      <c r="BC381" s="36"/>
      <c r="BD381" s="36"/>
      <c r="BE381" s="36"/>
      <c r="BF381" s="36"/>
      <c r="BG381" s="36"/>
      <c r="BH381" s="36"/>
      <c r="BI381" s="36"/>
      <c r="BJ381" s="36"/>
      <c r="BK381" s="36"/>
      <c r="BL381" s="36"/>
      <c r="BM381" s="36"/>
      <c r="BN381" s="36"/>
      <c r="BO381" s="36"/>
      <c r="BP381" s="36"/>
      <c r="BQ381" s="36"/>
    </row>
    <row r="382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51"/>
      <c r="S382" s="51"/>
      <c r="T382" s="51"/>
      <c r="U382" s="51"/>
      <c r="V382" s="51"/>
      <c r="W382" s="51"/>
      <c r="X382" s="51"/>
      <c r="Y382" s="45"/>
      <c r="Z382" s="45"/>
      <c r="AA382" s="45"/>
      <c r="AB382" s="45"/>
      <c r="AC382" s="45"/>
      <c r="AD382" s="45"/>
      <c r="AE382" s="45"/>
      <c r="AF382" s="45"/>
      <c r="AG382" s="45"/>
      <c r="AH382" s="45"/>
      <c r="AI382" s="45"/>
      <c r="AJ382" s="45"/>
      <c r="AK382" s="45"/>
      <c r="AL382" s="45"/>
      <c r="AM382" s="45"/>
      <c r="AN382" s="45"/>
      <c r="AO382" s="45"/>
      <c r="AP382" s="45"/>
      <c r="AQ382" s="36"/>
      <c r="AR382" s="36"/>
      <c r="AS382" s="36"/>
      <c r="AT382" s="36"/>
      <c r="AU382" s="36"/>
      <c r="AV382" s="36"/>
      <c r="AW382" s="36"/>
      <c r="AX382" s="36"/>
      <c r="AY382" s="36"/>
      <c r="AZ382" s="36"/>
      <c r="BA382" s="36"/>
      <c r="BB382" s="36"/>
      <c r="BC382" s="36"/>
      <c r="BD382" s="36"/>
      <c r="BE382" s="36"/>
      <c r="BF382" s="36"/>
      <c r="BG382" s="36"/>
      <c r="BH382" s="36"/>
      <c r="BI382" s="36"/>
      <c r="BJ382" s="36"/>
      <c r="BK382" s="36"/>
      <c r="BL382" s="36"/>
      <c r="BM382" s="36"/>
      <c r="BN382" s="36"/>
      <c r="BO382" s="36"/>
      <c r="BP382" s="36"/>
      <c r="BQ382" s="36"/>
    </row>
    <row r="383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51"/>
      <c r="S383" s="51"/>
      <c r="T383" s="51"/>
      <c r="U383" s="51"/>
      <c r="V383" s="51"/>
      <c r="W383" s="51"/>
      <c r="X383" s="51"/>
      <c r="Y383" s="45"/>
      <c r="Z383" s="45"/>
      <c r="AA383" s="45"/>
      <c r="AB383" s="45"/>
      <c r="AC383" s="45"/>
      <c r="AD383" s="45"/>
      <c r="AE383" s="45"/>
      <c r="AF383" s="45"/>
      <c r="AG383" s="45"/>
      <c r="AH383" s="45"/>
      <c r="AI383" s="45"/>
      <c r="AJ383" s="45"/>
      <c r="AK383" s="45"/>
      <c r="AL383" s="45"/>
      <c r="AM383" s="45"/>
      <c r="AN383" s="45"/>
      <c r="AO383" s="45"/>
      <c r="AP383" s="45"/>
      <c r="AQ383" s="36"/>
      <c r="AR383" s="36"/>
      <c r="AS383" s="36"/>
      <c r="AT383" s="36"/>
      <c r="AU383" s="36"/>
      <c r="AV383" s="36"/>
      <c r="AW383" s="36"/>
      <c r="AX383" s="36"/>
      <c r="AY383" s="36"/>
      <c r="AZ383" s="36"/>
      <c r="BA383" s="36"/>
      <c r="BB383" s="36"/>
      <c r="BC383" s="36"/>
      <c r="BD383" s="36"/>
      <c r="BE383" s="36"/>
      <c r="BF383" s="36"/>
      <c r="BG383" s="36"/>
      <c r="BH383" s="36"/>
      <c r="BI383" s="36"/>
      <c r="BJ383" s="36"/>
      <c r="BK383" s="36"/>
      <c r="BL383" s="36"/>
      <c r="BM383" s="36"/>
      <c r="BN383" s="36"/>
      <c r="BO383" s="36"/>
      <c r="BP383" s="36"/>
      <c r="BQ383" s="36"/>
    </row>
    <row r="384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51"/>
      <c r="S384" s="51"/>
      <c r="T384" s="51"/>
      <c r="U384" s="51"/>
      <c r="V384" s="51"/>
      <c r="W384" s="51"/>
      <c r="X384" s="51"/>
      <c r="Y384" s="45"/>
      <c r="Z384" s="45"/>
      <c r="AA384" s="45"/>
      <c r="AB384" s="45"/>
      <c r="AC384" s="45"/>
      <c r="AD384" s="45"/>
      <c r="AE384" s="45"/>
      <c r="AF384" s="45"/>
      <c r="AG384" s="45"/>
      <c r="AH384" s="45"/>
      <c r="AI384" s="45"/>
      <c r="AJ384" s="45"/>
      <c r="AK384" s="45"/>
      <c r="AL384" s="45"/>
      <c r="AM384" s="45"/>
      <c r="AN384" s="45"/>
      <c r="AO384" s="45"/>
      <c r="AP384" s="45"/>
      <c r="AQ384" s="36"/>
      <c r="AR384" s="36"/>
      <c r="AS384" s="36"/>
      <c r="AT384" s="36"/>
      <c r="AU384" s="36"/>
      <c r="AV384" s="36"/>
      <c r="AW384" s="36"/>
      <c r="AX384" s="36"/>
      <c r="AY384" s="36"/>
      <c r="AZ384" s="36"/>
      <c r="BA384" s="36"/>
      <c r="BB384" s="36"/>
      <c r="BC384" s="36"/>
      <c r="BD384" s="36"/>
      <c r="BE384" s="36"/>
      <c r="BF384" s="36"/>
      <c r="BG384" s="36"/>
      <c r="BH384" s="36"/>
      <c r="BI384" s="36"/>
      <c r="BJ384" s="36"/>
      <c r="BK384" s="36"/>
      <c r="BL384" s="36"/>
      <c r="BM384" s="36"/>
      <c r="BN384" s="36"/>
      <c r="BO384" s="36"/>
      <c r="BP384" s="36"/>
      <c r="BQ384" s="36"/>
    </row>
    <row r="38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51"/>
      <c r="S385" s="51"/>
      <c r="T385" s="51"/>
      <c r="U385" s="51"/>
      <c r="V385" s="51"/>
      <c r="W385" s="51"/>
      <c r="X385" s="51"/>
      <c r="Y385" s="45"/>
      <c r="Z385" s="45"/>
      <c r="AA385" s="45"/>
      <c r="AB385" s="45"/>
      <c r="AC385" s="45"/>
      <c r="AD385" s="45"/>
      <c r="AE385" s="45"/>
      <c r="AF385" s="45"/>
      <c r="AG385" s="45"/>
      <c r="AH385" s="45"/>
      <c r="AI385" s="45"/>
      <c r="AJ385" s="45"/>
      <c r="AK385" s="45"/>
      <c r="AL385" s="45"/>
      <c r="AM385" s="45"/>
      <c r="AN385" s="45"/>
      <c r="AO385" s="45"/>
      <c r="AP385" s="45"/>
      <c r="AQ385" s="36"/>
      <c r="AR385" s="36"/>
      <c r="AS385" s="36"/>
      <c r="AT385" s="36"/>
      <c r="AU385" s="36"/>
      <c r="AV385" s="36"/>
      <c r="AW385" s="36"/>
      <c r="AX385" s="36"/>
      <c r="AY385" s="36"/>
      <c r="AZ385" s="36"/>
      <c r="BA385" s="36"/>
      <c r="BB385" s="36"/>
      <c r="BC385" s="36"/>
      <c r="BD385" s="36"/>
      <c r="BE385" s="36"/>
      <c r="BF385" s="36"/>
      <c r="BG385" s="36"/>
      <c r="BH385" s="36"/>
      <c r="BI385" s="36"/>
      <c r="BJ385" s="36"/>
      <c r="BK385" s="36"/>
      <c r="BL385" s="36"/>
      <c r="BM385" s="36"/>
      <c r="BN385" s="36"/>
      <c r="BO385" s="36"/>
      <c r="BP385" s="36"/>
      <c r="BQ385" s="36"/>
    </row>
    <row r="386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51"/>
      <c r="S386" s="51"/>
      <c r="T386" s="51"/>
      <c r="U386" s="51"/>
      <c r="V386" s="51"/>
      <c r="W386" s="51"/>
      <c r="X386" s="51"/>
      <c r="Y386" s="45"/>
      <c r="Z386" s="45"/>
      <c r="AA386" s="45"/>
      <c r="AB386" s="45"/>
      <c r="AC386" s="45"/>
      <c r="AD386" s="45"/>
      <c r="AE386" s="45"/>
      <c r="AF386" s="45"/>
      <c r="AG386" s="45"/>
      <c r="AH386" s="45"/>
      <c r="AI386" s="45"/>
      <c r="AJ386" s="45"/>
      <c r="AK386" s="45"/>
      <c r="AL386" s="45"/>
      <c r="AM386" s="45"/>
      <c r="AN386" s="45"/>
      <c r="AO386" s="45"/>
      <c r="AP386" s="45"/>
      <c r="AQ386" s="36"/>
      <c r="AR386" s="36"/>
      <c r="AS386" s="36"/>
      <c r="AT386" s="36"/>
      <c r="AU386" s="36"/>
      <c r="AV386" s="36"/>
      <c r="AW386" s="36"/>
      <c r="AX386" s="36"/>
      <c r="AY386" s="36"/>
      <c r="AZ386" s="36"/>
      <c r="BA386" s="36"/>
      <c r="BB386" s="36"/>
      <c r="BC386" s="36"/>
      <c r="BD386" s="36"/>
      <c r="BE386" s="36"/>
      <c r="BF386" s="36"/>
      <c r="BG386" s="36"/>
      <c r="BH386" s="36"/>
      <c r="BI386" s="36"/>
      <c r="BJ386" s="36"/>
      <c r="BK386" s="36"/>
      <c r="BL386" s="36"/>
      <c r="BM386" s="36"/>
      <c r="BN386" s="36"/>
      <c r="BO386" s="36"/>
      <c r="BP386" s="36"/>
      <c r="BQ386" s="36"/>
    </row>
    <row r="387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51"/>
      <c r="S387" s="51"/>
      <c r="T387" s="51"/>
      <c r="U387" s="51"/>
      <c r="V387" s="51"/>
      <c r="W387" s="51"/>
      <c r="X387" s="51"/>
      <c r="Y387" s="45"/>
      <c r="Z387" s="45"/>
      <c r="AA387" s="45"/>
      <c r="AB387" s="45"/>
      <c r="AC387" s="45"/>
      <c r="AD387" s="45"/>
      <c r="AE387" s="45"/>
      <c r="AF387" s="45"/>
      <c r="AG387" s="45"/>
      <c r="AH387" s="45"/>
      <c r="AI387" s="45"/>
      <c r="AJ387" s="45"/>
      <c r="AK387" s="45"/>
      <c r="AL387" s="45"/>
      <c r="AM387" s="45"/>
      <c r="AN387" s="45"/>
      <c r="AO387" s="45"/>
      <c r="AP387" s="45"/>
      <c r="AQ387" s="36"/>
      <c r="AR387" s="36"/>
      <c r="AS387" s="36"/>
      <c r="AT387" s="36"/>
      <c r="AU387" s="36"/>
      <c r="AV387" s="36"/>
      <c r="AW387" s="36"/>
      <c r="AX387" s="36"/>
      <c r="AY387" s="36"/>
      <c r="AZ387" s="36"/>
      <c r="BA387" s="36"/>
      <c r="BB387" s="36"/>
      <c r="BC387" s="36"/>
      <c r="BD387" s="36"/>
      <c r="BE387" s="36"/>
      <c r="BF387" s="36"/>
      <c r="BG387" s="36"/>
      <c r="BH387" s="36"/>
      <c r="BI387" s="36"/>
      <c r="BJ387" s="36"/>
      <c r="BK387" s="36"/>
      <c r="BL387" s="36"/>
      <c r="BM387" s="36"/>
      <c r="BN387" s="36"/>
      <c r="BO387" s="36"/>
      <c r="BP387" s="36"/>
      <c r="BQ387" s="36"/>
    </row>
    <row r="388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51"/>
      <c r="S388" s="51"/>
      <c r="T388" s="51"/>
      <c r="U388" s="51"/>
      <c r="V388" s="51"/>
      <c r="W388" s="51"/>
      <c r="X388" s="51"/>
      <c r="Y388" s="45"/>
      <c r="Z388" s="45"/>
      <c r="AA388" s="45"/>
      <c r="AB388" s="45"/>
      <c r="AC388" s="45"/>
      <c r="AD388" s="45"/>
      <c r="AE388" s="45"/>
      <c r="AF388" s="45"/>
      <c r="AG388" s="45"/>
      <c r="AH388" s="45"/>
      <c r="AI388" s="45"/>
      <c r="AJ388" s="45"/>
      <c r="AK388" s="45"/>
      <c r="AL388" s="45"/>
      <c r="AM388" s="45"/>
      <c r="AN388" s="45"/>
      <c r="AO388" s="45"/>
      <c r="AP388" s="45"/>
      <c r="AQ388" s="36"/>
      <c r="AR388" s="36"/>
      <c r="AS388" s="36"/>
      <c r="AT388" s="36"/>
      <c r="AU388" s="36"/>
      <c r="AV388" s="36"/>
      <c r="AW388" s="36"/>
      <c r="AX388" s="36"/>
      <c r="AY388" s="36"/>
      <c r="AZ388" s="36"/>
      <c r="BA388" s="36"/>
      <c r="BB388" s="36"/>
      <c r="BC388" s="36"/>
      <c r="BD388" s="36"/>
      <c r="BE388" s="36"/>
      <c r="BF388" s="36"/>
      <c r="BG388" s="36"/>
      <c r="BH388" s="36"/>
      <c r="BI388" s="36"/>
      <c r="BJ388" s="36"/>
      <c r="BK388" s="36"/>
      <c r="BL388" s="36"/>
      <c r="BM388" s="36"/>
      <c r="BN388" s="36"/>
      <c r="BO388" s="36"/>
      <c r="BP388" s="36"/>
      <c r="BQ388" s="36"/>
    </row>
    <row r="389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51"/>
      <c r="S389" s="51"/>
      <c r="T389" s="51"/>
      <c r="U389" s="51"/>
      <c r="V389" s="51"/>
      <c r="W389" s="51"/>
      <c r="X389" s="51"/>
      <c r="Y389" s="45"/>
      <c r="Z389" s="45"/>
      <c r="AA389" s="45"/>
      <c r="AB389" s="45"/>
      <c r="AC389" s="45"/>
      <c r="AD389" s="45"/>
      <c r="AE389" s="45"/>
      <c r="AF389" s="45"/>
      <c r="AG389" s="45"/>
      <c r="AH389" s="45"/>
      <c r="AI389" s="45"/>
      <c r="AJ389" s="45"/>
      <c r="AK389" s="45"/>
      <c r="AL389" s="45"/>
      <c r="AM389" s="45"/>
      <c r="AN389" s="45"/>
      <c r="AO389" s="45"/>
      <c r="AP389" s="45"/>
      <c r="AQ389" s="36"/>
      <c r="AR389" s="36"/>
      <c r="AS389" s="36"/>
      <c r="AT389" s="36"/>
      <c r="AU389" s="36"/>
      <c r="AV389" s="36"/>
      <c r="AW389" s="36"/>
      <c r="AX389" s="36"/>
      <c r="AY389" s="36"/>
      <c r="AZ389" s="36"/>
      <c r="BA389" s="36"/>
      <c r="BB389" s="36"/>
      <c r="BC389" s="36"/>
      <c r="BD389" s="36"/>
      <c r="BE389" s="36"/>
      <c r="BF389" s="36"/>
      <c r="BG389" s="36"/>
      <c r="BH389" s="36"/>
      <c r="BI389" s="36"/>
      <c r="BJ389" s="36"/>
      <c r="BK389" s="36"/>
      <c r="BL389" s="36"/>
      <c r="BM389" s="36"/>
      <c r="BN389" s="36"/>
      <c r="BO389" s="36"/>
      <c r="BP389" s="36"/>
      <c r="BQ389" s="36"/>
    </row>
    <row r="390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51"/>
      <c r="S390" s="51"/>
      <c r="T390" s="51"/>
      <c r="U390" s="51"/>
      <c r="V390" s="51"/>
      <c r="W390" s="51"/>
      <c r="X390" s="51"/>
      <c r="Y390" s="45"/>
      <c r="Z390" s="45"/>
      <c r="AA390" s="45"/>
      <c r="AB390" s="45"/>
      <c r="AC390" s="45"/>
      <c r="AD390" s="45"/>
      <c r="AE390" s="45"/>
      <c r="AF390" s="45"/>
      <c r="AG390" s="45"/>
      <c r="AH390" s="45"/>
      <c r="AI390" s="45"/>
      <c r="AJ390" s="45"/>
      <c r="AK390" s="45"/>
      <c r="AL390" s="45"/>
      <c r="AM390" s="45"/>
      <c r="AN390" s="45"/>
      <c r="AO390" s="45"/>
      <c r="AP390" s="45"/>
      <c r="AQ390" s="36"/>
      <c r="AR390" s="36"/>
      <c r="AS390" s="36"/>
      <c r="AT390" s="36"/>
      <c r="AU390" s="36"/>
      <c r="AV390" s="36"/>
      <c r="AW390" s="36"/>
      <c r="AX390" s="36"/>
      <c r="AY390" s="36"/>
      <c r="AZ390" s="36"/>
      <c r="BA390" s="36"/>
      <c r="BB390" s="36"/>
      <c r="BC390" s="36"/>
      <c r="BD390" s="36"/>
      <c r="BE390" s="36"/>
      <c r="BF390" s="36"/>
      <c r="BG390" s="36"/>
      <c r="BH390" s="36"/>
      <c r="BI390" s="36"/>
      <c r="BJ390" s="36"/>
      <c r="BK390" s="36"/>
      <c r="BL390" s="36"/>
      <c r="BM390" s="36"/>
      <c r="BN390" s="36"/>
      <c r="BO390" s="36"/>
      <c r="BP390" s="36"/>
      <c r="BQ390" s="36"/>
    </row>
    <row r="39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51"/>
      <c r="S391" s="51"/>
      <c r="T391" s="51"/>
      <c r="U391" s="51"/>
      <c r="V391" s="51"/>
      <c r="W391" s="51"/>
      <c r="X391" s="51"/>
      <c r="Y391" s="45"/>
      <c r="Z391" s="45"/>
      <c r="AA391" s="45"/>
      <c r="AB391" s="45"/>
      <c r="AC391" s="45"/>
      <c r="AD391" s="45"/>
      <c r="AE391" s="45"/>
      <c r="AF391" s="45"/>
      <c r="AG391" s="45"/>
      <c r="AH391" s="45"/>
      <c r="AI391" s="45"/>
      <c r="AJ391" s="45"/>
      <c r="AK391" s="45"/>
      <c r="AL391" s="45"/>
      <c r="AM391" s="45"/>
      <c r="AN391" s="45"/>
      <c r="AO391" s="45"/>
      <c r="AP391" s="45"/>
      <c r="AQ391" s="36"/>
      <c r="AR391" s="36"/>
      <c r="AS391" s="36"/>
      <c r="AT391" s="36"/>
      <c r="AU391" s="36"/>
      <c r="AV391" s="36"/>
      <c r="AW391" s="36"/>
      <c r="AX391" s="36"/>
      <c r="AY391" s="36"/>
      <c r="AZ391" s="36"/>
      <c r="BA391" s="36"/>
      <c r="BB391" s="36"/>
      <c r="BC391" s="36"/>
      <c r="BD391" s="36"/>
      <c r="BE391" s="36"/>
      <c r="BF391" s="36"/>
      <c r="BG391" s="36"/>
      <c r="BH391" s="36"/>
      <c r="BI391" s="36"/>
      <c r="BJ391" s="36"/>
      <c r="BK391" s="36"/>
      <c r="BL391" s="36"/>
      <c r="BM391" s="36"/>
      <c r="BN391" s="36"/>
      <c r="BO391" s="36"/>
      <c r="BP391" s="36"/>
      <c r="BQ391" s="36"/>
    </row>
    <row r="392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51"/>
      <c r="S392" s="51"/>
      <c r="T392" s="51"/>
      <c r="U392" s="51"/>
      <c r="V392" s="51"/>
      <c r="W392" s="51"/>
      <c r="X392" s="51"/>
      <c r="Y392" s="45"/>
      <c r="Z392" s="45"/>
      <c r="AA392" s="45"/>
      <c r="AB392" s="45"/>
      <c r="AC392" s="45"/>
      <c r="AD392" s="45"/>
      <c r="AE392" s="45"/>
      <c r="AF392" s="45"/>
      <c r="AG392" s="45"/>
      <c r="AH392" s="45"/>
      <c r="AI392" s="45"/>
      <c r="AJ392" s="45"/>
      <c r="AK392" s="45"/>
      <c r="AL392" s="45"/>
      <c r="AM392" s="45"/>
      <c r="AN392" s="45"/>
      <c r="AO392" s="45"/>
      <c r="AP392" s="45"/>
      <c r="AQ392" s="36"/>
      <c r="AR392" s="36"/>
      <c r="AS392" s="36"/>
      <c r="AT392" s="36"/>
      <c r="AU392" s="36"/>
      <c r="AV392" s="36"/>
      <c r="AW392" s="36"/>
      <c r="AX392" s="36"/>
      <c r="AY392" s="36"/>
      <c r="AZ392" s="36"/>
      <c r="BA392" s="36"/>
      <c r="BB392" s="36"/>
      <c r="BC392" s="36"/>
      <c r="BD392" s="36"/>
      <c r="BE392" s="36"/>
      <c r="BF392" s="36"/>
      <c r="BG392" s="36"/>
      <c r="BH392" s="36"/>
      <c r="BI392" s="36"/>
      <c r="BJ392" s="36"/>
      <c r="BK392" s="36"/>
      <c r="BL392" s="36"/>
      <c r="BM392" s="36"/>
      <c r="BN392" s="36"/>
      <c r="BO392" s="36"/>
      <c r="BP392" s="36"/>
      <c r="BQ392" s="36"/>
    </row>
    <row r="393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51"/>
      <c r="S393" s="51"/>
      <c r="T393" s="51"/>
      <c r="U393" s="51"/>
      <c r="V393" s="51"/>
      <c r="W393" s="51"/>
      <c r="X393" s="51"/>
      <c r="Y393" s="45"/>
      <c r="Z393" s="45"/>
      <c r="AA393" s="45"/>
      <c r="AB393" s="45"/>
      <c r="AC393" s="45"/>
      <c r="AD393" s="45"/>
      <c r="AE393" s="45"/>
      <c r="AF393" s="45"/>
      <c r="AG393" s="45"/>
      <c r="AH393" s="45"/>
      <c r="AI393" s="45"/>
      <c r="AJ393" s="45"/>
      <c r="AK393" s="45"/>
      <c r="AL393" s="45"/>
      <c r="AM393" s="45"/>
      <c r="AN393" s="45"/>
      <c r="AO393" s="45"/>
      <c r="AP393" s="45"/>
      <c r="AQ393" s="36"/>
      <c r="AR393" s="36"/>
      <c r="AS393" s="36"/>
      <c r="AT393" s="36"/>
      <c r="AU393" s="36"/>
      <c r="AV393" s="36"/>
      <c r="AW393" s="36"/>
      <c r="AX393" s="36"/>
      <c r="AY393" s="36"/>
      <c r="AZ393" s="36"/>
      <c r="BA393" s="36"/>
      <c r="BB393" s="36"/>
      <c r="BC393" s="36"/>
      <c r="BD393" s="36"/>
      <c r="BE393" s="36"/>
      <c r="BF393" s="36"/>
      <c r="BG393" s="36"/>
      <c r="BH393" s="36"/>
      <c r="BI393" s="36"/>
      <c r="BJ393" s="36"/>
      <c r="BK393" s="36"/>
      <c r="BL393" s="36"/>
      <c r="BM393" s="36"/>
      <c r="BN393" s="36"/>
      <c r="BO393" s="36"/>
      <c r="BP393" s="36"/>
      <c r="BQ393" s="36"/>
    </row>
    <row r="394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51"/>
      <c r="S394" s="51"/>
      <c r="T394" s="51"/>
      <c r="U394" s="51"/>
      <c r="V394" s="51"/>
      <c r="W394" s="51"/>
      <c r="X394" s="51"/>
      <c r="Y394" s="45"/>
      <c r="Z394" s="45"/>
      <c r="AA394" s="45"/>
      <c r="AB394" s="45"/>
      <c r="AC394" s="45"/>
      <c r="AD394" s="45"/>
      <c r="AE394" s="45"/>
      <c r="AF394" s="45"/>
      <c r="AG394" s="45"/>
      <c r="AH394" s="45"/>
      <c r="AI394" s="45"/>
      <c r="AJ394" s="45"/>
      <c r="AK394" s="45"/>
      <c r="AL394" s="45"/>
      <c r="AM394" s="45"/>
      <c r="AN394" s="45"/>
      <c r="AO394" s="45"/>
      <c r="AP394" s="45"/>
      <c r="AQ394" s="36"/>
      <c r="AR394" s="36"/>
      <c r="AS394" s="36"/>
      <c r="AT394" s="36"/>
      <c r="AU394" s="36"/>
      <c r="AV394" s="36"/>
      <c r="AW394" s="36"/>
      <c r="AX394" s="36"/>
      <c r="AY394" s="36"/>
      <c r="AZ394" s="36"/>
      <c r="BA394" s="36"/>
      <c r="BB394" s="36"/>
      <c r="BC394" s="36"/>
      <c r="BD394" s="36"/>
      <c r="BE394" s="36"/>
      <c r="BF394" s="36"/>
      <c r="BG394" s="36"/>
      <c r="BH394" s="36"/>
      <c r="BI394" s="36"/>
      <c r="BJ394" s="36"/>
      <c r="BK394" s="36"/>
      <c r="BL394" s="36"/>
      <c r="BM394" s="36"/>
      <c r="BN394" s="36"/>
      <c r="BO394" s="36"/>
      <c r="BP394" s="36"/>
      <c r="BQ394" s="36"/>
    </row>
    <row r="39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51"/>
      <c r="S395" s="51"/>
      <c r="T395" s="51"/>
      <c r="U395" s="51"/>
      <c r="V395" s="51"/>
      <c r="W395" s="51"/>
      <c r="X395" s="51"/>
      <c r="Y395" s="45"/>
      <c r="Z395" s="45"/>
      <c r="AA395" s="45"/>
      <c r="AB395" s="45"/>
      <c r="AC395" s="45"/>
      <c r="AD395" s="45"/>
      <c r="AE395" s="45"/>
      <c r="AF395" s="45"/>
      <c r="AG395" s="45"/>
      <c r="AH395" s="45"/>
      <c r="AI395" s="45"/>
      <c r="AJ395" s="45"/>
      <c r="AK395" s="45"/>
      <c r="AL395" s="45"/>
      <c r="AM395" s="45"/>
      <c r="AN395" s="45"/>
      <c r="AO395" s="45"/>
      <c r="AP395" s="45"/>
      <c r="AQ395" s="36"/>
      <c r="AR395" s="36"/>
      <c r="AS395" s="36"/>
      <c r="AT395" s="36"/>
      <c r="AU395" s="36"/>
      <c r="AV395" s="36"/>
      <c r="AW395" s="36"/>
      <c r="AX395" s="36"/>
      <c r="AY395" s="36"/>
      <c r="AZ395" s="36"/>
      <c r="BA395" s="36"/>
      <c r="BB395" s="36"/>
      <c r="BC395" s="36"/>
      <c r="BD395" s="36"/>
      <c r="BE395" s="36"/>
      <c r="BF395" s="36"/>
      <c r="BG395" s="36"/>
      <c r="BH395" s="36"/>
      <c r="BI395" s="36"/>
      <c r="BJ395" s="36"/>
      <c r="BK395" s="36"/>
      <c r="BL395" s="36"/>
      <c r="BM395" s="36"/>
      <c r="BN395" s="36"/>
      <c r="BO395" s="36"/>
      <c r="BP395" s="36"/>
      <c r="BQ395" s="36"/>
    </row>
    <row r="396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51"/>
      <c r="S396" s="51"/>
      <c r="T396" s="51"/>
      <c r="U396" s="51"/>
      <c r="V396" s="51"/>
      <c r="W396" s="51"/>
      <c r="X396" s="51"/>
      <c r="Y396" s="45"/>
      <c r="Z396" s="45"/>
      <c r="AA396" s="45"/>
      <c r="AB396" s="45"/>
      <c r="AC396" s="45"/>
      <c r="AD396" s="45"/>
      <c r="AE396" s="45"/>
      <c r="AF396" s="45"/>
      <c r="AG396" s="45"/>
      <c r="AH396" s="45"/>
      <c r="AI396" s="45"/>
      <c r="AJ396" s="45"/>
      <c r="AK396" s="45"/>
      <c r="AL396" s="45"/>
      <c r="AM396" s="45"/>
      <c r="AN396" s="45"/>
      <c r="AO396" s="45"/>
      <c r="AP396" s="45"/>
      <c r="AQ396" s="36"/>
      <c r="AR396" s="36"/>
      <c r="AS396" s="36"/>
      <c r="AT396" s="36"/>
      <c r="AU396" s="36"/>
      <c r="AV396" s="36"/>
      <c r="AW396" s="36"/>
      <c r="AX396" s="36"/>
      <c r="AY396" s="36"/>
      <c r="AZ396" s="36"/>
      <c r="BA396" s="36"/>
      <c r="BB396" s="36"/>
      <c r="BC396" s="36"/>
      <c r="BD396" s="36"/>
      <c r="BE396" s="36"/>
      <c r="BF396" s="36"/>
      <c r="BG396" s="36"/>
      <c r="BH396" s="36"/>
      <c r="BI396" s="36"/>
      <c r="BJ396" s="36"/>
      <c r="BK396" s="36"/>
      <c r="BL396" s="36"/>
      <c r="BM396" s="36"/>
      <c r="BN396" s="36"/>
      <c r="BO396" s="36"/>
      <c r="BP396" s="36"/>
      <c r="BQ396" s="36"/>
    </row>
    <row r="397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51"/>
      <c r="S397" s="51"/>
      <c r="T397" s="51"/>
      <c r="U397" s="51"/>
      <c r="V397" s="51"/>
      <c r="W397" s="51"/>
      <c r="X397" s="51"/>
      <c r="Y397" s="45"/>
      <c r="Z397" s="45"/>
      <c r="AA397" s="45"/>
      <c r="AB397" s="45"/>
      <c r="AC397" s="45"/>
      <c r="AD397" s="45"/>
      <c r="AE397" s="45"/>
      <c r="AF397" s="45"/>
      <c r="AG397" s="45"/>
      <c r="AH397" s="45"/>
      <c r="AI397" s="45"/>
      <c r="AJ397" s="45"/>
      <c r="AK397" s="45"/>
      <c r="AL397" s="45"/>
      <c r="AM397" s="45"/>
      <c r="AN397" s="45"/>
      <c r="AO397" s="45"/>
      <c r="AP397" s="45"/>
      <c r="AQ397" s="36"/>
      <c r="AR397" s="36"/>
      <c r="AS397" s="36"/>
      <c r="AT397" s="36"/>
      <c r="AU397" s="36"/>
      <c r="AV397" s="36"/>
      <c r="AW397" s="36"/>
      <c r="AX397" s="36"/>
      <c r="AY397" s="36"/>
      <c r="AZ397" s="36"/>
      <c r="BA397" s="36"/>
      <c r="BB397" s="36"/>
      <c r="BC397" s="36"/>
      <c r="BD397" s="36"/>
      <c r="BE397" s="36"/>
      <c r="BF397" s="36"/>
      <c r="BG397" s="36"/>
      <c r="BH397" s="36"/>
      <c r="BI397" s="36"/>
      <c r="BJ397" s="36"/>
      <c r="BK397" s="36"/>
      <c r="BL397" s="36"/>
      <c r="BM397" s="36"/>
      <c r="BN397" s="36"/>
      <c r="BO397" s="36"/>
      <c r="BP397" s="36"/>
      <c r="BQ397" s="36"/>
    </row>
    <row r="398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51"/>
      <c r="S398" s="51"/>
      <c r="T398" s="51"/>
      <c r="U398" s="51"/>
      <c r="V398" s="51"/>
      <c r="W398" s="51"/>
      <c r="X398" s="51"/>
      <c r="Y398" s="45"/>
      <c r="Z398" s="45"/>
      <c r="AA398" s="45"/>
      <c r="AB398" s="45"/>
      <c r="AC398" s="45"/>
      <c r="AD398" s="45"/>
      <c r="AE398" s="45"/>
      <c r="AF398" s="45"/>
      <c r="AG398" s="45"/>
      <c r="AH398" s="45"/>
      <c r="AI398" s="45"/>
      <c r="AJ398" s="45"/>
      <c r="AK398" s="45"/>
      <c r="AL398" s="45"/>
      <c r="AM398" s="45"/>
      <c r="AN398" s="45"/>
      <c r="AO398" s="45"/>
      <c r="AP398" s="45"/>
      <c r="AQ398" s="36"/>
      <c r="AR398" s="36"/>
      <c r="AS398" s="36"/>
      <c r="AT398" s="36"/>
      <c r="AU398" s="36"/>
      <c r="AV398" s="36"/>
      <c r="AW398" s="36"/>
      <c r="AX398" s="36"/>
      <c r="AY398" s="36"/>
      <c r="AZ398" s="36"/>
      <c r="BA398" s="36"/>
      <c r="BB398" s="36"/>
      <c r="BC398" s="36"/>
      <c r="BD398" s="36"/>
      <c r="BE398" s="36"/>
      <c r="BF398" s="36"/>
      <c r="BG398" s="36"/>
      <c r="BH398" s="36"/>
      <c r="BI398" s="36"/>
      <c r="BJ398" s="36"/>
      <c r="BK398" s="36"/>
      <c r="BL398" s="36"/>
      <c r="BM398" s="36"/>
      <c r="BN398" s="36"/>
      <c r="BO398" s="36"/>
      <c r="BP398" s="36"/>
      <c r="BQ398" s="36"/>
    </row>
    <row r="399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51"/>
      <c r="S399" s="51"/>
      <c r="T399" s="51"/>
      <c r="U399" s="51"/>
      <c r="V399" s="51"/>
      <c r="W399" s="51"/>
      <c r="X399" s="51"/>
      <c r="Y399" s="45"/>
      <c r="Z399" s="45"/>
      <c r="AA399" s="45"/>
      <c r="AB399" s="45"/>
      <c r="AC399" s="45"/>
      <c r="AD399" s="45"/>
      <c r="AE399" s="45"/>
      <c r="AF399" s="45"/>
      <c r="AG399" s="45"/>
      <c r="AH399" s="45"/>
      <c r="AI399" s="45"/>
      <c r="AJ399" s="45"/>
      <c r="AK399" s="45"/>
      <c r="AL399" s="45"/>
      <c r="AM399" s="45"/>
      <c r="AN399" s="45"/>
      <c r="AO399" s="45"/>
      <c r="AP399" s="45"/>
      <c r="AQ399" s="36"/>
      <c r="AR399" s="36"/>
      <c r="AS399" s="36"/>
      <c r="AT399" s="36"/>
      <c r="AU399" s="36"/>
      <c r="AV399" s="36"/>
      <c r="AW399" s="36"/>
      <c r="AX399" s="36"/>
      <c r="AY399" s="36"/>
      <c r="AZ399" s="36"/>
      <c r="BA399" s="36"/>
      <c r="BB399" s="36"/>
      <c r="BC399" s="36"/>
      <c r="BD399" s="36"/>
      <c r="BE399" s="36"/>
      <c r="BF399" s="36"/>
      <c r="BG399" s="36"/>
      <c r="BH399" s="36"/>
      <c r="BI399" s="36"/>
      <c r="BJ399" s="36"/>
      <c r="BK399" s="36"/>
      <c r="BL399" s="36"/>
      <c r="BM399" s="36"/>
      <c r="BN399" s="36"/>
      <c r="BO399" s="36"/>
      <c r="BP399" s="36"/>
      <c r="BQ399" s="36"/>
    </row>
    <row r="400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51"/>
      <c r="S400" s="51"/>
      <c r="T400" s="51"/>
      <c r="U400" s="51"/>
      <c r="V400" s="51"/>
      <c r="W400" s="51"/>
      <c r="X400" s="51"/>
      <c r="Y400" s="45"/>
      <c r="Z400" s="45"/>
      <c r="AA400" s="45"/>
      <c r="AB400" s="45"/>
      <c r="AC400" s="45"/>
      <c r="AD400" s="45"/>
      <c r="AE400" s="45"/>
      <c r="AF400" s="45"/>
      <c r="AG400" s="45"/>
      <c r="AH400" s="45"/>
      <c r="AI400" s="45"/>
      <c r="AJ400" s="45"/>
      <c r="AK400" s="45"/>
      <c r="AL400" s="45"/>
      <c r="AM400" s="45"/>
      <c r="AN400" s="45"/>
      <c r="AO400" s="45"/>
      <c r="AP400" s="45"/>
      <c r="AQ400" s="36"/>
      <c r="AR400" s="36"/>
      <c r="AS400" s="36"/>
      <c r="AT400" s="36"/>
      <c r="AU400" s="36"/>
      <c r="AV400" s="36"/>
      <c r="AW400" s="36"/>
      <c r="AX400" s="36"/>
      <c r="AY400" s="36"/>
      <c r="AZ400" s="36"/>
      <c r="BA400" s="36"/>
      <c r="BB400" s="36"/>
      <c r="BC400" s="36"/>
      <c r="BD400" s="36"/>
      <c r="BE400" s="36"/>
      <c r="BF400" s="36"/>
      <c r="BG400" s="36"/>
      <c r="BH400" s="36"/>
      <c r="BI400" s="36"/>
      <c r="BJ400" s="36"/>
      <c r="BK400" s="36"/>
      <c r="BL400" s="36"/>
      <c r="BM400" s="36"/>
      <c r="BN400" s="36"/>
      <c r="BO400" s="36"/>
      <c r="BP400" s="36"/>
      <c r="BQ400" s="36"/>
    </row>
    <row r="40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51"/>
      <c r="S401" s="51"/>
      <c r="T401" s="51"/>
      <c r="U401" s="51"/>
      <c r="V401" s="51"/>
      <c r="W401" s="51"/>
      <c r="X401" s="51"/>
      <c r="Y401" s="45"/>
      <c r="Z401" s="45"/>
      <c r="AA401" s="45"/>
      <c r="AB401" s="45"/>
      <c r="AC401" s="45"/>
      <c r="AD401" s="45"/>
      <c r="AE401" s="45"/>
      <c r="AF401" s="45"/>
      <c r="AG401" s="45"/>
      <c r="AH401" s="45"/>
      <c r="AI401" s="45"/>
      <c r="AJ401" s="45"/>
      <c r="AK401" s="45"/>
      <c r="AL401" s="45"/>
      <c r="AM401" s="45"/>
      <c r="AN401" s="45"/>
      <c r="AO401" s="45"/>
      <c r="AP401" s="45"/>
      <c r="AQ401" s="36"/>
      <c r="AR401" s="36"/>
      <c r="AS401" s="36"/>
      <c r="AT401" s="36"/>
      <c r="AU401" s="36"/>
      <c r="AV401" s="36"/>
      <c r="AW401" s="36"/>
      <c r="AX401" s="36"/>
      <c r="AY401" s="36"/>
      <c r="AZ401" s="36"/>
      <c r="BA401" s="36"/>
      <c r="BB401" s="36"/>
      <c r="BC401" s="36"/>
      <c r="BD401" s="36"/>
      <c r="BE401" s="36"/>
      <c r="BF401" s="36"/>
      <c r="BG401" s="36"/>
      <c r="BH401" s="36"/>
      <c r="BI401" s="36"/>
      <c r="BJ401" s="36"/>
      <c r="BK401" s="36"/>
      <c r="BL401" s="36"/>
      <c r="BM401" s="36"/>
      <c r="BN401" s="36"/>
      <c r="BO401" s="36"/>
      <c r="BP401" s="36"/>
      <c r="BQ401" s="36"/>
    </row>
    <row r="402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51"/>
      <c r="S402" s="51"/>
      <c r="T402" s="51"/>
      <c r="U402" s="51"/>
      <c r="V402" s="51"/>
      <c r="W402" s="51"/>
      <c r="X402" s="51"/>
      <c r="Y402" s="45"/>
      <c r="Z402" s="45"/>
      <c r="AA402" s="45"/>
      <c r="AB402" s="45"/>
      <c r="AC402" s="45"/>
      <c r="AD402" s="45"/>
      <c r="AE402" s="45"/>
      <c r="AF402" s="45"/>
      <c r="AG402" s="45"/>
      <c r="AH402" s="45"/>
      <c r="AI402" s="45"/>
      <c r="AJ402" s="45"/>
      <c r="AK402" s="45"/>
      <c r="AL402" s="45"/>
      <c r="AM402" s="45"/>
      <c r="AN402" s="45"/>
      <c r="AO402" s="45"/>
      <c r="AP402" s="45"/>
      <c r="AQ402" s="36"/>
      <c r="AR402" s="36"/>
      <c r="AS402" s="36"/>
      <c r="AT402" s="36"/>
      <c r="AU402" s="36"/>
      <c r="AV402" s="36"/>
      <c r="AW402" s="36"/>
      <c r="AX402" s="36"/>
      <c r="AY402" s="36"/>
      <c r="AZ402" s="36"/>
      <c r="BA402" s="36"/>
      <c r="BB402" s="36"/>
      <c r="BC402" s="36"/>
      <c r="BD402" s="36"/>
      <c r="BE402" s="36"/>
      <c r="BF402" s="36"/>
      <c r="BG402" s="36"/>
      <c r="BH402" s="36"/>
      <c r="BI402" s="36"/>
      <c r="BJ402" s="36"/>
      <c r="BK402" s="36"/>
      <c r="BL402" s="36"/>
      <c r="BM402" s="36"/>
      <c r="BN402" s="36"/>
      <c r="BO402" s="36"/>
      <c r="BP402" s="36"/>
      <c r="BQ402" s="36"/>
    </row>
    <row r="403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51"/>
      <c r="S403" s="51"/>
      <c r="T403" s="51"/>
      <c r="U403" s="51"/>
      <c r="V403" s="51"/>
      <c r="W403" s="51"/>
      <c r="X403" s="51"/>
      <c r="Y403" s="45"/>
      <c r="Z403" s="45"/>
      <c r="AA403" s="45"/>
      <c r="AB403" s="45"/>
      <c r="AC403" s="45"/>
      <c r="AD403" s="45"/>
      <c r="AE403" s="45"/>
      <c r="AF403" s="45"/>
      <c r="AG403" s="45"/>
      <c r="AH403" s="45"/>
      <c r="AI403" s="45"/>
      <c r="AJ403" s="45"/>
      <c r="AK403" s="45"/>
      <c r="AL403" s="45"/>
      <c r="AM403" s="45"/>
      <c r="AN403" s="45"/>
      <c r="AO403" s="45"/>
      <c r="AP403" s="45"/>
      <c r="AQ403" s="36"/>
      <c r="AR403" s="36"/>
      <c r="AS403" s="36"/>
      <c r="AT403" s="36"/>
      <c r="AU403" s="36"/>
      <c r="AV403" s="36"/>
      <c r="AW403" s="36"/>
      <c r="AX403" s="36"/>
      <c r="AY403" s="36"/>
      <c r="AZ403" s="36"/>
      <c r="BA403" s="36"/>
      <c r="BB403" s="36"/>
      <c r="BC403" s="36"/>
      <c r="BD403" s="36"/>
      <c r="BE403" s="36"/>
      <c r="BF403" s="36"/>
      <c r="BG403" s="36"/>
      <c r="BH403" s="36"/>
      <c r="BI403" s="36"/>
      <c r="BJ403" s="36"/>
      <c r="BK403" s="36"/>
      <c r="BL403" s="36"/>
      <c r="BM403" s="36"/>
      <c r="BN403" s="36"/>
      <c r="BO403" s="36"/>
      <c r="BP403" s="36"/>
      <c r="BQ403" s="36"/>
    </row>
    <row r="404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51"/>
      <c r="S404" s="51"/>
      <c r="T404" s="51"/>
      <c r="U404" s="51"/>
      <c r="V404" s="51"/>
      <c r="W404" s="51"/>
      <c r="X404" s="51"/>
      <c r="Y404" s="45"/>
      <c r="Z404" s="45"/>
      <c r="AA404" s="45"/>
      <c r="AB404" s="45"/>
      <c r="AC404" s="45"/>
      <c r="AD404" s="45"/>
      <c r="AE404" s="45"/>
      <c r="AF404" s="45"/>
      <c r="AG404" s="45"/>
      <c r="AH404" s="45"/>
      <c r="AI404" s="45"/>
      <c r="AJ404" s="45"/>
      <c r="AK404" s="45"/>
      <c r="AL404" s="45"/>
      <c r="AM404" s="45"/>
      <c r="AN404" s="45"/>
      <c r="AO404" s="45"/>
      <c r="AP404" s="45"/>
      <c r="AQ404" s="36"/>
      <c r="AR404" s="36"/>
      <c r="AS404" s="36"/>
      <c r="AT404" s="36"/>
      <c r="AU404" s="36"/>
      <c r="AV404" s="36"/>
      <c r="AW404" s="36"/>
      <c r="AX404" s="36"/>
      <c r="AY404" s="36"/>
      <c r="AZ404" s="36"/>
      <c r="BA404" s="36"/>
      <c r="BB404" s="36"/>
      <c r="BC404" s="36"/>
      <c r="BD404" s="36"/>
      <c r="BE404" s="36"/>
      <c r="BF404" s="36"/>
      <c r="BG404" s="36"/>
      <c r="BH404" s="36"/>
      <c r="BI404" s="36"/>
      <c r="BJ404" s="36"/>
      <c r="BK404" s="36"/>
      <c r="BL404" s="36"/>
      <c r="BM404" s="36"/>
      <c r="BN404" s="36"/>
      <c r="BO404" s="36"/>
      <c r="BP404" s="36"/>
      <c r="BQ404" s="36"/>
    </row>
    <row r="40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51"/>
      <c r="S405" s="51"/>
      <c r="T405" s="51"/>
      <c r="U405" s="51"/>
      <c r="V405" s="51"/>
      <c r="W405" s="51"/>
      <c r="X405" s="51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5"/>
      <c r="AM405" s="45"/>
      <c r="AN405" s="45"/>
      <c r="AO405" s="45"/>
      <c r="AP405" s="45"/>
      <c r="AQ405" s="36"/>
      <c r="AR405" s="36"/>
      <c r="AS405" s="36"/>
      <c r="AT405" s="36"/>
      <c r="AU405" s="36"/>
      <c r="AV405" s="36"/>
      <c r="AW405" s="36"/>
      <c r="AX405" s="36"/>
      <c r="AY405" s="36"/>
      <c r="AZ405" s="36"/>
      <c r="BA405" s="36"/>
      <c r="BB405" s="36"/>
      <c r="BC405" s="36"/>
      <c r="BD405" s="36"/>
      <c r="BE405" s="36"/>
      <c r="BF405" s="36"/>
      <c r="BG405" s="36"/>
      <c r="BH405" s="36"/>
      <c r="BI405" s="36"/>
      <c r="BJ405" s="36"/>
      <c r="BK405" s="36"/>
      <c r="BL405" s="36"/>
      <c r="BM405" s="36"/>
      <c r="BN405" s="36"/>
      <c r="BO405" s="36"/>
      <c r="BP405" s="36"/>
      <c r="BQ405" s="36"/>
    </row>
    <row r="406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51"/>
      <c r="S406" s="51"/>
      <c r="T406" s="51"/>
      <c r="U406" s="51"/>
      <c r="V406" s="51"/>
      <c r="W406" s="51"/>
      <c r="X406" s="51"/>
      <c r="Y406" s="45"/>
      <c r="Z406" s="45"/>
      <c r="AA406" s="45"/>
      <c r="AB406" s="45"/>
      <c r="AC406" s="45"/>
      <c r="AD406" s="45"/>
      <c r="AE406" s="45"/>
      <c r="AF406" s="45"/>
      <c r="AG406" s="45"/>
      <c r="AH406" s="45"/>
      <c r="AI406" s="45"/>
      <c r="AJ406" s="45"/>
      <c r="AK406" s="45"/>
      <c r="AL406" s="45"/>
      <c r="AM406" s="45"/>
      <c r="AN406" s="45"/>
      <c r="AO406" s="45"/>
      <c r="AP406" s="45"/>
      <c r="AQ406" s="36"/>
      <c r="AR406" s="36"/>
      <c r="AS406" s="36"/>
      <c r="AT406" s="36"/>
      <c r="AU406" s="36"/>
      <c r="AV406" s="36"/>
      <c r="AW406" s="36"/>
      <c r="AX406" s="36"/>
      <c r="AY406" s="36"/>
      <c r="AZ406" s="36"/>
      <c r="BA406" s="36"/>
      <c r="BB406" s="36"/>
      <c r="BC406" s="36"/>
      <c r="BD406" s="36"/>
      <c r="BE406" s="36"/>
      <c r="BF406" s="36"/>
      <c r="BG406" s="36"/>
      <c r="BH406" s="36"/>
      <c r="BI406" s="36"/>
      <c r="BJ406" s="36"/>
      <c r="BK406" s="36"/>
      <c r="BL406" s="36"/>
      <c r="BM406" s="36"/>
      <c r="BN406" s="36"/>
      <c r="BO406" s="36"/>
      <c r="BP406" s="36"/>
      <c r="BQ406" s="36"/>
    </row>
    <row r="407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51"/>
      <c r="S407" s="51"/>
      <c r="T407" s="51"/>
      <c r="U407" s="51"/>
      <c r="V407" s="51"/>
      <c r="W407" s="51"/>
      <c r="X407" s="51"/>
      <c r="Y407" s="45"/>
      <c r="Z407" s="45"/>
      <c r="AA407" s="45"/>
      <c r="AB407" s="45"/>
      <c r="AC407" s="45"/>
      <c r="AD407" s="45"/>
      <c r="AE407" s="45"/>
      <c r="AF407" s="45"/>
      <c r="AG407" s="45"/>
      <c r="AH407" s="45"/>
      <c r="AI407" s="45"/>
      <c r="AJ407" s="45"/>
      <c r="AK407" s="45"/>
      <c r="AL407" s="45"/>
      <c r="AM407" s="45"/>
      <c r="AN407" s="45"/>
      <c r="AO407" s="45"/>
      <c r="AP407" s="45"/>
      <c r="AQ407" s="36"/>
      <c r="AR407" s="36"/>
      <c r="AS407" s="36"/>
      <c r="AT407" s="36"/>
      <c r="AU407" s="36"/>
      <c r="AV407" s="36"/>
      <c r="AW407" s="36"/>
      <c r="AX407" s="36"/>
      <c r="AY407" s="36"/>
      <c r="AZ407" s="36"/>
      <c r="BA407" s="36"/>
      <c r="BB407" s="36"/>
      <c r="BC407" s="36"/>
      <c r="BD407" s="36"/>
      <c r="BE407" s="36"/>
      <c r="BF407" s="36"/>
      <c r="BG407" s="36"/>
      <c r="BH407" s="36"/>
      <c r="BI407" s="36"/>
      <c r="BJ407" s="36"/>
      <c r="BK407" s="36"/>
      <c r="BL407" s="36"/>
      <c r="BM407" s="36"/>
      <c r="BN407" s="36"/>
      <c r="BO407" s="36"/>
      <c r="BP407" s="36"/>
      <c r="BQ407" s="36"/>
    </row>
    <row r="408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51"/>
      <c r="S408" s="51"/>
      <c r="T408" s="51"/>
      <c r="U408" s="51"/>
      <c r="V408" s="51"/>
      <c r="W408" s="51"/>
      <c r="X408" s="51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5"/>
      <c r="AM408" s="45"/>
      <c r="AN408" s="45"/>
      <c r="AO408" s="45"/>
      <c r="AP408" s="45"/>
      <c r="AQ408" s="36"/>
      <c r="AR408" s="36"/>
      <c r="AS408" s="36"/>
      <c r="AT408" s="36"/>
      <c r="AU408" s="36"/>
      <c r="AV408" s="36"/>
      <c r="AW408" s="36"/>
      <c r="AX408" s="36"/>
      <c r="AY408" s="36"/>
      <c r="AZ408" s="36"/>
      <c r="BA408" s="36"/>
      <c r="BB408" s="36"/>
      <c r="BC408" s="36"/>
      <c r="BD408" s="36"/>
      <c r="BE408" s="36"/>
      <c r="BF408" s="36"/>
      <c r="BG408" s="36"/>
      <c r="BH408" s="36"/>
      <c r="BI408" s="36"/>
      <c r="BJ408" s="36"/>
      <c r="BK408" s="36"/>
      <c r="BL408" s="36"/>
      <c r="BM408" s="36"/>
      <c r="BN408" s="36"/>
      <c r="BO408" s="36"/>
      <c r="BP408" s="36"/>
      <c r="BQ408" s="36"/>
    </row>
    <row r="409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51"/>
      <c r="S409" s="51"/>
      <c r="T409" s="51"/>
      <c r="U409" s="51"/>
      <c r="V409" s="51"/>
      <c r="W409" s="51"/>
      <c r="X409" s="51"/>
      <c r="Y409" s="45"/>
      <c r="Z409" s="45"/>
      <c r="AA409" s="45"/>
      <c r="AB409" s="45"/>
      <c r="AC409" s="45"/>
      <c r="AD409" s="45"/>
      <c r="AE409" s="45"/>
      <c r="AF409" s="45"/>
      <c r="AG409" s="45"/>
      <c r="AH409" s="45"/>
      <c r="AI409" s="45"/>
      <c r="AJ409" s="45"/>
      <c r="AK409" s="45"/>
      <c r="AL409" s="45"/>
      <c r="AM409" s="45"/>
      <c r="AN409" s="45"/>
      <c r="AO409" s="45"/>
      <c r="AP409" s="45"/>
      <c r="AQ409" s="36"/>
      <c r="AR409" s="36"/>
      <c r="AS409" s="36"/>
      <c r="AT409" s="36"/>
      <c r="AU409" s="36"/>
      <c r="AV409" s="36"/>
      <c r="AW409" s="36"/>
      <c r="AX409" s="36"/>
      <c r="AY409" s="36"/>
      <c r="AZ409" s="36"/>
      <c r="BA409" s="36"/>
      <c r="BB409" s="36"/>
      <c r="BC409" s="36"/>
      <c r="BD409" s="36"/>
      <c r="BE409" s="36"/>
      <c r="BF409" s="36"/>
      <c r="BG409" s="36"/>
      <c r="BH409" s="36"/>
      <c r="BI409" s="36"/>
      <c r="BJ409" s="36"/>
      <c r="BK409" s="36"/>
      <c r="BL409" s="36"/>
      <c r="BM409" s="36"/>
      <c r="BN409" s="36"/>
      <c r="BO409" s="36"/>
      <c r="BP409" s="36"/>
      <c r="BQ409" s="36"/>
    </row>
    <row r="410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51"/>
      <c r="S410" s="51"/>
      <c r="T410" s="51"/>
      <c r="U410" s="51"/>
      <c r="V410" s="51"/>
      <c r="W410" s="51"/>
      <c r="X410" s="51"/>
      <c r="Y410" s="45"/>
      <c r="Z410" s="45"/>
      <c r="AA410" s="45"/>
      <c r="AB410" s="45"/>
      <c r="AC410" s="45"/>
      <c r="AD410" s="45"/>
      <c r="AE410" s="45"/>
      <c r="AF410" s="45"/>
      <c r="AG410" s="45"/>
      <c r="AH410" s="45"/>
      <c r="AI410" s="45"/>
      <c r="AJ410" s="45"/>
      <c r="AK410" s="45"/>
      <c r="AL410" s="45"/>
      <c r="AM410" s="45"/>
      <c r="AN410" s="45"/>
      <c r="AO410" s="45"/>
      <c r="AP410" s="45"/>
      <c r="AQ410" s="36"/>
      <c r="AR410" s="36"/>
      <c r="AS410" s="36"/>
      <c r="AT410" s="36"/>
      <c r="AU410" s="36"/>
      <c r="AV410" s="36"/>
      <c r="AW410" s="36"/>
      <c r="AX410" s="36"/>
      <c r="AY410" s="36"/>
      <c r="AZ410" s="36"/>
      <c r="BA410" s="36"/>
      <c r="BB410" s="36"/>
      <c r="BC410" s="36"/>
      <c r="BD410" s="36"/>
      <c r="BE410" s="36"/>
      <c r="BF410" s="36"/>
      <c r="BG410" s="36"/>
      <c r="BH410" s="36"/>
      <c r="BI410" s="36"/>
      <c r="BJ410" s="36"/>
      <c r="BK410" s="36"/>
      <c r="BL410" s="36"/>
      <c r="BM410" s="36"/>
      <c r="BN410" s="36"/>
      <c r="BO410" s="36"/>
      <c r="BP410" s="36"/>
      <c r="BQ410" s="36"/>
    </row>
    <row r="41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51"/>
      <c r="S411" s="51"/>
      <c r="T411" s="51"/>
      <c r="U411" s="51"/>
      <c r="V411" s="51"/>
      <c r="W411" s="51"/>
      <c r="X411" s="51"/>
      <c r="Y411" s="45"/>
      <c r="Z411" s="45"/>
      <c r="AA411" s="45"/>
      <c r="AB411" s="45"/>
      <c r="AC411" s="45"/>
      <c r="AD411" s="45"/>
      <c r="AE411" s="45"/>
      <c r="AF411" s="45"/>
      <c r="AG411" s="45"/>
      <c r="AH411" s="45"/>
      <c r="AI411" s="45"/>
      <c r="AJ411" s="45"/>
      <c r="AK411" s="45"/>
      <c r="AL411" s="45"/>
      <c r="AM411" s="45"/>
      <c r="AN411" s="45"/>
      <c r="AO411" s="45"/>
      <c r="AP411" s="45"/>
      <c r="AQ411" s="36"/>
      <c r="AR411" s="36"/>
      <c r="AS411" s="36"/>
      <c r="AT411" s="36"/>
      <c r="AU411" s="36"/>
      <c r="AV411" s="36"/>
      <c r="AW411" s="36"/>
      <c r="AX411" s="36"/>
      <c r="AY411" s="36"/>
      <c r="AZ411" s="36"/>
      <c r="BA411" s="36"/>
      <c r="BB411" s="36"/>
      <c r="BC411" s="36"/>
      <c r="BD411" s="36"/>
      <c r="BE411" s="36"/>
      <c r="BF411" s="36"/>
      <c r="BG411" s="36"/>
      <c r="BH411" s="36"/>
      <c r="BI411" s="36"/>
      <c r="BJ411" s="36"/>
      <c r="BK411" s="36"/>
      <c r="BL411" s="36"/>
      <c r="BM411" s="36"/>
      <c r="BN411" s="36"/>
      <c r="BO411" s="36"/>
      <c r="BP411" s="36"/>
      <c r="BQ411" s="36"/>
    </row>
    <row r="412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51"/>
      <c r="S412" s="51"/>
      <c r="T412" s="51"/>
      <c r="U412" s="51"/>
      <c r="V412" s="51"/>
      <c r="W412" s="51"/>
      <c r="X412" s="51"/>
      <c r="Y412" s="45"/>
      <c r="Z412" s="45"/>
      <c r="AA412" s="45"/>
      <c r="AB412" s="45"/>
      <c r="AC412" s="45"/>
      <c r="AD412" s="45"/>
      <c r="AE412" s="45"/>
      <c r="AF412" s="45"/>
      <c r="AG412" s="45"/>
      <c r="AH412" s="45"/>
      <c r="AI412" s="45"/>
      <c r="AJ412" s="45"/>
      <c r="AK412" s="45"/>
      <c r="AL412" s="45"/>
      <c r="AM412" s="45"/>
      <c r="AN412" s="45"/>
      <c r="AO412" s="45"/>
      <c r="AP412" s="45"/>
      <c r="AQ412" s="36"/>
      <c r="AR412" s="36"/>
      <c r="AS412" s="36"/>
      <c r="AT412" s="36"/>
      <c r="AU412" s="36"/>
      <c r="AV412" s="36"/>
      <c r="AW412" s="36"/>
      <c r="AX412" s="36"/>
      <c r="AY412" s="36"/>
      <c r="AZ412" s="36"/>
      <c r="BA412" s="36"/>
      <c r="BB412" s="36"/>
      <c r="BC412" s="36"/>
      <c r="BD412" s="36"/>
      <c r="BE412" s="36"/>
      <c r="BF412" s="36"/>
      <c r="BG412" s="36"/>
      <c r="BH412" s="36"/>
      <c r="BI412" s="36"/>
      <c r="BJ412" s="36"/>
      <c r="BK412" s="36"/>
      <c r="BL412" s="36"/>
      <c r="BM412" s="36"/>
      <c r="BN412" s="36"/>
      <c r="BO412" s="36"/>
      <c r="BP412" s="36"/>
      <c r="BQ412" s="36"/>
    </row>
    <row r="413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51"/>
      <c r="S413" s="51"/>
      <c r="T413" s="51"/>
      <c r="U413" s="51"/>
      <c r="V413" s="51"/>
      <c r="W413" s="51"/>
      <c r="X413" s="51"/>
      <c r="Y413" s="45"/>
      <c r="Z413" s="45"/>
      <c r="AA413" s="45"/>
      <c r="AB413" s="45"/>
      <c r="AC413" s="45"/>
      <c r="AD413" s="45"/>
      <c r="AE413" s="45"/>
      <c r="AF413" s="45"/>
      <c r="AG413" s="45"/>
      <c r="AH413" s="45"/>
      <c r="AI413" s="45"/>
      <c r="AJ413" s="45"/>
      <c r="AK413" s="45"/>
      <c r="AL413" s="45"/>
      <c r="AM413" s="45"/>
      <c r="AN413" s="45"/>
      <c r="AO413" s="45"/>
      <c r="AP413" s="45"/>
      <c r="AQ413" s="36"/>
      <c r="AR413" s="36"/>
      <c r="AS413" s="36"/>
      <c r="AT413" s="36"/>
      <c r="AU413" s="36"/>
      <c r="AV413" s="36"/>
      <c r="AW413" s="36"/>
      <c r="AX413" s="36"/>
      <c r="AY413" s="36"/>
      <c r="AZ413" s="36"/>
      <c r="BA413" s="36"/>
      <c r="BB413" s="36"/>
      <c r="BC413" s="36"/>
      <c r="BD413" s="36"/>
      <c r="BE413" s="36"/>
      <c r="BF413" s="36"/>
      <c r="BG413" s="36"/>
      <c r="BH413" s="36"/>
      <c r="BI413" s="36"/>
      <c r="BJ413" s="36"/>
      <c r="BK413" s="36"/>
      <c r="BL413" s="36"/>
      <c r="BM413" s="36"/>
      <c r="BN413" s="36"/>
      <c r="BO413" s="36"/>
      <c r="BP413" s="36"/>
      <c r="BQ413" s="36"/>
    </row>
    <row r="414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51"/>
      <c r="S414" s="51"/>
      <c r="T414" s="51"/>
      <c r="U414" s="51"/>
      <c r="V414" s="51"/>
      <c r="W414" s="51"/>
      <c r="X414" s="51"/>
      <c r="Y414" s="45"/>
      <c r="Z414" s="45"/>
      <c r="AA414" s="45"/>
      <c r="AB414" s="45"/>
      <c r="AC414" s="45"/>
      <c r="AD414" s="45"/>
      <c r="AE414" s="45"/>
      <c r="AF414" s="45"/>
      <c r="AG414" s="45"/>
      <c r="AH414" s="45"/>
      <c r="AI414" s="45"/>
      <c r="AJ414" s="45"/>
      <c r="AK414" s="45"/>
      <c r="AL414" s="45"/>
      <c r="AM414" s="45"/>
      <c r="AN414" s="45"/>
      <c r="AO414" s="45"/>
      <c r="AP414" s="45"/>
      <c r="AQ414" s="36"/>
      <c r="AR414" s="36"/>
      <c r="AS414" s="36"/>
      <c r="AT414" s="36"/>
      <c r="AU414" s="36"/>
      <c r="AV414" s="36"/>
      <c r="AW414" s="36"/>
      <c r="AX414" s="36"/>
      <c r="AY414" s="36"/>
      <c r="AZ414" s="36"/>
      <c r="BA414" s="36"/>
      <c r="BB414" s="36"/>
      <c r="BC414" s="36"/>
      <c r="BD414" s="36"/>
      <c r="BE414" s="36"/>
      <c r="BF414" s="36"/>
      <c r="BG414" s="36"/>
      <c r="BH414" s="36"/>
      <c r="BI414" s="36"/>
      <c r="BJ414" s="36"/>
      <c r="BK414" s="36"/>
      <c r="BL414" s="36"/>
      <c r="BM414" s="36"/>
      <c r="BN414" s="36"/>
      <c r="BO414" s="36"/>
      <c r="BP414" s="36"/>
      <c r="BQ414" s="36"/>
    </row>
    <row r="41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51"/>
      <c r="S415" s="51"/>
      <c r="T415" s="51"/>
      <c r="U415" s="51"/>
      <c r="V415" s="51"/>
      <c r="W415" s="51"/>
      <c r="X415" s="51"/>
      <c r="Y415" s="45"/>
      <c r="Z415" s="45"/>
      <c r="AA415" s="45"/>
      <c r="AB415" s="45"/>
      <c r="AC415" s="45"/>
      <c r="AD415" s="45"/>
      <c r="AE415" s="45"/>
      <c r="AF415" s="45"/>
      <c r="AG415" s="45"/>
      <c r="AH415" s="45"/>
      <c r="AI415" s="45"/>
      <c r="AJ415" s="45"/>
      <c r="AK415" s="45"/>
      <c r="AL415" s="45"/>
      <c r="AM415" s="45"/>
      <c r="AN415" s="45"/>
      <c r="AO415" s="45"/>
      <c r="AP415" s="45"/>
      <c r="AQ415" s="36"/>
      <c r="AR415" s="36"/>
      <c r="AS415" s="36"/>
      <c r="AT415" s="36"/>
      <c r="AU415" s="36"/>
      <c r="AV415" s="36"/>
      <c r="AW415" s="36"/>
      <c r="AX415" s="36"/>
      <c r="AY415" s="36"/>
      <c r="AZ415" s="36"/>
      <c r="BA415" s="36"/>
      <c r="BB415" s="36"/>
      <c r="BC415" s="36"/>
      <c r="BD415" s="36"/>
      <c r="BE415" s="36"/>
      <c r="BF415" s="36"/>
      <c r="BG415" s="36"/>
      <c r="BH415" s="36"/>
      <c r="BI415" s="36"/>
      <c r="BJ415" s="36"/>
      <c r="BK415" s="36"/>
      <c r="BL415" s="36"/>
      <c r="BM415" s="36"/>
      <c r="BN415" s="36"/>
      <c r="BO415" s="36"/>
      <c r="BP415" s="36"/>
      <c r="BQ415" s="36"/>
    </row>
    <row r="416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51"/>
      <c r="S416" s="51"/>
      <c r="T416" s="51"/>
      <c r="U416" s="51"/>
      <c r="V416" s="51"/>
      <c r="W416" s="51"/>
      <c r="X416" s="51"/>
      <c r="Y416" s="45"/>
      <c r="Z416" s="45"/>
      <c r="AA416" s="45"/>
      <c r="AB416" s="45"/>
      <c r="AC416" s="45"/>
      <c r="AD416" s="45"/>
      <c r="AE416" s="45"/>
      <c r="AF416" s="45"/>
      <c r="AG416" s="45"/>
      <c r="AH416" s="45"/>
      <c r="AI416" s="45"/>
      <c r="AJ416" s="45"/>
      <c r="AK416" s="45"/>
      <c r="AL416" s="45"/>
      <c r="AM416" s="45"/>
      <c r="AN416" s="45"/>
      <c r="AO416" s="45"/>
      <c r="AP416" s="45"/>
      <c r="AQ416" s="36"/>
      <c r="AR416" s="36"/>
      <c r="AS416" s="36"/>
      <c r="AT416" s="36"/>
      <c r="AU416" s="36"/>
      <c r="AV416" s="36"/>
      <c r="AW416" s="36"/>
      <c r="AX416" s="36"/>
      <c r="AY416" s="36"/>
      <c r="AZ416" s="36"/>
      <c r="BA416" s="36"/>
      <c r="BB416" s="36"/>
      <c r="BC416" s="36"/>
      <c r="BD416" s="36"/>
      <c r="BE416" s="36"/>
      <c r="BF416" s="36"/>
      <c r="BG416" s="36"/>
      <c r="BH416" s="36"/>
      <c r="BI416" s="36"/>
      <c r="BJ416" s="36"/>
      <c r="BK416" s="36"/>
      <c r="BL416" s="36"/>
      <c r="BM416" s="36"/>
      <c r="BN416" s="36"/>
      <c r="BO416" s="36"/>
      <c r="BP416" s="36"/>
      <c r="BQ416" s="36"/>
    </row>
    <row r="417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51"/>
      <c r="S417" s="51"/>
      <c r="T417" s="51"/>
      <c r="U417" s="51"/>
      <c r="V417" s="51"/>
      <c r="W417" s="51"/>
      <c r="X417" s="51"/>
      <c r="Y417" s="45"/>
      <c r="Z417" s="45"/>
      <c r="AA417" s="45"/>
      <c r="AB417" s="45"/>
      <c r="AC417" s="45"/>
      <c r="AD417" s="45"/>
      <c r="AE417" s="45"/>
      <c r="AF417" s="45"/>
      <c r="AG417" s="45"/>
      <c r="AH417" s="45"/>
      <c r="AI417" s="45"/>
      <c r="AJ417" s="45"/>
      <c r="AK417" s="45"/>
      <c r="AL417" s="45"/>
      <c r="AM417" s="45"/>
      <c r="AN417" s="45"/>
      <c r="AO417" s="45"/>
      <c r="AP417" s="45"/>
      <c r="AQ417" s="36"/>
      <c r="AR417" s="36"/>
      <c r="AS417" s="36"/>
      <c r="AT417" s="36"/>
      <c r="AU417" s="36"/>
      <c r="AV417" s="36"/>
      <c r="AW417" s="36"/>
      <c r="AX417" s="36"/>
      <c r="AY417" s="36"/>
      <c r="AZ417" s="36"/>
      <c r="BA417" s="36"/>
      <c r="BB417" s="36"/>
      <c r="BC417" s="36"/>
      <c r="BD417" s="36"/>
      <c r="BE417" s="36"/>
      <c r="BF417" s="36"/>
      <c r="BG417" s="36"/>
      <c r="BH417" s="36"/>
      <c r="BI417" s="36"/>
      <c r="BJ417" s="36"/>
      <c r="BK417" s="36"/>
      <c r="BL417" s="36"/>
      <c r="BM417" s="36"/>
      <c r="BN417" s="36"/>
      <c r="BO417" s="36"/>
      <c r="BP417" s="36"/>
      <c r="BQ417" s="36"/>
    </row>
    <row r="418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51"/>
      <c r="S418" s="51"/>
      <c r="T418" s="51"/>
      <c r="U418" s="51"/>
      <c r="V418" s="51"/>
      <c r="W418" s="51"/>
      <c r="X418" s="51"/>
      <c r="Y418" s="45"/>
      <c r="Z418" s="45"/>
      <c r="AA418" s="45"/>
      <c r="AB418" s="45"/>
      <c r="AC418" s="45"/>
      <c r="AD418" s="45"/>
      <c r="AE418" s="45"/>
      <c r="AF418" s="45"/>
      <c r="AG418" s="45"/>
      <c r="AH418" s="45"/>
      <c r="AI418" s="45"/>
      <c r="AJ418" s="45"/>
      <c r="AK418" s="45"/>
      <c r="AL418" s="45"/>
      <c r="AM418" s="45"/>
      <c r="AN418" s="45"/>
      <c r="AO418" s="45"/>
      <c r="AP418" s="45"/>
      <c r="AQ418" s="36"/>
      <c r="AR418" s="36"/>
      <c r="AS418" s="36"/>
      <c r="AT418" s="36"/>
      <c r="AU418" s="36"/>
      <c r="AV418" s="36"/>
      <c r="AW418" s="36"/>
      <c r="AX418" s="36"/>
      <c r="AY418" s="36"/>
      <c r="AZ418" s="36"/>
      <c r="BA418" s="36"/>
      <c r="BB418" s="36"/>
      <c r="BC418" s="36"/>
      <c r="BD418" s="36"/>
      <c r="BE418" s="36"/>
      <c r="BF418" s="36"/>
      <c r="BG418" s="36"/>
      <c r="BH418" s="36"/>
      <c r="BI418" s="36"/>
      <c r="BJ418" s="36"/>
      <c r="BK418" s="36"/>
      <c r="BL418" s="36"/>
      <c r="BM418" s="36"/>
      <c r="BN418" s="36"/>
      <c r="BO418" s="36"/>
      <c r="BP418" s="36"/>
      <c r="BQ418" s="36"/>
    </row>
    <row r="419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51"/>
      <c r="S419" s="51"/>
      <c r="T419" s="51"/>
      <c r="U419" s="51"/>
      <c r="V419" s="51"/>
      <c r="W419" s="51"/>
      <c r="X419" s="51"/>
      <c r="Y419" s="45"/>
      <c r="Z419" s="45"/>
      <c r="AA419" s="45"/>
      <c r="AB419" s="45"/>
      <c r="AC419" s="45"/>
      <c r="AD419" s="45"/>
      <c r="AE419" s="45"/>
      <c r="AF419" s="45"/>
      <c r="AG419" s="45"/>
      <c r="AH419" s="45"/>
      <c r="AI419" s="45"/>
      <c r="AJ419" s="45"/>
      <c r="AK419" s="45"/>
      <c r="AL419" s="45"/>
      <c r="AM419" s="45"/>
      <c r="AN419" s="45"/>
      <c r="AO419" s="45"/>
      <c r="AP419" s="45"/>
      <c r="AQ419" s="36"/>
      <c r="AR419" s="36"/>
      <c r="AS419" s="36"/>
      <c r="AT419" s="36"/>
      <c r="AU419" s="36"/>
      <c r="AV419" s="36"/>
      <c r="AW419" s="36"/>
      <c r="AX419" s="36"/>
      <c r="AY419" s="36"/>
      <c r="AZ419" s="36"/>
      <c r="BA419" s="36"/>
      <c r="BB419" s="36"/>
      <c r="BC419" s="36"/>
      <c r="BD419" s="36"/>
      <c r="BE419" s="36"/>
      <c r="BF419" s="36"/>
      <c r="BG419" s="36"/>
      <c r="BH419" s="36"/>
      <c r="BI419" s="36"/>
      <c r="BJ419" s="36"/>
      <c r="BK419" s="36"/>
      <c r="BL419" s="36"/>
      <c r="BM419" s="36"/>
      <c r="BN419" s="36"/>
      <c r="BO419" s="36"/>
      <c r="BP419" s="36"/>
      <c r="BQ419" s="36"/>
    </row>
    <row r="420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51"/>
      <c r="S420" s="51"/>
      <c r="T420" s="51"/>
      <c r="U420" s="51"/>
      <c r="V420" s="51"/>
      <c r="W420" s="51"/>
      <c r="X420" s="51"/>
      <c r="Y420" s="45"/>
      <c r="Z420" s="45"/>
      <c r="AA420" s="45"/>
      <c r="AB420" s="45"/>
      <c r="AC420" s="45"/>
      <c r="AD420" s="45"/>
      <c r="AE420" s="45"/>
      <c r="AF420" s="45"/>
      <c r="AG420" s="45"/>
      <c r="AH420" s="45"/>
      <c r="AI420" s="45"/>
      <c r="AJ420" s="45"/>
      <c r="AK420" s="45"/>
      <c r="AL420" s="45"/>
      <c r="AM420" s="45"/>
      <c r="AN420" s="45"/>
      <c r="AO420" s="45"/>
      <c r="AP420" s="45"/>
      <c r="AQ420" s="36"/>
      <c r="AR420" s="36"/>
      <c r="AS420" s="36"/>
      <c r="AT420" s="36"/>
      <c r="AU420" s="36"/>
      <c r="AV420" s="36"/>
      <c r="AW420" s="36"/>
      <c r="AX420" s="36"/>
      <c r="AY420" s="36"/>
      <c r="AZ420" s="36"/>
      <c r="BA420" s="36"/>
      <c r="BB420" s="36"/>
      <c r="BC420" s="36"/>
      <c r="BD420" s="36"/>
      <c r="BE420" s="36"/>
      <c r="BF420" s="36"/>
      <c r="BG420" s="36"/>
      <c r="BH420" s="36"/>
      <c r="BI420" s="36"/>
      <c r="BJ420" s="36"/>
      <c r="BK420" s="36"/>
      <c r="BL420" s="36"/>
      <c r="BM420" s="36"/>
      <c r="BN420" s="36"/>
      <c r="BO420" s="36"/>
      <c r="BP420" s="36"/>
      <c r="BQ420" s="36"/>
    </row>
    <row r="42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51"/>
      <c r="S421" s="51"/>
      <c r="T421" s="51"/>
      <c r="U421" s="51"/>
      <c r="V421" s="51"/>
      <c r="W421" s="51"/>
      <c r="X421" s="51"/>
      <c r="Y421" s="45"/>
      <c r="Z421" s="45"/>
      <c r="AA421" s="45"/>
      <c r="AB421" s="45"/>
      <c r="AC421" s="45"/>
      <c r="AD421" s="45"/>
      <c r="AE421" s="45"/>
      <c r="AF421" s="45"/>
      <c r="AG421" s="45"/>
      <c r="AH421" s="45"/>
      <c r="AI421" s="45"/>
      <c r="AJ421" s="45"/>
      <c r="AK421" s="45"/>
      <c r="AL421" s="45"/>
      <c r="AM421" s="45"/>
      <c r="AN421" s="45"/>
      <c r="AO421" s="45"/>
      <c r="AP421" s="45"/>
      <c r="AQ421" s="36"/>
      <c r="AR421" s="36"/>
      <c r="AS421" s="36"/>
      <c r="AT421" s="36"/>
      <c r="AU421" s="36"/>
      <c r="AV421" s="36"/>
      <c r="AW421" s="36"/>
      <c r="AX421" s="36"/>
      <c r="AY421" s="36"/>
      <c r="AZ421" s="36"/>
      <c r="BA421" s="36"/>
      <c r="BB421" s="36"/>
      <c r="BC421" s="36"/>
      <c r="BD421" s="36"/>
      <c r="BE421" s="36"/>
      <c r="BF421" s="36"/>
      <c r="BG421" s="36"/>
      <c r="BH421" s="36"/>
      <c r="BI421" s="36"/>
      <c r="BJ421" s="36"/>
      <c r="BK421" s="36"/>
      <c r="BL421" s="36"/>
      <c r="BM421" s="36"/>
      <c r="BN421" s="36"/>
      <c r="BO421" s="36"/>
      <c r="BP421" s="36"/>
      <c r="BQ421" s="36"/>
    </row>
    <row r="422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51"/>
      <c r="S422" s="51"/>
      <c r="T422" s="51"/>
      <c r="U422" s="51"/>
      <c r="V422" s="51"/>
      <c r="W422" s="51"/>
      <c r="X422" s="51"/>
      <c r="Y422" s="45"/>
      <c r="Z422" s="45"/>
      <c r="AA422" s="45"/>
      <c r="AB422" s="45"/>
      <c r="AC422" s="45"/>
      <c r="AD422" s="45"/>
      <c r="AE422" s="45"/>
      <c r="AF422" s="45"/>
      <c r="AG422" s="45"/>
      <c r="AH422" s="45"/>
      <c r="AI422" s="45"/>
      <c r="AJ422" s="45"/>
      <c r="AK422" s="45"/>
      <c r="AL422" s="45"/>
      <c r="AM422" s="45"/>
      <c r="AN422" s="45"/>
      <c r="AO422" s="45"/>
      <c r="AP422" s="45"/>
      <c r="AQ422" s="36"/>
      <c r="AR422" s="36"/>
      <c r="AS422" s="36"/>
      <c r="AT422" s="36"/>
      <c r="AU422" s="36"/>
      <c r="AV422" s="36"/>
      <c r="AW422" s="36"/>
      <c r="AX422" s="36"/>
      <c r="AY422" s="36"/>
      <c r="AZ422" s="36"/>
      <c r="BA422" s="36"/>
      <c r="BB422" s="36"/>
      <c r="BC422" s="36"/>
      <c r="BD422" s="36"/>
      <c r="BE422" s="36"/>
      <c r="BF422" s="36"/>
      <c r="BG422" s="36"/>
      <c r="BH422" s="36"/>
      <c r="BI422" s="36"/>
      <c r="BJ422" s="36"/>
      <c r="BK422" s="36"/>
      <c r="BL422" s="36"/>
      <c r="BM422" s="36"/>
      <c r="BN422" s="36"/>
      <c r="BO422" s="36"/>
      <c r="BP422" s="36"/>
      <c r="BQ422" s="36"/>
    </row>
    <row r="423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51"/>
      <c r="S423" s="51"/>
      <c r="T423" s="51"/>
      <c r="U423" s="51"/>
      <c r="V423" s="51"/>
      <c r="W423" s="51"/>
      <c r="X423" s="51"/>
      <c r="Y423" s="45"/>
      <c r="Z423" s="45"/>
      <c r="AA423" s="45"/>
      <c r="AB423" s="45"/>
      <c r="AC423" s="45"/>
      <c r="AD423" s="45"/>
      <c r="AE423" s="45"/>
      <c r="AF423" s="45"/>
      <c r="AG423" s="45"/>
      <c r="AH423" s="45"/>
      <c r="AI423" s="45"/>
      <c r="AJ423" s="45"/>
      <c r="AK423" s="45"/>
      <c r="AL423" s="45"/>
      <c r="AM423" s="45"/>
      <c r="AN423" s="45"/>
      <c r="AO423" s="45"/>
      <c r="AP423" s="45"/>
      <c r="AQ423" s="36"/>
      <c r="AR423" s="36"/>
      <c r="AS423" s="36"/>
      <c r="AT423" s="36"/>
      <c r="AU423" s="36"/>
      <c r="AV423" s="36"/>
      <c r="AW423" s="36"/>
      <c r="AX423" s="36"/>
      <c r="AY423" s="36"/>
      <c r="AZ423" s="36"/>
      <c r="BA423" s="36"/>
      <c r="BB423" s="36"/>
      <c r="BC423" s="36"/>
      <c r="BD423" s="36"/>
      <c r="BE423" s="36"/>
      <c r="BF423" s="36"/>
      <c r="BG423" s="36"/>
      <c r="BH423" s="36"/>
      <c r="BI423" s="36"/>
      <c r="BJ423" s="36"/>
      <c r="BK423" s="36"/>
      <c r="BL423" s="36"/>
      <c r="BM423" s="36"/>
      <c r="BN423" s="36"/>
      <c r="BO423" s="36"/>
      <c r="BP423" s="36"/>
      <c r="BQ423" s="36"/>
    </row>
    <row r="424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51"/>
      <c r="S424" s="51"/>
      <c r="T424" s="51"/>
      <c r="U424" s="51"/>
      <c r="V424" s="51"/>
      <c r="W424" s="51"/>
      <c r="X424" s="51"/>
      <c r="Y424" s="45"/>
      <c r="Z424" s="45"/>
      <c r="AA424" s="45"/>
      <c r="AB424" s="45"/>
      <c r="AC424" s="45"/>
      <c r="AD424" s="45"/>
      <c r="AE424" s="45"/>
      <c r="AF424" s="45"/>
      <c r="AG424" s="45"/>
      <c r="AH424" s="45"/>
      <c r="AI424" s="45"/>
      <c r="AJ424" s="45"/>
      <c r="AK424" s="45"/>
      <c r="AL424" s="45"/>
      <c r="AM424" s="45"/>
      <c r="AN424" s="45"/>
      <c r="AO424" s="45"/>
      <c r="AP424" s="45"/>
      <c r="AQ424" s="36"/>
      <c r="AR424" s="36"/>
      <c r="AS424" s="36"/>
      <c r="AT424" s="36"/>
      <c r="AU424" s="36"/>
      <c r="AV424" s="36"/>
      <c r="AW424" s="36"/>
      <c r="AX424" s="36"/>
      <c r="AY424" s="36"/>
      <c r="AZ424" s="36"/>
      <c r="BA424" s="36"/>
      <c r="BB424" s="36"/>
      <c r="BC424" s="36"/>
      <c r="BD424" s="36"/>
      <c r="BE424" s="36"/>
      <c r="BF424" s="36"/>
      <c r="BG424" s="36"/>
      <c r="BH424" s="36"/>
      <c r="BI424" s="36"/>
      <c r="BJ424" s="36"/>
      <c r="BK424" s="36"/>
      <c r="BL424" s="36"/>
      <c r="BM424" s="36"/>
      <c r="BN424" s="36"/>
      <c r="BO424" s="36"/>
      <c r="BP424" s="36"/>
      <c r="BQ424" s="36"/>
    </row>
    <row r="4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51"/>
      <c r="S425" s="51"/>
      <c r="T425" s="51"/>
      <c r="U425" s="51"/>
      <c r="V425" s="51"/>
      <c r="W425" s="51"/>
      <c r="X425" s="51"/>
      <c r="Y425" s="45"/>
      <c r="Z425" s="45"/>
      <c r="AA425" s="45"/>
      <c r="AB425" s="45"/>
      <c r="AC425" s="45"/>
      <c r="AD425" s="45"/>
      <c r="AE425" s="45"/>
      <c r="AF425" s="45"/>
      <c r="AG425" s="45"/>
      <c r="AH425" s="45"/>
      <c r="AI425" s="45"/>
      <c r="AJ425" s="45"/>
      <c r="AK425" s="45"/>
      <c r="AL425" s="45"/>
      <c r="AM425" s="45"/>
      <c r="AN425" s="45"/>
      <c r="AO425" s="45"/>
      <c r="AP425" s="45"/>
      <c r="AQ425" s="36"/>
      <c r="AR425" s="36"/>
      <c r="AS425" s="36"/>
      <c r="AT425" s="36"/>
      <c r="AU425" s="36"/>
      <c r="AV425" s="36"/>
      <c r="AW425" s="36"/>
      <c r="AX425" s="36"/>
      <c r="AY425" s="36"/>
      <c r="AZ425" s="36"/>
      <c r="BA425" s="36"/>
      <c r="BB425" s="36"/>
      <c r="BC425" s="36"/>
      <c r="BD425" s="36"/>
      <c r="BE425" s="36"/>
      <c r="BF425" s="36"/>
      <c r="BG425" s="36"/>
      <c r="BH425" s="36"/>
      <c r="BI425" s="36"/>
      <c r="BJ425" s="36"/>
      <c r="BK425" s="36"/>
      <c r="BL425" s="36"/>
      <c r="BM425" s="36"/>
      <c r="BN425" s="36"/>
      <c r="BO425" s="36"/>
      <c r="BP425" s="36"/>
      <c r="BQ425" s="36"/>
    </row>
    <row r="426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51"/>
      <c r="S426" s="51"/>
      <c r="T426" s="51"/>
      <c r="U426" s="51"/>
      <c r="V426" s="51"/>
      <c r="W426" s="51"/>
      <c r="X426" s="51"/>
      <c r="Y426" s="45"/>
      <c r="Z426" s="45"/>
      <c r="AA426" s="45"/>
      <c r="AB426" s="45"/>
      <c r="AC426" s="45"/>
      <c r="AD426" s="45"/>
      <c r="AE426" s="45"/>
      <c r="AF426" s="45"/>
      <c r="AG426" s="45"/>
      <c r="AH426" s="45"/>
      <c r="AI426" s="45"/>
      <c r="AJ426" s="45"/>
      <c r="AK426" s="45"/>
      <c r="AL426" s="45"/>
      <c r="AM426" s="45"/>
      <c r="AN426" s="45"/>
      <c r="AO426" s="45"/>
      <c r="AP426" s="45"/>
      <c r="AQ426" s="36"/>
      <c r="AR426" s="36"/>
      <c r="AS426" s="36"/>
      <c r="AT426" s="36"/>
      <c r="AU426" s="36"/>
      <c r="AV426" s="36"/>
      <c r="AW426" s="36"/>
      <c r="AX426" s="36"/>
      <c r="AY426" s="36"/>
      <c r="AZ426" s="36"/>
      <c r="BA426" s="36"/>
      <c r="BB426" s="36"/>
      <c r="BC426" s="36"/>
      <c r="BD426" s="36"/>
      <c r="BE426" s="36"/>
      <c r="BF426" s="36"/>
      <c r="BG426" s="36"/>
      <c r="BH426" s="36"/>
      <c r="BI426" s="36"/>
      <c r="BJ426" s="36"/>
      <c r="BK426" s="36"/>
      <c r="BL426" s="36"/>
      <c r="BM426" s="36"/>
      <c r="BN426" s="36"/>
      <c r="BO426" s="36"/>
      <c r="BP426" s="36"/>
      <c r="BQ426" s="36"/>
    </row>
    <row r="427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51"/>
      <c r="S427" s="51"/>
      <c r="T427" s="51"/>
      <c r="U427" s="51"/>
      <c r="V427" s="51"/>
      <c r="W427" s="51"/>
      <c r="X427" s="51"/>
      <c r="Y427" s="45"/>
      <c r="Z427" s="45"/>
      <c r="AA427" s="45"/>
      <c r="AB427" s="45"/>
      <c r="AC427" s="45"/>
      <c r="AD427" s="45"/>
      <c r="AE427" s="45"/>
      <c r="AF427" s="45"/>
      <c r="AG427" s="45"/>
      <c r="AH427" s="45"/>
      <c r="AI427" s="45"/>
      <c r="AJ427" s="45"/>
      <c r="AK427" s="45"/>
      <c r="AL427" s="45"/>
      <c r="AM427" s="45"/>
      <c r="AN427" s="45"/>
      <c r="AO427" s="45"/>
      <c r="AP427" s="45"/>
      <c r="AQ427" s="36"/>
      <c r="AR427" s="36"/>
      <c r="AS427" s="36"/>
      <c r="AT427" s="36"/>
      <c r="AU427" s="36"/>
      <c r="AV427" s="36"/>
      <c r="AW427" s="36"/>
      <c r="AX427" s="36"/>
      <c r="AY427" s="36"/>
      <c r="AZ427" s="36"/>
      <c r="BA427" s="36"/>
      <c r="BB427" s="36"/>
      <c r="BC427" s="36"/>
      <c r="BD427" s="36"/>
      <c r="BE427" s="36"/>
      <c r="BF427" s="36"/>
      <c r="BG427" s="36"/>
      <c r="BH427" s="36"/>
      <c r="BI427" s="36"/>
      <c r="BJ427" s="36"/>
      <c r="BK427" s="36"/>
      <c r="BL427" s="36"/>
      <c r="BM427" s="36"/>
      <c r="BN427" s="36"/>
      <c r="BO427" s="36"/>
      <c r="BP427" s="36"/>
      <c r="BQ427" s="36"/>
    </row>
    <row r="428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51"/>
      <c r="S428" s="51"/>
      <c r="T428" s="51"/>
      <c r="U428" s="51"/>
      <c r="V428" s="51"/>
      <c r="W428" s="51"/>
      <c r="X428" s="51"/>
      <c r="Y428" s="45"/>
      <c r="Z428" s="45"/>
      <c r="AA428" s="45"/>
      <c r="AB428" s="45"/>
      <c r="AC428" s="45"/>
      <c r="AD428" s="45"/>
      <c r="AE428" s="45"/>
      <c r="AF428" s="45"/>
      <c r="AG428" s="45"/>
      <c r="AH428" s="45"/>
      <c r="AI428" s="45"/>
      <c r="AJ428" s="45"/>
      <c r="AK428" s="45"/>
      <c r="AL428" s="45"/>
      <c r="AM428" s="45"/>
      <c r="AN428" s="45"/>
      <c r="AO428" s="45"/>
      <c r="AP428" s="45"/>
      <c r="AQ428" s="36"/>
      <c r="AR428" s="36"/>
      <c r="AS428" s="36"/>
      <c r="AT428" s="36"/>
      <c r="AU428" s="36"/>
      <c r="AV428" s="36"/>
      <c r="AW428" s="36"/>
      <c r="AX428" s="36"/>
      <c r="AY428" s="36"/>
      <c r="AZ428" s="36"/>
      <c r="BA428" s="36"/>
      <c r="BB428" s="36"/>
      <c r="BC428" s="36"/>
      <c r="BD428" s="36"/>
      <c r="BE428" s="36"/>
      <c r="BF428" s="36"/>
      <c r="BG428" s="36"/>
      <c r="BH428" s="36"/>
      <c r="BI428" s="36"/>
      <c r="BJ428" s="36"/>
      <c r="BK428" s="36"/>
      <c r="BL428" s="36"/>
      <c r="BM428" s="36"/>
      <c r="BN428" s="36"/>
      <c r="BO428" s="36"/>
      <c r="BP428" s="36"/>
      <c r="BQ428" s="36"/>
    </row>
    <row r="429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51"/>
      <c r="S429" s="51"/>
      <c r="T429" s="51"/>
      <c r="U429" s="51"/>
      <c r="V429" s="51"/>
      <c r="W429" s="51"/>
      <c r="X429" s="51"/>
      <c r="Y429" s="45"/>
      <c r="Z429" s="45"/>
      <c r="AA429" s="45"/>
      <c r="AB429" s="45"/>
      <c r="AC429" s="45"/>
      <c r="AD429" s="45"/>
      <c r="AE429" s="45"/>
      <c r="AF429" s="45"/>
      <c r="AG429" s="45"/>
      <c r="AH429" s="45"/>
      <c r="AI429" s="45"/>
      <c r="AJ429" s="45"/>
      <c r="AK429" s="45"/>
      <c r="AL429" s="45"/>
      <c r="AM429" s="45"/>
      <c r="AN429" s="45"/>
      <c r="AO429" s="45"/>
      <c r="AP429" s="45"/>
      <c r="AQ429" s="36"/>
      <c r="AR429" s="36"/>
      <c r="AS429" s="36"/>
      <c r="AT429" s="36"/>
      <c r="AU429" s="36"/>
      <c r="AV429" s="36"/>
      <c r="AW429" s="36"/>
      <c r="AX429" s="36"/>
      <c r="AY429" s="36"/>
      <c r="AZ429" s="36"/>
      <c r="BA429" s="36"/>
      <c r="BB429" s="36"/>
      <c r="BC429" s="36"/>
      <c r="BD429" s="36"/>
      <c r="BE429" s="36"/>
      <c r="BF429" s="36"/>
      <c r="BG429" s="36"/>
      <c r="BH429" s="36"/>
      <c r="BI429" s="36"/>
      <c r="BJ429" s="36"/>
      <c r="BK429" s="36"/>
      <c r="BL429" s="36"/>
      <c r="BM429" s="36"/>
      <c r="BN429" s="36"/>
      <c r="BO429" s="36"/>
      <c r="BP429" s="36"/>
      <c r="BQ429" s="36"/>
    </row>
    <row r="430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51"/>
      <c r="S430" s="51"/>
      <c r="T430" s="51"/>
      <c r="U430" s="51"/>
      <c r="V430" s="51"/>
      <c r="W430" s="51"/>
      <c r="X430" s="51"/>
      <c r="Y430" s="45"/>
      <c r="Z430" s="45"/>
      <c r="AA430" s="45"/>
      <c r="AB430" s="45"/>
      <c r="AC430" s="45"/>
      <c r="AD430" s="45"/>
      <c r="AE430" s="45"/>
      <c r="AF430" s="45"/>
      <c r="AG430" s="45"/>
      <c r="AH430" s="45"/>
      <c r="AI430" s="45"/>
      <c r="AJ430" s="45"/>
      <c r="AK430" s="45"/>
      <c r="AL430" s="45"/>
      <c r="AM430" s="45"/>
      <c r="AN430" s="45"/>
      <c r="AO430" s="45"/>
      <c r="AP430" s="45"/>
      <c r="AQ430" s="36"/>
      <c r="AR430" s="36"/>
      <c r="AS430" s="36"/>
      <c r="AT430" s="36"/>
      <c r="AU430" s="36"/>
      <c r="AV430" s="36"/>
      <c r="AW430" s="36"/>
      <c r="AX430" s="36"/>
      <c r="AY430" s="36"/>
      <c r="AZ430" s="36"/>
      <c r="BA430" s="36"/>
      <c r="BB430" s="36"/>
      <c r="BC430" s="36"/>
      <c r="BD430" s="36"/>
      <c r="BE430" s="36"/>
      <c r="BF430" s="36"/>
      <c r="BG430" s="36"/>
      <c r="BH430" s="36"/>
      <c r="BI430" s="36"/>
      <c r="BJ430" s="36"/>
      <c r="BK430" s="36"/>
      <c r="BL430" s="36"/>
      <c r="BM430" s="36"/>
      <c r="BN430" s="36"/>
      <c r="BO430" s="36"/>
      <c r="BP430" s="36"/>
      <c r="BQ430" s="36"/>
    </row>
    <row r="43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51"/>
      <c r="S431" s="51"/>
      <c r="T431" s="51"/>
      <c r="U431" s="51"/>
      <c r="V431" s="51"/>
      <c r="W431" s="51"/>
      <c r="X431" s="51"/>
      <c r="Y431" s="45"/>
      <c r="Z431" s="45"/>
      <c r="AA431" s="45"/>
      <c r="AB431" s="45"/>
      <c r="AC431" s="45"/>
      <c r="AD431" s="45"/>
      <c r="AE431" s="45"/>
      <c r="AF431" s="45"/>
      <c r="AG431" s="45"/>
      <c r="AH431" s="45"/>
      <c r="AI431" s="45"/>
      <c r="AJ431" s="45"/>
      <c r="AK431" s="45"/>
      <c r="AL431" s="45"/>
      <c r="AM431" s="45"/>
      <c r="AN431" s="45"/>
      <c r="AO431" s="45"/>
      <c r="AP431" s="45"/>
      <c r="AQ431" s="36"/>
      <c r="AR431" s="36"/>
      <c r="AS431" s="36"/>
      <c r="AT431" s="36"/>
      <c r="AU431" s="36"/>
      <c r="AV431" s="36"/>
      <c r="AW431" s="36"/>
      <c r="AX431" s="36"/>
      <c r="AY431" s="36"/>
      <c r="AZ431" s="36"/>
      <c r="BA431" s="36"/>
      <c r="BB431" s="36"/>
      <c r="BC431" s="36"/>
      <c r="BD431" s="36"/>
      <c r="BE431" s="36"/>
      <c r="BF431" s="36"/>
      <c r="BG431" s="36"/>
      <c r="BH431" s="36"/>
      <c r="BI431" s="36"/>
      <c r="BJ431" s="36"/>
      <c r="BK431" s="36"/>
      <c r="BL431" s="36"/>
      <c r="BM431" s="36"/>
      <c r="BN431" s="36"/>
      <c r="BO431" s="36"/>
      <c r="BP431" s="36"/>
      <c r="BQ431" s="36"/>
    </row>
    <row r="432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51"/>
      <c r="S432" s="51"/>
      <c r="T432" s="51"/>
      <c r="U432" s="51"/>
      <c r="V432" s="51"/>
      <c r="W432" s="51"/>
      <c r="X432" s="51"/>
      <c r="Y432" s="45"/>
      <c r="Z432" s="45"/>
      <c r="AA432" s="45"/>
      <c r="AB432" s="45"/>
      <c r="AC432" s="45"/>
      <c r="AD432" s="45"/>
      <c r="AE432" s="45"/>
      <c r="AF432" s="45"/>
      <c r="AG432" s="45"/>
      <c r="AH432" s="45"/>
      <c r="AI432" s="45"/>
      <c r="AJ432" s="45"/>
      <c r="AK432" s="45"/>
      <c r="AL432" s="45"/>
      <c r="AM432" s="45"/>
      <c r="AN432" s="45"/>
      <c r="AO432" s="45"/>
      <c r="AP432" s="45"/>
      <c r="AQ432" s="36"/>
      <c r="AR432" s="36"/>
      <c r="AS432" s="36"/>
      <c r="AT432" s="36"/>
      <c r="AU432" s="36"/>
      <c r="AV432" s="36"/>
      <c r="AW432" s="36"/>
      <c r="AX432" s="36"/>
      <c r="AY432" s="36"/>
      <c r="AZ432" s="36"/>
      <c r="BA432" s="36"/>
      <c r="BB432" s="36"/>
      <c r="BC432" s="36"/>
      <c r="BD432" s="36"/>
      <c r="BE432" s="36"/>
      <c r="BF432" s="36"/>
      <c r="BG432" s="36"/>
      <c r="BH432" s="36"/>
      <c r="BI432" s="36"/>
      <c r="BJ432" s="36"/>
      <c r="BK432" s="36"/>
      <c r="BL432" s="36"/>
      <c r="BM432" s="36"/>
      <c r="BN432" s="36"/>
      <c r="BO432" s="36"/>
      <c r="BP432" s="36"/>
      <c r="BQ432" s="36"/>
    </row>
    <row r="433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51"/>
      <c r="S433" s="51"/>
      <c r="T433" s="51"/>
      <c r="U433" s="51"/>
      <c r="V433" s="51"/>
      <c r="W433" s="51"/>
      <c r="X433" s="51"/>
      <c r="Y433" s="45"/>
      <c r="Z433" s="45"/>
      <c r="AA433" s="45"/>
      <c r="AB433" s="45"/>
      <c r="AC433" s="45"/>
      <c r="AD433" s="45"/>
      <c r="AE433" s="45"/>
      <c r="AF433" s="45"/>
      <c r="AG433" s="45"/>
      <c r="AH433" s="45"/>
      <c r="AI433" s="45"/>
      <c r="AJ433" s="45"/>
      <c r="AK433" s="45"/>
      <c r="AL433" s="45"/>
      <c r="AM433" s="45"/>
      <c r="AN433" s="45"/>
      <c r="AO433" s="45"/>
      <c r="AP433" s="45"/>
      <c r="AQ433" s="36"/>
      <c r="AR433" s="36"/>
      <c r="AS433" s="36"/>
      <c r="AT433" s="36"/>
      <c r="AU433" s="36"/>
      <c r="AV433" s="36"/>
      <c r="AW433" s="36"/>
      <c r="AX433" s="36"/>
      <c r="AY433" s="36"/>
      <c r="AZ433" s="36"/>
      <c r="BA433" s="36"/>
      <c r="BB433" s="36"/>
      <c r="BC433" s="36"/>
      <c r="BD433" s="36"/>
      <c r="BE433" s="36"/>
      <c r="BF433" s="36"/>
      <c r="BG433" s="36"/>
      <c r="BH433" s="36"/>
      <c r="BI433" s="36"/>
      <c r="BJ433" s="36"/>
      <c r="BK433" s="36"/>
      <c r="BL433" s="36"/>
      <c r="BM433" s="36"/>
      <c r="BN433" s="36"/>
      <c r="BO433" s="36"/>
      <c r="BP433" s="36"/>
      <c r="BQ433" s="36"/>
    </row>
    <row r="434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51"/>
      <c r="S434" s="51"/>
      <c r="T434" s="51"/>
      <c r="U434" s="51"/>
      <c r="V434" s="51"/>
      <c r="W434" s="51"/>
      <c r="X434" s="51"/>
      <c r="Y434" s="45"/>
      <c r="Z434" s="45"/>
      <c r="AA434" s="45"/>
      <c r="AB434" s="45"/>
      <c r="AC434" s="45"/>
      <c r="AD434" s="45"/>
      <c r="AE434" s="45"/>
      <c r="AF434" s="45"/>
      <c r="AG434" s="45"/>
      <c r="AH434" s="45"/>
      <c r="AI434" s="45"/>
      <c r="AJ434" s="45"/>
      <c r="AK434" s="45"/>
      <c r="AL434" s="45"/>
      <c r="AM434" s="45"/>
      <c r="AN434" s="45"/>
      <c r="AO434" s="45"/>
      <c r="AP434" s="45"/>
      <c r="AQ434" s="36"/>
      <c r="AR434" s="36"/>
      <c r="AS434" s="36"/>
      <c r="AT434" s="36"/>
      <c r="AU434" s="36"/>
      <c r="AV434" s="36"/>
      <c r="AW434" s="36"/>
      <c r="AX434" s="36"/>
      <c r="AY434" s="36"/>
      <c r="AZ434" s="36"/>
      <c r="BA434" s="36"/>
      <c r="BB434" s="36"/>
      <c r="BC434" s="36"/>
      <c r="BD434" s="36"/>
      <c r="BE434" s="36"/>
      <c r="BF434" s="36"/>
      <c r="BG434" s="36"/>
      <c r="BH434" s="36"/>
      <c r="BI434" s="36"/>
      <c r="BJ434" s="36"/>
      <c r="BK434" s="36"/>
      <c r="BL434" s="36"/>
      <c r="BM434" s="36"/>
      <c r="BN434" s="36"/>
      <c r="BO434" s="36"/>
      <c r="BP434" s="36"/>
      <c r="BQ434" s="36"/>
    </row>
    <row r="4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51"/>
      <c r="S435" s="51"/>
      <c r="T435" s="51"/>
      <c r="U435" s="51"/>
      <c r="V435" s="51"/>
      <c r="W435" s="51"/>
      <c r="X435" s="51"/>
      <c r="Y435" s="45"/>
      <c r="Z435" s="45"/>
      <c r="AA435" s="45"/>
      <c r="AB435" s="45"/>
      <c r="AC435" s="45"/>
      <c r="AD435" s="45"/>
      <c r="AE435" s="45"/>
      <c r="AF435" s="45"/>
      <c r="AG435" s="45"/>
      <c r="AH435" s="45"/>
      <c r="AI435" s="45"/>
      <c r="AJ435" s="45"/>
      <c r="AK435" s="45"/>
      <c r="AL435" s="45"/>
      <c r="AM435" s="45"/>
      <c r="AN435" s="45"/>
      <c r="AO435" s="45"/>
      <c r="AP435" s="45"/>
      <c r="AQ435" s="36"/>
      <c r="AR435" s="36"/>
      <c r="AS435" s="36"/>
      <c r="AT435" s="36"/>
      <c r="AU435" s="36"/>
      <c r="AV435" s="36"/>
      <c r="AW435" s="36"/>
      <c r="AX435" s="36"/>
      <c r="AY435" s="36"/>
      <c r="AZ435" s="36"/>
      <c r="BA435" s="36"/>
      <c r="BB435" s="36"/>
      <c r="BC435" s="36"/>
      <c r="BD435" s="36"/>
      <c r="BE435" s="36"/>
      <c r="BF435" s="36"/>
      <c r="BG435" s="36"/>
      <c r="BH435" s="36"/>
      <c r="BI435" s="36"/>
      <c r="BJ435" s="36"/>
      <c r="BK435" s="36"/>
      <c r="BL435" s="36"/>
      <c r="BM435" s="36"/>
      <c r="BN435" s="36"/>
      <c r="BO435" s="36"/>
      <c r="BP435" s="36"/>
      <c r="BQ435" s="36"/>
    </row>
    <row r="436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51"/>
      <c r="S436" s="51"/>
      <c r="T436" s="51"/>
      <c r="U436" s="51"/>
      <c r="V436" s="51"/>
      <c r="W436" s="51"/>
      <c r="X436" s="51"/>
      <c r="Y436" s="45"/>
      <c r="Z436" s="45"/>
      <c r="AA436" s="45"/>
      <c r="AB436" s="45"/>
      <c r="AC436" s="45"/>
      <c r="AD436" s="45"/>
      <c r="AE436" s="45"/>
      <c r="AF436" s="45"/>
      <c r="AG436" s="45"/>
      <c r="AH436" s="45"/>
      <c r="AI436" s="45"/>
      <c r="AJ436" s="45"/>
      <c r="AK436" s="45"/>
      <c r="AL436" s="45"/>
      <c r="AM436" s="45"/>
      <c r="AN436" s="45"/>
      <c r="AO436" s="45"/>
      <c r="AP436" s="45"/>
      <c r="AQ436" s="36"/>
      <c r="AR436" s="36"/>
      <c r="AS436" s="36"/>
      <c r="AT436" s="36"/>
      <c r="AU436" s="36"/>
      <c r="AV436" s="36"/>
      <c r="AW436" s="36"/>
      <c r="AX436" s="36"/>
      <c r="AY436" s="36"/>
      <c r="AZ436" s="36"/>
      <c r="BA436" s="36"/>
      <c r="BB436" s="36"/>
      <c r="BC436" s="36"/>
      <c r="BD436" s="36"/>
      <c r="BE436" s="36"/>
      <c r="BF436" s="36"/>
      <c r="BG436" s="36"/>
      <c r="BH436" s="36"/>
      <c r="BI436" s="36"/>
      <c r="BJ436" s="36"/>
      <c r="BK436" s="36"/>
      <c r="BL436" s="36"/>
      <c r="BM436" s="36"/>
      <c r="BN436" s="36"/>
      <c r="BO436" s="36"/>
      <c r="BP436" s="36"/>
      <c r="BQ436" s="36"/>
    </row>
    <row r="437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51"/>
      <c r="S437" s="51"/>
      <c r="T437" s="51"/>
      <c r="U437" s="51"/>
      <c r="V437" s="51"/>
      <c r="W437" s="51"/>
      <c r="X437" s="51"/>
      <c r="Y437" s="45"/>
      <c r="Z437" s="45"/>
      <c r="AA437" s="45"/>
      <c r="AB437" s="45"/>
      <c r="AC437" s="45"/>
      <c r="AD437" s="45"/>
      <c r="AE437" s="45"/>
      <c r="AF437" s="45"/>
      <c r="AG437" s="45"/>
      <c r="AH437" s="45"/>
      <c r="AI437" s="45"/>
      <c r="AJ437" s="45"/>
      <c r="AK437" s="45"/>
      <c r="AL437" s="45"/>
      <c r="AM437" s="45"/>
      <c r="AN437" s="45"/>
      <c r="AO437" s="45"/>
      <c r="AP437" s="45"/>
      <c r="AQ437" s="36"/>
      <c r="AR437" s="36"/>
      <c r="AS437" s="36"/>
      <c r="AT437" s="36"/>
      <c r="AU437" s="36"/>
      <c r="AV437" s="36"/>
      <c r="AW437" s="36"/>
      <c r="AX437" s="36"/>
      <c r="AY437" s="36"/>
      <c r="AZ437" s="36"/>
      <c r="BA437" s="36"/>
      <c r="BB437" s="36"/>
      <c r="BC437" s="36"/>
      <c r="BD437" s="36"/>
      <c r="BE437" s="36"/>
      <c r="BF437" s="36"/>
      <c r="BG437" s="36"/>
      <c r="BH437" s="36"/>
      <c r="BI437" s="36"/>
      <c r="BJ437" s="36"/>
      <c r="BK437" s="36"/>
      <c r="BL437" s="36"/>
      <c r="BM437" s="36"/>
      <c r="BN437" s="36"/>
      <c r="BO437" s="36"/>
      <c r="BP437" s="36"/>
      <c r="BQ437" s="36"/>
    </row>
    <row r="438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51"/>
      <c r="S438" s="51"/>
      <c r="T438" s="51"/>
      <c r="U438" s="51"/>
      <c r="V438" s="51"/>
      <c r="W438" s="51"/>
      <c r="X438" s="51"/>
      <c r="Y438" s="45"/>
      <c r="Z438" s="45"/>
      <c r="AA438" s="45"/>
      <c r="AB438" s="45"/>
      <c r="AC438" s="45"/>
      <c r="AD438" s="45"/>
      <c r="AE438" s="45"/>
      <c r="AF438" s="45"/>
      <c r="AG438" s="45"/>
      <c r="AH438" s="45"/>
      <c r="AI438" s="45"/>
      <c r="AJ438" s="45"/>
      <c r="AK438" s="45"/>
      <c r="AL438" s="45"/>
      <c r="AM438" s="45"/>
      <c r="AN438" s="45"/>
      <c r="AO438" s="45"/>
      <c r="AP438" s="45"/>
      <c r="AQ438" s="36"/>
      <c r="AR438" s="36"/>
      <c r="AS438" s="36"/>
      <c r="AT438" s="36"/>
      <c r="AU438" s="36"/>
      <c r="AV438" s="36"/>
      <c r="AW438" s="36"/>
      <c r="AX438" s="36"/>
      <c r="AY438" s="36"/>
      <c r="AZ438" s="36"/>
      <c r="BA438" s="36"/>
      <c r="BB438" s="36"/>
      <c r="BC438" s="36"/>
      <c r="BD438" s="36"/>
      <c r="BE438" s="36"/>
      <c r="BF438" s="36"/>
      <c r="BG438" s="36"/>
      <c r="BH438" s="36"/>
      <c r="BI438" s="36"/>
      <c r="BJ438" s="36"/>
      <c r="BK438" s="36"/>
      <c r="BL438" s="36"/>
      <c r="BM438" s="36"/>
      <c r="BN438" s="36"/>
      <c r="BO438" s="36"/>
      <c r="BP438" s="36"/>
      <c r="BQ438" s="36"/>
    </row>
    <row r="439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51"/>
      <c r="S439" s="51"/>
      <c r="T439" s="51"/>
      <c r="U439" s="51"/>
      <c r="V439" s="51"/>
      <c r="W439" s="51"/>
      <c r="X439" s="51"/>
      <c r="Y439" s="45"/>
      <c r="Z439" s="45"/>
      <c r="AA439" s="45"/>
      <c r="AB439" s="45"/>
      <c r="AC439" s="45"/>
      <c r="AD439" s="45"/>
      <c r="AE439" s="45"/>
      <c r="AF439" s="45"/>
      <c r="AG439" s="45"/>
      <c r="AH439" s="45"/>
      <c r="AI439" s="45"/>
      <c r="AJ439" s="45"/>
      <c r="AK439" s="45"/>
      <c r="AL439" s="45"/>
      <c r="AM439" s="45"/>
      <c r="AN439" s="45"/>
      <c r="AO439" s="45"/>
      <c r="AP439" s="45"/>
      <c r="AQ439" s="36"/>
      <c r="AR439" s="36"/>
      <c r="AS439" s="36"/>
      <c r="AT439" s="36"/>
      <c r="AU439" s="36"/>
      <c r="AV439" s="36"/>
      <c r="AW439" s="36"/>
      <c r="AX439" s="36"/>
      <c r="AY439" s="36"/>
      <c r="AZ439" s="36"/>
      <c r="BA439" s="36"/>
      <c r="BB439" s="36"/>
      <c r="BC439" s="36"/>
      <c r="BD439" s="36"/>
      <c r="BE439" s="36"/>
      <c r="BF439" s="36"/>
      <c r="BG439" s="36"/>
      <c r="BH439" s="36"/>
      <c r="BI439" s="36"/>
      <c r="BJ439" s="36"/>
      <c r="BK439" s="36"/>
      <c r="BL439" s="36"/>
      <c r="BM439" s="36"/>
      <c r="BN439" s="36"/>
      <c r="BO439" s="36"/>
      <c r="BP439" s="36"/>
      <c r="BQ439" s="36"/>
    </row>
    <row r="440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51"/>
      <c r="S440" s="51"/>
      <c r="T440" s="51"/>
      <c r="U440" s="51"/>
      <c r="V440" s="51"/>
      <c r="W440" s="51"/>
      <c r="X440" s="51"/>
      <c r="Y440" s="45"/>
      <c r="Z440" s="45"/>
      <c r="AA440" s="45"/>
      <c r="AB440" s="45"/>
      <c r="AC440" s="45"/>
      <c r="AD440" s="45"/>
      <c r="AE440" s="45"/>
      <c r="AF440" s="45"/>
      <c r="AG440" s="45"/>
      <c r="AH440" s="45"/>
      <c r="AI440" s="45"/>
      <c r="AJ440" s="45"/>
      <c r="AK440" s="45"/>
      <c r="AL440" s="45"/>
      <c r="AM440" s="45"/>
      <c r="AN440" s="45"/>
      <c r="AO440" s="45"/>
      <c r="AP440" s="45"/>
      <c r="AQ440" s="36"/>
      <c r="AR440" s="36"/>
      <c r="AS440" s="36"/>
      <c r="AT440" s="36"/>
      <c r="AU440" s="36"/>
      <c r="AV440" s="36"/>
      <c r="AW440" s="36"/>
      <c r="AX440" s="36"/>
      <c r="AY440" s="36"/>
      <c r="AZ440" s="36"/>
      <c r="BA440" s="36"/>
      <c r="BB440" s="36"/>
      <c r="BC440" s="36"/>
      <c r="BD440" s="36"/>
      <c r="BE440" s="36"/>
      <c r="BF440" s="36"/>
      <c r="BG440" s="36"/>
      <c r="BH440" s="36"/>
      <c r="BI440" s="36"/>
      <c r="BJ440" s="36"/>
      <c r="BK440" s="36"/>
      <c r="BL440" s="36"/>
      <c r="BM440" s="36"/>
      <c r="BN440" s="36"/>
      <c r="BO440" s="36"/>
      <c r="BP440" s="36"/>
      <c r="BQ440" s="36"/>
    </row>
    <row r="44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51"/>
      <c r="S441" s="51"/>
      <c r="T441" s="51"/>
      <c r="U441" s="51"/>
      <c r="V441" s="51"/>
      <c r="W441" s="51"/>
      <c r="X441" s="51"/>
      <c r="Y441" s="45"/>
      <c r="Z441" s="45"/>
      <c r="AA441" s="45"/>
      <c r="AB441" s="45"/>
      <c r="AC441" s="45"/>
      <c r="AD441" s="45"/>
      <c r="AE441" s="45"/>
      <c r="AF441" s="45"/>
      <c r="AG441" s="45"/>
      <c r="AH441" s="45"/>
      <c r="AI441" s="45"/>
      <c r="AJ441" s="45"/>
      <c r="AK441" s="45"/>
      <c r="AL441" s="45"/>
      <c r="AM441" s="45"/>
      <c r="AN441" s="45"/>
      <c r="AO441" s="45"/>
      <c r="AP441" s="45"/>
      <c r="AQ441" s="36"/>
      <c r="AR441" s="36"/>
      <c r="AS441" s="36"/>
      <c r="AT441" s="36"/>
      <c r="AU441" s="36"/>
      <c r="AV441" s="36"/>
      <c r="AW441" s="36"/>
      <c r="AX441" s="36"/>
      <c r="AY441" s="36"/>
      <c r="AZ441" s="36"/>
      <c r="BA441" s="36"/>
      <c r="BB441" s="36"/>
      <c r="BC441" s="36"/>
      <c r="BD441" s="36"/>
      <c r="BE441" s="36"/>
      <c r="BF441" s="36"/>
      <c r="BG441" s="36"/>
      <c r="BH441" s="36"/>
      <c r="BI441" s="36"/>
      <c r="BJ441" s="36"/>
      <c r="BK441" s="36"/>
      <c r="BL441" s="36"/>
      <c r="BM441" s="36"/>
      <c r="BN441" s="36"/>
      <c r="BO441" s="36"/>
      <c r="BP441" s="36"/>
      <c r="BQ441" s="36"/>
    </row>
    <row r="44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51"/>
      <c r="S442" s="51"/>
      <c r="T442" s="51"/>
      <c r="U442" s="51"/>
      <c r="V442" s="51"/>
      <c r="W442" s="51"/>
      <c r="X442" s="51"/>
      <c r="Y442" s="45"/>
      <c r="Z442" s="45"/>
      <c r="AA442" s="45"/>
      <c r="AB442" s="45"/>
      <c r="AC442" s="45"/>
      <c r="AD442" s="45"/>
      <c r="AE442" s="45"/>
      <c r="AF442" s="45"/>
      <c r="AG442" s="45"/>
      <c r="AH442" s="45"/>
      <c r="AI442" s="45"/>
      <c r="AJ442" s="45"/>
      <c r="AK442" s="45"/>
      <c r="AL442" s="45"/>
      <c r="AM442" s="45"/>
      <c r="AN442" s="45"/>
      <c r="AO442" s="45"/>
      <c r="AP442" s="45"/>
      <c r="AQ442" s="36"/>
      <c r="AR442" s="36"/>
      <c r="AS442" s="36"/>
      <c r="AT442" s="36"/>
      <c r="AU442" s="36"/>
      <c r="AV442" s="36"/>
      <c r="AW442" s="36"/>
      <c r="AX442" s="36"/>
      <c r="AY442" s="36"/>
      <c r="AZ442" s="36"/>
      <c r="BA442" s="36"/>
      <c r="BB442" s="36"/>
      <c r="BC442" s="36"/>
      <c r="BD442" s="36"/>
      <c r="BE442" s="36"/>
      <c r="BF442" s="36"/>
      <c r="BG442" s="36"/>
      <c r="BH442" s="36"/>
      <c r="BI442" s="36"/>
      <c r="BJ442" s="36"/>
      <c r="BK442" s="36"/>
      <c r="BL442" s="36"/>
      <c r="BM442" s="36"/>
      <c r="BN442" s="36"/>
      <c r="BO442" s="36"/>
      <c r="BP442" s="36"/>
      <c r="BQ442" s="36"/>
    </row>
    <row r="443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51"/>
      <c r="S443" s="51"/>
      <c r="T443" s="51"/>
      <c r="U443" s="51"/>
      <c r="V443" s="51"/>
      <c r="W443" s="51"/>
      <c r="X443" s="51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5"/>
      <c r="AM443" s="45"/>
      <c r="AN443" s="45"/>
      <c r="AO443" s="45"/>
      <c r="AP443" s="45"/>
      <c r="AQ443" s="36"/>
      <c r="AR443" s="36"/>
      <c r="AS443" s="36"/>
      <c r="AT443" s="36"/>
      <c r="AU443" s="36"/>
      <c r="AV443" s="36"/>
      <c r="AW443" s="36"/>
      <c r="AX443" s="36"/>
      <c r="AY443" s="36"/>
      <c r="AZ443" s="36"/>
      <c r="BA443" s="36"/>
      <c r="BB443" s="36"/>
      <c r="BC443" s="36"/>
      <c r="BD443" s="36"/>
      <c r="BE443" s="36"/>
      <c r="BF443" s="36"/>
      <c r="BG443" s="36"/>
      <c r="BH443" s="36"/>
      <c r="BI443" s="36"/>
      <c r="BJ443" s="36"/>
      <c r="BK443" s="36"/>
      <c r="BL443" s="36"/>
      <c r="BM443" s="36"/>
      <c r="BN443" s="36"/>
      <c r="BO443" s="36"/>
      <c r="BP443" s="36"/>
      <c r="BQ443" s="36"/>
    </row>
    <row r="444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51"/>
      <c r="S444" s="51"/>
      <c r="T444" s="51"/>
      <c r="U444" s="51"/>
      <c r="V444" s="51"/>
      <c r="W444" s="51"/>
      <c r="X444" s="51"/>
      <c r="Y444" s="45"/>
      <c r="Z444" s="45"/>
      <c r="AA444" s="45"/>
      <c r="AB444" s="45"/>
      <c r="AC444" s="45"/>
      <c r="AD444" s="45"/>
      <c r="AE444" s="45"/>
      <c r="AF444" s="45"/>
      <c r="AG444" s="45"/>
      <c r="AH444" s="45"/>
      <c r="AI444" s="45"/>
      <c r="AJ444" s="45"/>
      <c r="AK444" s="45"/>
      <c r="AL444" s="45"/>
      <c r="AM444" s="45"/>
      <c r="AN444" s="45"/>
      <c r="AO444" s="45"/>
      <c r="AP444" s="45"/>
      <c r="AQ444" s="36"/>
      <c r="AR444" s="36"/>
      <c r="AS444" s="36"/>
      <c r="AT444" s="36"/>
      <c r="AU444" s="36"/>
      <c r="AV444" s="36"/>
      <c r="AW444" s="36"/>
      <c r="AX444" s="36"/>
      <c r="AY444" s="36"/>
      <c r="AZ444" s="36"/>
      <c r="BA444" s="36"/>
      <c r="BB444" s="36"/>
      <c r="BC444" s="36"/>
      <c r="BD444" s="36"/>
      <c r="BE444" s="36"/>
      <c r="BF444" s="36"/>
      <c r="BG444" s="36"/>
      <c r="BH444" s="36"/>
      <c r="BI444" s="36"/>
      <c r="BJ444" s="36"/>
      <c r="BK444" s="36"/>
      <c r="BL444" s="36"/>
      <c r="BM444" s="36"/>
      <c r="BN444" s="36"/>
      <c r="BO444" s="36"/>
      <c r="BP444" s="36"/>
      <c r="BQ444" s="36"/>
    </row>
    <row r="44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51"/>
      <c r="S445" s="51"/>
      <c r="T445" s="51"/>
      <c r="U445" s="51"/>
      <c r="V445" s="51"/>
      <c r="W445" s="51"/>
      <c r="X445" s="51"/>
      <c r="Y445" s="45"/>
      <c r="Z445" s="45"/>
      <c r="AA445" s="45"/>
      <c r="AB445" s="45"/>
      <c r="AC445" s="45"/>
      <c r="AD445" s="45"/>
      <c r="AE445" s="45"/>
      <c r="AF445" s="45"/>
      <c r="AG445" s="45"/>
      <c r="AH445" s="45"/>
      <c r="AI445" s="45"/>
      <c r="AJ445" s="45"/>
      <c r="AK445" s="45"/>
      <c r="AL445" s="45"/>
      <c r="AM445" s="45"/>
      <c r="AN445" s="45"/>
      <c r="AO445" s="45"/>
      <c r="AP445" s="45"/>
      <c r="AQ445" s="36"/>
      <c r="AR445" s="36"/>
      <c r="AS445" s="36"/>
      <c r="AT445" s="36"/>
      <c r="AU445" s="36"/>
      <c r="AV445" s="36"/>
      <c r="AW445" s="36"/>
      <c r="AX445" s="36"/>
      <c r="AY445" s="36"/>
      <c r="AZ445" s="36"/>
      <c r="BA445" s="36"/>
      <c r="BB445" s="36"/>
      <c r="BC445" s="36"/>
      <c r="BD445" s="36"/>
      <c r="BE445" s="36"/>
      <c r="BF445" s="36"/>
      <c r="BG445" s="36"/>
      <c r="BH445" s="36"/>
      <c r="BI445" s="36"/>
      <c r="BJ445" s="36"/>
      <c r="BK445" s="36"/>
      <c r="BL445" s="36"/>
      <c r="BM445" s="36"/>
      <c r="BN445" s="36"/>
      <c r="BO445" s="36"/>
      <c r="BP445" s="36"/>
      <c r="BQ445" s="36"/>
    </row>
    <row r="446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51"/>
      <c r="S446" s="51"/>
      <c r="T446" s="51"/>
      <c r="U446" s="51"/>
      <c r="V446" s="51"/>
      <c r="W446" s="51"/>
      <c r="X446" s="51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5"/>
      <c r="AM446" s="45"/>
      <c r="AN446" s="45"/>
      <c r="AO446" s="45"/>
      <c r="AP446" s="45"/>
      <c r="AQ446" s="36"/>
      <c r="AR446" s="36"/>
      <c r="AS446" s="36"/>
      <c r="AT446" s="36"/>
      <c r="AU446" s="36"/>
      <c r="AV446" s="36"/>
      <c r="AW446" s="36"/>
      <c r="AX446" s="36"/>
      <c r="AY446" s="36"/>
      <c r="AZ446" s="36"/>
      <c r="BA446" s="36"/>
      <c r="BB446" s="36"/>
      <c r="BC446" s="36"/>
      <c r="BD446" s="36"/>
      <c r="BE446" s="36"/>
      <c r="BF446" s="36"/>
      <c r="BG446" s="36"/>
      <c r="BH446" s="36"/>
      <c r="BI446" s="36"/>
      <c r="BJ446" s="36"/>
      <c r="BK446" s="36"/>
      <c r="BL446" s="36"/>
      <c r="BM446" s="36"/>
      <c r="BN446" s="36"/>
      <c r="BO446" s="36"/>
      <c r="BP446" s="36"/>
      <c r="BQ446" s="36"/>
    </row>
    <row r="447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51"/>
      <c r="S447" s="51"/>
      <c r="T447" s="51"/>
      <c r="U447" s="51"/>
      <c r="V447" s="51"/>
      <c r="W447" s="51"/>
      <c r="X447" s="51"/>
      <c r="Y447" s="45"/>
      <c r="Z447" s="45"/>
      <c r="AA447" s="45"/>
      <c r="AB447" s="45"/>
      <c r="AC447" s="45"/>
      <c r="AD447" s="45"/>
      <c r="AE447" s="45"/>
      <c r="AF447" s="45"/>
      <c r="AG447" s="45"/>
      <c r="AH447" s="45"/>
      <c r="AI447" s="45"/>
      <c r="AJ447" s="45"/>
      <c r="AK447" s="45"/>
      <c r="AL447" s="45"/>
      <c r="AM447" s="45"/>
      <c r="AN447" s="45"/>
      <c r="AO447" s="45"/>
      <c r="AP447" s="45"/>
      <c r="AQ447" s="36"/>
      <c r="AR447" s="36"/>
      <c r="AS447" s="36"/>
      <c r="AT447" s="36"/>
      <c r="AU447" s="36"/>
      <c r="AV447" s="36"/>
      <c r="AW447" s="36"/>
      <c r="AX447" s="36"/>
      <c r="AY447" s="36"/>
      <c r="AZ447" s="36"/>
      <c r="BA447" s="36"/>
      <c r="BB447" s="36"/>
      <c r="BC447" s="36"/>
      <c r="BD447" s="36"/>
      <c r="BE447" s="36"/>
      <c r="BF447" s="36"/>
      <c r="BG447" s="36"/>
      <c r="BH447" s="36"/>
      <c r="BI447" s="36"/>
      <c r="BJ447" s="36"/>
      <c r="BK447" s="36"/>
      <c r="BL447" s="36"/>
      <c r="BM447" s="36"/>
      <c r="BN447" s="36"/>
      <c r="BO447" s="36"/>
      <c r="BP447" s="36"/>
      <c r="BQ447" s="36"/>
    </row>
    <row r="448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51"/>
      <c r="S448" s="51"/>
      <c r="T448" s="51"/>
      <c r="U448" s="51"/>
      <c r="V448" s="51"/>
      <c r="W448" s="51"/>
      <c r="X448" s="51"/>
      <c r="Y448" s="45"/>
      <c r="Z448" s="45"/>
      <c r="AA448" s="45"/>
      <c r="AB448" s="45"/>
      <c r="AC448" s="45"/>
      <c r="AD448" s="45"/>
      <c r="AE448" s="45"/>
      <c r="AF448" s="45"/>
      <c r="AG448" s="45"/>
      <c r="AH448" s="45"/>
      <c r="AI448" s="45"/>
      <c r="AJ448" s="45"/>
      <c r="AK448" s="45"/>
      <c r="AL448" s="45"/>
      <c r="AM448" s="45"/>
      <c r="AN448" s="45"/>
      <c r="AO448" s="45"/>
      <c r="AP448" s="45"/>
      <c r="AQ448" s="36"/>
      <c r="AR448" s="36"/>
      <c r="AS448" s="36"/>
      <c r="AT448" s="36"/>
      <c r="AU448" s="36"/>
      <c r="AV448" s="36"/>
      <c r="AW448" s="36"/>
      <c r="AX448" s="36"/>
      <c r="AY448" s="36"/>
      <c r="AZ448" s="36"/>
      <c r="BA448" s="36"/>
      <c r="BB448" s="36"/>
      <c r="BC448" s="36"/>
      <c r="BD448" s="36"/>
      <c r="BE448" s="36"/>
      <c r="BF448" s="36"/>
      <c r="BG448" s="36"/>
      <c r="BH448" s="36"/>
      <c r="BI448" s="36"/>
      <c r="BJ448" s="36"/>
      <c r="BK448" s="36"/>
      <c r="BL448" s="36"/>
      <c r="BM448" s="36"/>
      <c r="BN448" s="36"/>
      <c r="BO448" s="36"/>
      <c r="BP448" s="36"/>
      <c r="BQ448" s="36"/>
    </row>
    <row r="449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51"/>
      <c r="S449" s="51"/>
      <c r="T449" s="51"/>
      <c r="U449" s="51"/>
      <c r="V449" s="51"/>
      <c r="W449" s="51"/>
      <c r="X449" s="51"/>
      <c r="Y449" s="45"/>
      <c r="Z449" s="45"/>
      <c r="AA449" s="45"/>
      <c r="AB449" s="45"/>
      <c r="AC449" s="45"/>
      <c r="AD449" s="45"/>
      <c r="AE449" s="45"/>
      <c r="AF449" s="45"/>
      <c r="AG449" s="45"/>
      <c r="AH449" s="45"/>
      <c r="AI449" s="45"/>
      <c r="AJ449" s="45"/>
      <c r="AK449" s="45"/>
      <c r="AL449" s="45"/>
      <c r="AM449" s="45"/>
      <c r="AN449" s="45"/>
      <c r="AO449" s="45"/>
      <c r="AP449" s="45"/>
      <c r="AQ449" s="36"/>
      <c r="AR449" s="36"/>
      <c r="AS449" s="36"/>
      <c r="AT449" s="36"/>
      <c r="AU449" s="36"/>
      <c r="AV449" s="36"/>
      <c r="AW449" s="36"/>
      <c r="AX449" s="36"/>
      <c r="AY449" s="36"/>
      <c r="AZ449" s="36"/>
      <c r="BA449" s="36"/>
      <c r="BB449" s="36"/>
      <c r="BC449" s="36"/>
      <c r="BD449" s="36"/>
      <c r="BE449" s="36"/>
      <c r="BF449" s="36"/>
      <c r="BG449" s="36"/>
      <c r="BH449" s="36"/>
      <c r="BI449" s="36"/>
      <c r="BJ449" s="36"/>
      <c r="BK449" s="36"/>
      <c r="BL449" s="36"/>
      <c r="BM449" s="36"/>
      <c r="BN449" s="36"/>
      <c r="BO449" s="36"/>
      <c r="BP449" s="36"/>
      <c r="BQ449" s="36"/>
    </row>
    <row r="450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51"/>
      <c r="S450" s="51"/>
      <c r="T450" s="51"/>
      <c r="U450" s="51"/>
      <c r="V450" s="51"/>
      <c r="W450" s="51"/>
      <c r="X450" s="51"/>
      <c r="Y450" s="45"/>
      <c r="Z450" s="45"/>
      <c r="AA450" s="45"/>
      <c r="AB450" s="45"/>
      <c r="AC450" s="45"/>
      <c r="AD450" s="45"/>
      <c r="AE450" s="45"/>
      <c r="AF450" s="45"/>
      <c r="AG450" s="45"/>
      <c r="AH450" s="45"/>
      <c r="AI450" s="45"/>
      <c r="AJ450" s="45"/>
      <c r="AK450" s="45"/>
      <c r="AL450" s="45"/>
      <c r="AM450" s="45"/>
      <c r="AN450" s="45"/>
      <c r="AO450" s="45"/>
      <c r="AP450" s="45"/>
      <c r="AQ450" s="36"/>
      <c r="AR450" s="36"/>
      <c r="AS450" s="36"/>
      <c r="AT450" s="36"/>
      <c r="AU450" s="36"/>
      <c r="AV450" s="36"/>
      <c r="AW450" s="36"/>
      <c r="AX450" s="36"/>
      <c r="AY450" s="36"/>
      <c r="AZ450" s="36"/>
      <c r="BA450" s="36"/>
      <c r="BB450" s="36"/>
      <c r="BC450" s="36"/>
      <c r="BD450" s="36"/>
      <c r="BE450" s="36"/>
      <c r="BF450" s="36"/>
      <c r="BG450" s="36"/>
      <c r="BH450" s="36"/>
      <c r="BI450" s="36"/>
      <c r="BJ450" s="36"/>
      <c r="BK450" s="36"/>
      <c r="BL450" s="36"/>
      <c r="BM450" s="36"/>
      <c r="BN450" s="36"/>
      <c r="BO450" s="36"/>
      <c r="BP450" s="36"/>
      <c r="BQ450" s="36"/>
    </row>
    <row r="45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51"/>
      <c r="S451" s="51"/>
      <c r="T451" s="51"/>
      <c r="U451" s="51"/>
      <c r="V451" s="51"/>
      <c r="W451" s="51"/>
      <c r="X451" s="51"/>
      <c r="Y451" s="45"/>
      <c r="Z451" s="45"/>
      <c r="AA451" s="45"/>
      <c r="AB451" s="45"/>
      <c r="AC451" s="45"/>
      <c r="AD451" s="45"/>
      <c r="AE451" s="45"/>
      <c r="AF451" s="45"/>
      <c r="AG451" s="45"/>
      <c r="AH451" s="45"/>
      <c r="AI451" s="45"/>
      <c r="AJ451" s="45"/>
      <c r="AK451" s="45"/>
      <c r="AL451" s="45"/>
      <c r="AM451" s="45"/>
      <c r="AN451" s="45"/>
      <c r="AO451" s="45"/>
      <c r="AP451" s="45"/>
      <c r="AQ451" s="36"/>
      <c r="AR451" s="36"/>
      <c r="AS451" s="36"/>
      <c r="AT451" s="36"/>
      <c r="AU451" s="36"/>
      <c r="AV451" s="36"/>
      <c r="AW451" s="36"/>
      <c r="AX451" s="36"/>
      <c r="AY451" s="36"/>
      <c r="AZ451" s="36"/>
      <c r="BA451" s="36"/>
      <c r="BB451" s="36"/>
      <c r="BC451" s="36"/>
      <c r="BD451" s="36"/>
      <c r="BE451" s="36"/>
      <c r="BF451" s="36"/>
      <c r="BG451" s="36"/>
      <c r="BH451" s="36"/>
      <c r="BI451" s="36"/>
      <c r="BJ451" s="36"/>
      <c r="BK451" s="36"/>
      <c r="BL451" s="36"/>
      <c r="BM451" s="36"/>
      <c r="BN451" s="36"/>
      <c r="BO451" s="36"/>
      <c r="BP451" s="36"/>
      <c r="BQ451" s="36"/>
    </row>
    <row r="452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51"/>
      <c r="S452" s="51"/>
      <c r="T452" s="51"/>
      <c r="U452" s="51"/>
      <c r="V452" s="51"/>
      <c r="W452" s="51"/>
      <c r="X452" s="51"/>
      <c r="Y452" s="45"/>
      <c r="Z452" s="45"/>
      <c r="AA452" s="45"/>
      <c r="AB452" s="45"/>
      <c r="AC452" s="45"/>
      <c r="AD452" s="45"/>
      <c r="AE452" s="45"/>
      <c r="AF452" s="45"/>
      <c r="AG452" s="45"/>
      <c r="AH452" s="45"/>
      <c r="AI452" s="45"/>
      <c r="AJ452" s="45"/>
      <c r="AK452" s="45"/>
      <c r="AL452" s="45"/>
      <c r="AM452" s="45"/>
      <c r="AN452" s="45"/>
      <c r="AO452" s="45"/>
      <c r="AP452" s="45"/>
      <c r="AQ452" s="36"/>
      <c r="AR452" s="36"/>
      <c r="AS452" s="36"/>
      <c r="AT452" s="36"/>
      <c r="AU452" s="36"/>
      <c r="AV452" s="36"/>
      <c r="AW452" s="36"/>
      <c r="AX452" s="36"/>
      <c r="AY452" s="36"/>
      <c r="AZ452" s="36"/>
      <c r="BA452" s="36"/>
      <c r="BB452" s="36"/>
      <c r="BC452" s="36"/>
      <c r="BD452" s="36"/>
      <c r="BE452" s="36"/>
      <c r="BF452" s="36"/>
      <c r="BG452" s="36"/>
      <c r="BH452" s="36"/>
      <c r="BI452" s="36"/>
      <c r="BJ452" s="36"/>
      <c r="BK452" s="36"/>
      <c r="BL452" s="36"/>
      <c r="BM452" s="36"/>
      <c r="BN452" s="36"/>
      <c r="BO452" s="36"/>
      <c r="BP452" s="36"/>
      <c r="BQ452" s="36"/>
    </row>
    <row r="453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51"/>
      <c r="S453" s="51"/>
      <c r="T453" s="51"/>
      <c r="U453" s="51"/>
      <c r="V453" s="51"/>
      <c r="W453" s="51"/>
      <c r="X453" s="51"/>
      <c r="Y453" s="45"/>
      <c r="Z453" s="45"/>
      <c r="AA453" s="45"/>
      <c r="AB453" s="45"/>
      <c r="AC453" s="45"/>
      <c r="AD453" s="45"/>
      <c r="AE453" s="45"/>
      <c r="AF453" s="45"/>
      <c r="AG453" s="45"/>
      <c r="AH453" s="45"/>
      <c r="AI453" s="45"/>
      <c r="AJ453" s="45"/>
      <c r="AK453" s="45"/>
      <c r="AL453" s="45"/>
      <c r="AM453" s="45"/>
      <c r="AN453" s="45"/>
      <c r="AO453" s="45"/>
      <c r="AP453" s="45"/>
      <c r="AQ453" s="36"/>
      <c r="AR453" s="36"/>
      <c r="AS453" s="36"/>
      <c r="AT453" s="36"/>
      <c r="AU453" s="36"/>
      <c r="AV453" s="36"/>
      <c r="AW453" s="36"/>
      <c r="AX453" s="36"/>
      <c r="AY453" s="36"/>
      <c r="AZ453" s="36"/>
      <c r="BA453" s="36"/>
      <c r="BB453" s="36"/>
      <c r="BC453" s="36"/>
      <c r="BD453" s="36"/>
      <c r="BE453" s="36"/>
      <c r="BF453" s="36"/>
      <c r="BG453" s="36"/>
      <c r="BH453" s="36"/>
      <c r="BI453" s="36"/>
      <c r="BJ453" s="36"/>
      <c r="BK453" s="36"/>
      <c r="BL453" s="36"/>
      <c r="BM453" s="36"/>
      <c r="BN453" s="36"/>
      <c r="BO453" s="36"/>
      <c r="BP453" s="36"/>
      <c r="BQ453" s="36"/>
    </row>
    <row r="454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51"/>
      <c r="S454" s="51"/>
      <c r="T454" s="51"/>
      <c r="U454" s="51"/>
      <c r="V454" s="51"/>
      <c r="W454" s="51"/>
      <c r="X454" s="51"/>
      <c r="Y454" s="45"/>
      <c r="Z454" s="45"/>
      <c r="AA454" s="45"/>
      <c r="AB454" s="45"/>
      <c r="AC454" s="45"/>
      <c r="AD454" s="45"/>
      <c r="AE454" s="45"/>
      <c r="AF454" s="45"/>
      <c r="AG454" s="45"/>
      <c r="AH454" s="45"/>
      <c r="AI454" s="45"/>
      <c r="AJ454" s="45"/>
      <c r="AK454" s="45"/>
      <c r="AL454" s="45"/>
      <c r="AM454" s="45"/>
      <c r="AN454" s="45"/>
      <c r="AO454" s="45"/>
      <c r="AP454" s="45"/>
      <c r="AQ454" s="36"/>
      <c r="AR454" s="36"/>
      <c r="AS454" s="36"/>
      <c r="AT454" s="36"/>
      <c r="AU454" s="36"/>
      <c r="AV454" s="36"/>
      <c r="AW454" s="36"/>
      <c r="AX454" s="36"/>
      <c r="AY454" s="36"/>
      <c r="AZ454" s="36"/>
      <c r="BA454" s="36"/>
      <c r="BB454" s="36"/>
      <c r="BC454" s="36"/>
      <c r="BD454" s="36"/>
      <c r="BE454" s="36"/>
      <c r="BF454" s="36"/>
      <c r="BG454" s="36"/>
      <c r="BH454" s="36"/>
      <c r="BI454" s="36"/>
      <c r="BJ454" s="36"/>
      <c r="BK454" s="36"/>
      <c r="BL454" s="36"/>
      <c r="BM454" s="36"/>
      <c r="BN454" s="36"/>
      <c r="BO454" s="36"/>
      <c r="BP454" s="36"/>
      <c r="BQ454" s="36"/>
    </row>
    <row r="45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51"/>
      <c r="S455" s="51"/>
      <c r="T455" s="51"/>
      <c r="U455" s="51"/>
      <c r="V455" s="51"/>
      <c r="W455" s="51"/>
      <c r="X455" s="51"/>
      <c r="Y455" s="45"/>
      <c r="Z455" s="45"/>
      <c r="AA455" s="45"/>
      <c r="AB455" s="45"/>
      <c r="AC455" s="45"/>
      <c r="AD455" s="45"/>
      <c r="AE455" s="45"/>
      <c r="AF455" s="45"/>
      <c r="AG455" s="45"/>
      <c r="AH455" s="45"/>
      <c r="AI455" s="45"/>
      <c r="AJ455" s="45"/>
      <c r="AK455" s="45"/>
      <c r="AL455" s="45"/>
      <c r="AM455" s="45"/>
      <c r="AN455" s="45"/>
      <c r="AO455" s="45"/>
      <c r="AP455" s="45"/>
      <c r="AQ455" s="36"/>
      <c r="AR455" s="36"/>
      <c r="AS455" s="36"/>
      <c r="AT455" s="36"/>
      <c r="AU455" s="36"/>
      <c r="AV455" s="36"/>
      <c r="AW455" s="36"/>
      <c r="AX455" s="36"/>
      <c r="AY455" s="36"/>
      <c r="AZ455" s="36"/>
      <c r="BA455" s="36"/>
      <c r="BB455" s="36"/>
      <c r="BC455" s="36"/>
      <c r="BD455" s="36"/>
      <c r="BE455" s="36"/>
      <c r="BF455" s="36"/>
      <c r="BG455" s="36"/>
      <c r="BH455" s="36"/>
      <c r="BI455" s="36"/>
      <c r="BJ455" s="36"/>
      <c r="BK455" s="36"/>
      <c r="BL455" s="36"/>
      <c r="BM455" s="36"/>
      <c r="BN455" s="36"/>
      <c r="BO455" s="36"/>
      <c r="BP455" s="36"/>
      <c r="BQ455" s="36"/>
    </row>
    <row r="456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51"/>
      <c r="S456" s="51"/>
      <c r="T456" s="51"/>
      <c r="U456" s="51"/>
      <c r="V456" s="51"/>
      <c r="W456" s="51"/>
      <c r="X456" s="51"/>
      <c r="Y456" s="45"/>
      <c r="Z456" s="45"/>
      <c r="AA456" s="45"/>
      <c r="AB456" s="45"/>
      <c r="AC456" s="45"/>
      <c r="AD456" s="45"/>
      <c r="AE456" s="45"/>
      <c r="AF456" s="45"/>
      <c r="AG456" s="45"/>
      <c r="AH456" s="45"/>
      <c r="AI456" s="45"/>
      <c r="AJ456" s="45"/>
      <c r="AK456" s="45"/>
      <c r="AL456" s="45"/>
      <c r="AM456" s="45"/>
      <c r="AN456" s="45"/>
      <c r="AO456" s="45"/>
      <c r="AP456" s="45"/>
      <c r="AQ456" s="36"/>
      <c r="AR456" s="36"/>
      <c r="AS456" s="36"/>
      <c r="AT456" s="36"/>
      <c r="AU456" s="36"/>
      <c r="AV456" s="36"/>
      <c r="AW456" s="36"/>
      <c r="AX456" s="36"/>
      <c r="AY456" s="36"/>
      <c r="AZ456" s="36"/>
      <c r="BA456" s="36"/>
      <c r="BB456" s="36"/>
      <c r="BC456" s="36"/>
      <c r="BD456" s="36"/>
      <c r="BE456" s="36"/>
      <c r="BF456" s="36"/>
      <c r="BG456" s="36"/>
      <c r="BH456" s="36"/>
      <c r="BI456" s="36"/>
      <c r="BJ456" s="36"/>
      <c r="BK456" s="36"/>
      <c r="BL456" s="36"/>
      <c r="BM456" s="36"/>
      <c r="BN456" s="36"/>
      <c r="BO456" s="36"/>
      <c r="BP456" s="36"/>
      <c r="BQ456" s="36"/>
    </row>
    <row r="457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51"/>
      <c r="S457" s="51"/>
      <c r="T457" s="51"/>
      <c r="U457" s="51"/>
      <c r="V457" s="51"/>
      <c r="W457" s="51"/>
      <c r="X457" s="51"/>
      <c r="Y457" s="45"/>
      <c r="Z457" s="45"/>
      <c r="AA457" s="45"/>
      <c r="AB457" s="45"/>
      <c r="AC457" s="45"/>
      <c r="AD457" s="45"/>
      <c r="AE457" s="45"/>
      <c r="AF457" s="45"/>
      <c r="AG457" s="45"/>
      <c r="AH457" s="45"/>
      <c r="AI457" s="45"/>
      <c r="AJ457" s="45"/>
      <c r="AK457" s="45"/>
      <c r="AL457" s="45"/>
      <c r="AM457" s="45"/>
      <c r="AN457" s="45"/>
      <c r="AO457" s="45"/>
      <c r="AP457" s="45"/>
      <c r="AQ457" s="36"/>
      <c r="AR457" s="36"/>
      <c r="AS457" s="36"/>
      <c r="AT457" s="36"/>
      <c r="AU457" s="36"/>
      <c r="AV457" s="36"/>
      <c r="AW457" s="36"/>
      <c r="AX457" s="36"/>
      <c r="AY457" s="36"/>
      <c r="AZ457" s="36"/>
      <c r="BA457" s="36"/>
      <c r="BB457" s="36"/>
      <c r="BC457" s="36"/>
      <c r="BD457" s="36"/>
      <c r="BE457" s="36"/>
      <c r="BF457" s="36"/>
      <c r="BG457" s="36"/>
      <c r="BH457" s="36"/>
      <c r="BI457" s="36"/>
      <c r="BJ457" s="36"/>
      <c r="BK457" s="36"/>
      <c r="BL457" s="36"/>
      <c r="BM457" s="36"/>
      <c r="BN457" s="36"/>
      <c r="BO457" s="36"/>
      <c r="BP457" s="36"/>
      <c r="BQ457" s="36"/>
    </row>
    <row r="458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51"/>
      <c r="S458" s="51"/>
      <c r="T458" s="51"/>
      <c r="U458" s="51"/>
      <c r="V458" s="51"/>
      <c r="W458" s="51"/>
      <c r="X458" s="51"/>
      <c r="Y458" s="45"/>
      <c r="Z458" s="45"/>
      <c r="AA458" s="45"/>
      <c r="AB458" s="45"/>
      <c r="AC458" s="45"/>
      <c r="AD458" s="45"/>
      <c r="AE458" s="45"/>
      <c r="AF458" s="45"/>
      <c r="AG458" s="45"/>
      <c r="AH458" s="45"/>
      <c r="AI458" s="45"/>
      <c r="AJ458" s="45"/>
      <c r="AK458" s="45"/>
      <c r="AL458" s="45"/>
      <c r="AM458" s="45"/>
      <c r="AN458" s="45"/>
      <c r="AO458" s="45"/>
      <c r="AP458" s="45"/>
      <c r="AQ458" s="36"/>
      <c r="AR458" s="36"/>
      <c r="AS458" s="36"/>
      <c r="AT458" s="36"/>
      <c r="AU458" s="36"/>
      <c r="AV458" s="36"/>
      <c r="AW458" s="36"/>
      <c r="AX458" s="36"/>
      <c r="AY458" s="36"/>
      <c r="AZ458" s="36"/>
      <c r="BA458" s="36"/>
      <c r="BB458" s="36"/>
      <c r="BC458" s="36"/>
      <c r="BD458" s="36"/>
      <c r="BE458" s="36"/>
      <c r="BF458" s="36"/>
      <c r="BG458" s="36"/>
      <c r="BH458" s="36"/>
      <c r="BI458" s="36"/>
      <c r="BJ458" s="36"/>
      <c r="BK458" s="36"/>
      <c r="BL458" s="36"/>
      <c r="BM458" s="36"/>
      <c r="BN458" s="36"/>
      <c r="BO458" s="36"/>
      <c r="BP458" s="36"/>
      <c r="BQ458" s="36"/>
    </row>
    <row r="459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51"/>
      <c r="S459" s="51"/>
      <c r="T459" s="51"/>
      <c r="U459" s="51"/>
      <c r="V459" s="51"/>
      <c r="W459" s="51"/>
      <c r="X459" s="51"/>
      <c r="Y459" s="45"/>
      <c r="Z459" s="45"/>
      <c r="AA459" s="45"/>
      <c r="AB459" s="45"/>
      <c r="AC459" s="45"/>
      <c r="AD459" s="45"/>
      <c r="AE459" s="45"/>
      <c r="AF459" s="45"/>
      <c r="AG459" s="45"/>
      <c r="AH459" s="45"/>
      <c r="AI459" s="45"/>
      <c r="AJ459" s="45"/>
      <c r="AK459" s="45"/>
      <c r="AL459" s="45"/>
      <c r="AM459" s="45"/>
      <c r="AN459" s="45"/>
      <c r="AO459" s="45"/>
      <c r="AP459" s="45"/>
      <c r="AQ459" s="36"/>
      <c r="AR459" s="36"/>
      <c r="AS459" s="36"/>
      <c r="AT459" s="36"/>
      <c r="AU459" s="36"/>
      <c r="AV459" s="36"/>
      <c r="AW459" s="36"/>
      <c r="AX459" s="36"/>
      <c r="AY459" s="36"/>
      <c r="AZ459" s="36"/>
      <c r="BA459" s="36"/>
      <c r="BB459" s="36"/>
      <c r="BC459" s="36"/>
      <c r="BD459" s="36"/>
      <c r="BE459" s="36"/>
      <c r="BF459" s="36"/>
      <c r="BG459" s="36"/>
      <c r="BH459" s="36"/>
      <c r="BI459" s="36"/>
      <c r="BJ459" s="36"/>
      <c r="BK459" s="36"/>
      <c r="BL459" s="36"/>
      <c r="BM459" s="36"/>
      <c r="BN459" s="36"/>
      <c r="BO459" s="36"/>
      <c r="BP459" s="36"/>
      <c r="BQ459" s="36"/>
    </row>
    <row r="460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51"/>
      <c r="S460" s="51"/>
      <c r="T460" s="51"/>
      <c r="U460" s="51"/>
      <c r="V460" s="51"/>
      <c r="W460" s="51"/>
      <c r="X460" s="51"/>
      <c r="Y460" s="45"/>
      <c r="Z460" s="45"/>
      <c r="AA460" s="45"/>
      <c r="AB460" s="45"/>
      <c r="AC460" s="45"/>
      <c r="AD460" s="45"/>
      <c r="AE460" s="45"/>
      <c r="AF460" s="45"/>
      <c r="AG460" s="45"/>
      <c r="AH460" s="45"/>
      <c r="AI460" s="45"/>
      <c r="AJ460" s="45"/>
      <c r="AK460" s="45"/>
      <c r="AL460" s="45"/>
      <c r="AM460" s="45"/>
      <c r="AN460" s="45"/>
      <c r="AO460" s="45"/>
      <c r="AP460" s="45"/>
      <c r="AQ460" s="36"/>
      <c r="AR460" s="36"/>
      <c r="AS460" s="36"/>
      <c r="AT460" s="36"/>
      <c r="AU460" s="36"/>
      <c r="AV460" s="36"/>
      <c r="AW460" s="36"/>
      <c r="AX460" s="36"/>
      <c r="AY460" s="36"/>
      <c r="AZ460" s="36"/>
      <c r="BA460" s="36"/>
      <c r="BB460" s="36"/>
      <c r="BC460" s="36"/>
      <c r="BD460" s="36"/>
      <c r="BE460" s="36"/>
      <c r="BF460" s="36"/>
      <c r="BG460" s="36"/>
      <c r="BH460" s="36"/>
      <c r="BI460" s="36"/>
      <c r="BJ460" s="36"/>
      <c r="BK460" s="36"/>
      <c r="BL460" s="36"/>
      <c r="BM460" s="36"/>
      <c r="BN460" s="36"/>
      <c r="BO460" s="36"/>
      <c r="BP460" s="36"/>
      <c r="BQ460" s="36"/>
    </row>
    <row r="46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51"/>
      <c r="S461" s="51"/>
      <c r="T461" s="51"/>
      <c r="U461" s="51"/>
      <c r="V461" s="51"/>
      <c r="W461" s="51"/>
      <c r="X461" s="51"/>
      <c r="Y461" s="45"/>
      <c r="Z461" s="45"/>
      <c r="AA461" s="45"/>
      <c r="AB461" s="45"/>
      <c r="AC461" s="45"/>
      <c r="AD461" s="45"/>
      <c r="AE461" s="45"/>
      <c r="AF461" s="45"/>
      <c r="AG461" s="45"/>
      <c r="AH461" s="45"/>
      <c r="AI461" s="45"/>
      <c r="AJ461" s="45"/>
      <c r="AK461" s="45"/>
      <c r="AL461" s="45"/>
      <c r="AM461" s="45"/>
      <c r="AN461" s="45"/>
      <c r="AO461" s="45"/>
      <c r="AP461" s="45"/>
      <c r="AQ461" s="36"/>
      <c r="AR461" s="36"/>
      <c r="AS461" s="36"/>
      <c r="AT461" s="36"/>
      <c r="AU461" s="36"/>
      <c r="AV461" s="36"/>
      <c r="AW461" s="36"/>
      <c r="AX461" s="36"/>
      <c r="AY461" s="36"/>
      <c r="AZ461" s="36"/>
      <c r="BA461" s="36"/>
      <c r="BB461" s="36"/>
      <c r="BC461" s="36"/>
      <c r="BD461" s="36"/>
      <c r="BE461" s="36"/>
      <c r="BF461" s="36"/>
      <c r="BG461" s="36"/>
      <c r="BH461" s="36"/>
      <c r="BI461" s="36"/>
      <c r="BJ461" s="36"/>
      <c r="BK461" s="36"/>
      <c r="BL461" s="36"/>
      <c r="BM461" s="36"/>
      <c r="BN461" s="36"/>
      <c r="BO461" s="36"/>
      <c r="BP461" s="36"/>
      <c r="BQ461" s="36"/>
    </row>
    <row r="462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51"/>
      <c r="S462" s="51"/>
      <c r="T462" s="51"/>
      <c r="U462" s="51"/>
      <c r="V462" s="51"/>
      <c r="W462" s="51"/>
      <c r="X462" s="51"/>
      <c r="Y462" s="45"/>
      <c r="Z462" s="45"/>
      <c r="AA462" s="45"/>
      <c r="AB462" s="45"/>
      <c r="AC462" s="45"/>
      <c r="AD462" s="45"/>
      <c r="AE462" s="45"/>
      <c r="AF462" s="45"/>
      <c r="AG462" s="45"/>
      <c r="AH462" s="45"/>
      <c r="AI462" s="45"/>
      <c r="AJ462" s="45"/>
      <c r="AK462" s="45"/>
      <c r="AL462" s="45"/>
      <c r="AM462" s="45"/>
      <c r="AN462" s="45"/>
      <c r="AO462" s="45"/>
      <c r="AP462" s="45"/>
      <c r="AQ462" s="36"/>
      <c r="AR462" s="36"/>
      <c r="AS462" s="36"/>
      <c r="AT462" s="36"/>
      <c r="AU462" s="36"/>
      <c r="AV462" s="36"/>
      <c r="AW462" s="36"/>
      <c r="AX462" s="36"/>
      <c r="AY462" s="36"/>
      <c r="AZ462" s="36"/>
      <c r="BA462" s="36"/>
      <c r="BB462" s="36"/>
      <c r="BC462" s="36"/>
      <c r="BD462" s="36"/>
      <c r="BE462" s="36"/>
      <c r="BF462" s="36"/>
      <c r="BG462" s="36"/>
      <c r="BH462" s="36"/>
      <c r="BI462" s="36"/>
      <c r="BJ462" s="36"/>
      <c r="BK462" s="36"/>
      <c r="BL462" s="36"/>
      <c r="BM462" s="36"/>
      <c r="BN462" s="36"/>
      <c r="BO462" s="36"/>
      <c r="BP462" s="36"/>
      <c r="BQ462" s="36"/>
    </row>
    <row r="463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51"/>
      <c r="S463" s="51"/>
      <c r="T463" s="51"/>
      <c r="U463" s="51"/>
      <c r="V463" s="51"/>
      <c r="W463" s="51"/>
      <c r="X463" s="51"/>
      <c r="Y463" s="45"/>
      <c r="Z463" s="45"/>
      <c r="AA463" s="45"/>
      <c r="AB463" s="45"/>
      <c r="AC463" s="45"/>
      <c r="AD463" s="45"/>
      <c r="AE463" s="45"/>
      <c r="AF463" s="45"/>
      <c r="AG463" s="45"/>
      <c r="AH463" s="45"/>
      <c r="AI463" s="45"/>
      <c r="AJ463" s="45"/>
      <c r="AK463" s="45"/>
      <c r="AL463" s="45"/>
      <c r="AM463" s="45"/>
      <c r="AN463" s="45"/>
      <c r="AO463" s="45"/>
      <c r="AP463" s="45"/>
      <c r="AQ463" s="36"/>
      <c r="AR463" s="36"/>
      <c r="AS463" s="36"/>
      <c r="AT463" s="36"/>
      <c r="AU463" s="36"/>
      <c r="AV463" s="36"/>
      <c r="AW463" s="36"/>
      <c r="AX463" s="36"/>
      <c r="AY463" s="36"/>
      <c r="AZ463" s="36"/>
      <c r="BA463" s="36"/>
      <c r="BB463" s="36"/>
      <c r="BC463" s="36"/>
      <c r="BD463" s="36"/>
      <c r="BE463" s="36"/>
      <c r="BF463" s="36"/>
      <c r="BG463" s="36"/>
      <c r="BH463" s="36"/>
      <c r="BI463" s="36"/>
      <c r="BJ463" s="36"/>
      <c r="BK463" s="36"/>
      <c r="BL463" s="36"/>
      <c r="BM463" s="36"/>
      <c r="BN463" s="36"/>
      <c r="BO463" s="36"/>
      <c r="BP463" s="36"/>
      <c r="BQ463" s="36"/>
    </row>
    <row r="464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51"/>
      <c r="S464" s="51"/>
      <c r="T464" s="51"/>
      <c r="U464" s="51"/>
      <c r="V464" s="51"/>
      <c r="W464" s="51"/>
      <c r="X464" s="51"/>
      <c r="Y464" s="45"/>
      <c r="Z464" s="45"/>
      <c r="AA464" s="45"/>
      <c r="AB464" s="45"/>
      <c r="AC464" s="45"/>
      <c r="AD464" s="45"/>
      <c r="AE464" s="45"/>
      <c r="AF464" s="45"/>
      <c r="AG464" s="45"/>
      <c r="AH464" s="45"/>
      <c r="AI464" s="45"/>
      <c r="AJ464" s="45"/>
      <c r="AK464" s="45"/>
      <c r="AL464" s="45"/>
      <c r="AM464" s="45"/>
      <c r="AN464" s="45"/>
      <c r="AO464" s="45"/>
      <c r="AP464" s="45"/>
      <c r="AQ464" s="36"/>
      <c r="AR464" s="36"/>
      <c r="AS464" s="36"/>
      <c r="AT464" s="36"/>
      <c r="AU464" s="36"/>
      <c r="AV464" s="36"/>
      <c r="AW464" s="36"/>
      <c r="AX464" s="36"/>
      <c r="AY464" s="36"/>
      <c r="AZ464" s="36"/>
      <c r="BA464" s="36"/>
      <c r="BB464" s="36"/>
      <c r="BC464" s="36"/>
      <c r="BD464" s="36"/>
      <c r="BE464" s="36"/>
      <c r="BF464" s="36"/>
      <c r="BG464" s="36"/>
      <c r="BH464" s="36"/>
      <c r="BI464" s="36"/>
      <c r="BJ464" s="36"/>
      <c r="BK464" s="36"/>
      <c r="BL464" s="36"/>
      <c r="BM464" s="36"/>
      <c r="BN464" s="36"/>
      <c r="BO464" s="36"/>
      <c r="BP464" s="36"/>
      <c r="BQ464" s="36"/>
    </row>
    <row r="46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51"/>
      <c r="S465" s="51"/>
      <c r="T465" s="51"/>
      <c r="U465" s="51"/>
      <c r="V465" s="51"/>
      <c r="W465" s="51"/>
      <c r="X465" s="51"/>
      <c r="Y465" s="45"/>
      <c r="Z465" s="45"/>
      <c r="AA465" s="45"/>
      <c r="AB465" s="45"/>
      <c r="AC465" s="45"/>
      <c r="AD465" s="45"/>
      <c r="AE465" s="45"/>
      <c r="AF465" s="45"/>
      <c r="AG465" s="45"/>
      <c r="AH465" s="45"/>
      <c r="AI465" s="45"/>
      <c r="AJ465" s="45"/>
      <c r="AK465" s="45"/>
      <c r="AL465" s="45"/>
      <c r="AM465" s="45"/>
      <c r="AN465" s="45"/>
      <c r="AO465" s="45"/>
      <c r="AP465" s="45"/>
      <c r="AQ465" s="36"/>
      <c r="AR465" s="36"/>
      <c r="AS465" s="36"/>
      <c r="AT465" s="36"/>
      <c r="AU465" s="36"/>
      <c r="AV465" s="36"/>
      <c r="AW465" s="36"/>
      <c r="AX465" s="36"/>
      <c r="AY465" s="36"/>
      <c r="AZ465" s="36"/>
      <c r="BA465" s="36"/>
      <c r="BB465" s="36"/>
      <c r="BC465" s="36"/>
      <c r="BD465" s="36"/>
      <c r="BE465" s="36"/>
      <c r="BF465" s="36"/>
      <c r="BG465" s="36"/>
      <c r="BH465" s="36"/>
      <c r="BI465" s="36"/>
      <c r="BJ465" s="36"/>
      <c r="BK465" s="36"/>
      <c r="BL465" s="36"/>
      <c r="BM465" s="36"/>
      <c r="BN465" s="36"/>
      <c r="BO465" s="36"/>
      <c r="BP465" s="36"/>
      <c r="BQ465" s="36"/>
    </row>
    <row r="466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51"/>
      <c r="S466" s="51"/>
      <c r="T466" s="51"/>
      <c r="U466" s="51"/>
      <c r="V466" s="51"/>
      <c r="W466" s="51"/>
      <c r="X466" s="51"/>
      <c r="Y466" s="45"/>
      <c r="Z466" s="45"/>
      <c r="AA466" s="45"/>
      <c r="AB466" s="45"/>
      <c r="AC466" s="45"/>
      <c r="AD466" s="45"/>
      <c r="AE466" s="45"/>
      <c r="AF466" s="45"/>
      <c r="AG466" s="45"/>
      <c r="AH466" s="45"/>
      <c r="AI466" s="45"/>
      <c r="AJ466" s="45"/>
      <c r="AK466" s="45"/>
      <c r="AL466" s="45"/>
      <c r="AM466" s="45"/>
      <c r="AN466" s="45"/>
      <c r="AO466" s="45"/>
      <c r="AP466" s="45"/>
      <c r="AQ466" s="36"/>
      <c r="AR466" s="36"/>
      <c r="AS466" s="36"/>
      <c r="AT466" s="36"/>
      <c r="AU466" s="36"/>
      <c r="AV466" s="36"/>
      <c r="AW466" s="36"/>
      <c r="AX466" s="36"/>
      <c r="AY466" s="36"/>
      <c r="AZ466" s="36"/>
      <c r="BA466" s="36"/>
      <c r="BB466" s="36"/>
      <c r="BC466" s="36"/>
      <c r="BD466" s="36"/>
      <c r="BE466" s="36"/>
      <c r="BF466" s="36"/>
      <c r="BG466" s="36"/>
      <c r="BH466" s="36"/>
      <c r="BI466" s="36"/>
      <c r="BJ466" s="36"/>
      <c r="BK466" s="36"/>
      <c r="BL466" s="36"/>
      <c r="BM466" s="36"/>
      <c r="BN466" s="36"/>
      <c r="BO466" s="36"/>
      <c r="BP466" s="36"/>
      <c r="BQ466" s="36"/>
    </row>
    <row r="467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51"/>
      <c r="S467" s="51"/>
      <c r="T467" s="51"/>
      <c r="U467" s="51"/>
      <c r="V467" s="51"/>
      <c r="W467" s="51"/>
      <c r="X467" s="51"/>
      <c r="Y467" s="45"/>
      <c r="Z467" s="45"/>
      <c r="AA467" s="45"/>
      <c r="AB467" s="45"/>
      <c r="AC467" s="45"/>
      <c r="AD467" s="45"/>
      <c r="AE467" s="45"/>
      <c r="AF467" s="45"/>
      <c r="AG467" s="45"/>
      <c r="AH467" s="45"/>
      <c r="AI467" s="45"/>
      <c r="AJ467" s="45"/>
      <c r="AK467" s="45"/>
      <c r="AL467" s="45"/>
      <c r="AM467" s="45"/>
      <c r="AN467" s="45"/>
      <c r="AO467" s="45"/>
      <c r="AP467" s="45"/>
      <c r="AQ467" s="36"/>
      <c r="AR467" s="36"/>
      <c r="AS467" s="36"/>
      <c r="AT467" s="36"/>
      <c r="AU467" s="36"/>
      <c r="AV467" s="36"/>
      <c r="AW467" s="36"/>
      <c r="AX467" s="36"/>
      <c r="AY467" s="36"/>
      <c r="AZ467" s="36"/>
      <c r="BA467" s="36"/>
      <c r="BB467" s="36"/>
      <c r="BC467" s="36"/>
      <c r="BD467" s="36"/>
      <c r="BE467" s="36"/>
      <c r="BF467" s="36"/>
      <c r="BG467" s="36"/>
      <c r="BH467" s="36"/>
      <c r="BI467" s="36"/>
      <c r="BJ467" s="36"/>
      <c r="BK467" s="36"/>
      <c r="BL467" s="36"/>
      <c r="BM467" s="36"/>
      <c r="BN467" s="36"/>
      <c r="BO467" s="36"/>
      <c r="BP467" s="36"/>
      <c r="BQ467" s="36"/>
    </row>
    <row r="468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51"/>
      <c r="S468" s="51"/>
      <c r="T468" s="51"/>
      <c r="U468" s="51"/>
      <c r="V468" s="51"/>
      <c r="W468" s="51"/>
      <c r="X468" s="51"/>
      <c r="Y468" s="45"/>
      <c r="Z468" s="45"/>
      <c r="AA468" s="45"/>
      <c r="AB468" s="45"/>
      <c r="AC468" s="45"/>
      <c r="AD468" s="45"/>
      <c r="AE468" s="45"/>
      <c r="AF468" s="45"/>
      <c r="AG468" s="45"/>
      <c r="AH468" s="45"/>
      <c r="AI468" s="45"/>
      <c r="AJ468" s="45"/>
      <c r="AK468" s="45"/>
      <c r="AL468" s="45"/>
      <c r="AM468" s="45"/>
      <c r="AN468" s="45"/>
      <c r="AO468" s="45"/>
      <c r="AP468" s="45"/>
      <c r="AQ468" s="36"/>
      <c r="AR468" s="36"/>
      <c r="AS468" s="36"/>
      <c r="AT468" s="36"/>
      <c r="AU468" s="36"/>
      <c r="AV468" s="36"/>
      <c r="AW468" s="36"/>
      <c r="AX468" s="36"/>
      <c r="AY468" s="36"/>
      <c r="AZ468" s="36"/>
      <c r="BA468" s="36"/>
      <c r="BB468" s="36"/>
      <c r="BC468" s="36"/>
      <c r="BD468" s="36"/>
      <c r="BE468" s="36"/>
      <c r="BF468" s="36"/>
      <c r="BG468" s="36"/>
      <c r="BH468" s="36"/>
      <c r="BI468" s="36"/>
      <c r="BJ468" s="36"/>
      <c r="BK468" s="36"/>
      <c r="BL468" s="36"/>
      <c r="BM468" s="36"/>
      <c r="BN468" s="36"/>
      <c r="BO468" s="36"/>
      <c r="BP468" s="36"/>
      <c r="BQ468" s="36"/>
    </row>
    <row r="469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51"/>
      <c r="S469" s="51"/>
      <c r="T469" s="51"/>
      <c r="U469" s="51"/>
      <c r="V469" s="51"/>
      <c r="W469" s="51"/>
      <c r="X469" s="51"/>
      <c r="Y469" s="45"/>
      <c r="Z469" s="45"/>
      <c r="AA469" s="45"/>
      <c r="AB469" s="45"/>
      <c r="AC469" s="45"/>
      <c r="AD469" s="45"/>
      <c r="AE469" s="45"/>
      <c r="AF469" s="45"/>
      <c r="AG469" s="45"/>
      <c r="AH469" s="45"/>
      <c r="AI469" s="45"/>
      <c r="AJ469" s="45"/>
      <c r="AK469" s="45"/>
      <c r="AL469" s="45"/>
      <c r="AM469" s="45"/>
      <c r="AN469" s="45"/>
      <c r="AO469" s="45"/>
      <c r="AP469" s="45"/>
      <c r="AQ469" s="36"/>
      <c r="AR469" s="36"/>
      <c r="AS469" s="36"/>
      <c r="AT469" s="36"/>
      <c r="AU469" s="36"/>
      <c r="AV469" s="36"/>
      <c r="AW469" s="36"/>
      <c r="AX469" s="36"/>
      <c r="AY469" s="36"/>
      <c r="AZ469" s="36"/>
      <c r="BA469" s="36"/>
      <c r="BB469" s="36"/>
      <c r="BC469" s="36"/>
      <c r="BD469" s="36"/>
      <c r="BE469" s="36"/>
      <c r="BF469" s="36"/>
      <c r="BG469" s="36"/>
      <c r="BH469" s="36"/>
      <c r="BI469" s="36"/>
      <c r="BJ469" s="36"/>
      <c r="BK469" s="36"/>
      <c r="BL469" s="36"/>
      <c r="BM469" s="36"/>
      <c r="BN469" s="36"/>
      <c r="BO469" s="36"/>
      <c r="BP469" s="36"/>
      <c r="BQ469" s="36"/>
    </row>
    <row r="470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51"/>
      <c r="S470" s="51"/>
      <c r="T470" s="51"/>
      <c r="U470" s="51"/>
      <c r="V470" s="51"/>
      <c r="W470" s="51"/>
      <c r="X470" s="51"/>
      <c r="Y470" s="45"/>
      <c r="Z470" s="45"/>
      <c r="AA470" s="45"/>
      <c r="AB470" s="45"/>
      <c r="AC470" s="45"/>
      <c r="AD470" s="45"/>
      <c r="AE470" s="45"/>
      <c r="AF470" s="45"/>
      <c r="AG470" s="45"/>
      <c r="AH470" s="45"/>
      <c r="AI470" s="45"/>
      <c r="AJ470" s="45"/>
      <c r="AK470" s="45"/>
      <c r="AL470" s="45"/>
      <c r="AM470" s="45"/>
      <c r="AN470" s="45"/>
      <c r="AO470" s="45"/>
      <c r="AP470" s="45"/>
      <c r="AQ470" s="36"/>
      <c r="AR470" s="36"/>
      <c r="AS470" s="36"/>
      <c r="AT470" s="36"/>
      <c r="AU470" s="36"/>
      <c r="AV470" s="36"/>
      <c r="AW470" s="36"/>
      <c r="AX470" s="36"/>
      <c r="AY470" s="36"/>
      <c r="AZ470" s="36"/>
      <c r="BA470" s="36"/>
      <c r="BB470" s="36"/>
      <c r="BC470" s="36"/>
      <c r="BD470" s="36"/>
      <c r="BE470" s="36"/>
      <c r="BF470" s="36"/>
      <c r="BG470" s="36"/>
      <c r="BH470" s="36"/>
      <c r="BI470" s="36"/>
      <c r="BJ470" s="36"/>
      <c r="BK470" s="36"/>
      <c r="BL470" s="36"/>
      <c r="BM470" s="36"/>
      <c r="BN470" s="36"/>
      <c r="BO470" s="36"/>
      <c r="BP470" s="36"/>
      <c r="BQ470" s="36"/>
    </row>
    <row r="47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51"/>
      <c r="S471" s="51"/>
      <c r="T471" s="51"/>
      <c r="U471" s="51"/>
      <c r="V471" s="51"/>
      <c r="W471" s="51"/>
      <c r="X471" s="51"/>
      <c r="Y471" s="45"/>
      <c r="Z471" s="45"/>
      <c r="AA471" s="45"/>
      <c r="AB471" s="45"/>
      <c r="AC471" s="45"/>
      <c r="AD471" s="45"/>
      <c r="AE471" s="45"/>
      <c r="AF471" s="45"/>
      <c r="AG471" s="45"/>
      <c r="AH471" s="45"/>
      <c r="AI471" s="45"/>
      <c r="AJ471" s="45"/>
      <c r="AK471" s="45"/>
      <c r="AL471" s="45"/>
      <c r="AM471" s="45"/>
      <c r="AN471" s="45"/>
      <c r="AO471" s="45"/>
      <c r="AP471" s="45"/>
      <c r="AQ471" s="36"/>
      <c r="AR471" s="36"/>
      <c r="AS471" s="36"/>
      <c r="AT471" s="36"/>
      <c r="AU471" s="36"/>
      <c r="AV471" s="36"/>
      <c r="AW471" s="36"/>
      <c r="AX471" s="36"/>
      <c r="AY471" s="36"/>
      <c r="AZ471" s="36"/>
      <c r="BA471" s="36"/>
      <c r="BB471" s="36"/>
      <c r="BC471" s="36"/>
      <c r="BD471" s="36"/>
      <c r="BE471" s="36"/>
      <c r="BF471" s="36"/>
      <c r="BG471" s="36"/>
      <c r="BH471" s="36"/>
      <c r="BI471" s="36"/>
      <c r="BJ471" s="36"/>
      <c r="BK471" s="36"/>
      <c r="BL471" s="36"/>
      <c r="BM471" s="36"/>
      <c r="BN471" s="36"/>
      <c r="BO471" s="36"/>
      <c r="BP471" s="36"/>
      <c r="BQ471" s="36"/>
    </row>
    <row r="47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51"/>
      <c r="S472" s="51"/>
      <c r="T472" s="51"/>
      <c r="U472" s="51"/>
      <c r="V472" s="51"/>
      <c r="W472" s="51"/>
      <c r="X472" s="51"/>
      <c r="Y472" s="45"/>
      <c r="Z472" s="45"/>
      <c r="AA472" s="45"/>
      <c r="AB472" s="45"/>
      <c r="AC472" s="45"/>
      <c r="AD472" s="45"/>
      <c r="AE472" s="45"/>
      <c r="AF472" s="45"/>
      <c r="AG472" s="45"/>
      <c r="AH472" s="45"/>
      <c r="AI472" s="45"/>
      <c r="AJ472" s="45"/>
      <c r="AK472" s="45"/>
      <c r="AL472" s="45"/>
      <c r="AM472" s="45"/>
      <c r="AN472" s="45"/>
      <c r="AO472" s="45"/>
      <c r="AP472" s="45"/>
      <c r="AQ472" s="36"/>
      <c r="AR472" s="36"/>
      <c r="AS472" s="36"/>
      <c r="AT472" s="36"/>
      <c r="AU472" s="36"/>
      <c r="AV472" s="36"/>
      <c r="AW472" s="36"/>
      <c r="AX472" s="36"/>
      <c r="AY472" s="36"/>
      <c r="AZ472" s="36"/>
      <c r="BA472" s="36"/>
      <c r="BB472" s="36"/>
      <c r="BC472" s="36"/>
      <c r="BD472" s="36"/>
      <c r="BE472" s="36"/>
      <c r="BF472" s="36"/>
      <c r="BG472" s="36"/>
      <c r="BH472" s="36"/>
      <c r="BI472" s="36"/>
      <c r="BJ472" s="36"/>
      <c r="BK472" s="36"/>
      <c r="BL472" s="36"/>
      <c r="BM472" s="36"/>
      <c r="BN472" s="36"/>
      <c r="BO472" s="36"/>
      <c r="BP472" s="36"/>
      <c r="BQ472" s="36"/>
    </row>
    <row r="473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51"/>
      <c r="S473" s="51"/>
      <c r="T473" s="51"/>
      <c r="U473" s="51"/>
      <c r="V473" s="51"/>
      <c r="W473" s="51"/>
      <c r="X473" s="51"/>
      <c r="Y473" s="45"/>
      <c r="Z473" s="45"/>
      <c r="AA473" s="45"/>
      <c r="AB473" s="45"/>
      <c r="AC473" s="45"/>
      <c r="AD473" s="45"/>
      <c r="AE473" s="45"/>
      <c r="AF473" s="45"/>
      <c r="AG473" s="45"/>
      <c r="AH473" s="45"/>
      <c r="AI473" s="45"/>
      <c r="AJ473" s="45"/>
      <c r="AK473" s="45"/>
      <c r="AL473" s="45"/>
      <c r="AM473" s="45"/>
      <c r="AN473" s="45"/>
      <c r="AO473" s="45"/>
      <c r="AP473" s="45"/>
      <c r="AQ473" s="36"/>
      <c r="AR473" s="36"/>
      <c r="AS473" s="36"/>
      <c r="AT473" s="36"/>
      <c r="AU473" s="36"/>
      <c r="AV473" s="36"/>
      <c r="AW473" s="36"/>
      <c r="AX473" s="36"/>
      <c r="AY473" s="36"/>
      <c r="AZ473" s="36"/>
      <c r="BA473" s="36"/>
      <c r="BB473" s="36"/>
      <c r="BC473" s="36"/>
      <c r="BD473" s="36"/>
      <c r="BE473" s="36"/>
      <c r="BF473" s="36"/>
      <c r="BG473" s="36"/>
      <c r="BH473" s="36"/>
      <c r="BI473" s="36"/>
      <c r="BJ473" s="36"/>
      <c r="BK473" s="36"/>
      <c r="BL473" s="36"/>
      <c r="BM473" s="36"/>
      <c r="BN473" s="36"/>
      <c r="BO473" s="36"/>
      <c r="BP473" s="36"/>
      <c r="BQ473" s="36"/>
    </row>
    <row r="474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51"/>
      <c r="S474" s="51"/>
      <c r="T474" s="51"/>
      <c r="U474" s="51"/>
      <c r="V474" s="51"/>
      <c r="W474" s="51"/>
      <c r="X474" s="51"/>
      <c r="Y474" s="45"/>
      <c r="Z474" s="45"/>
      <c r="AA474" s="45"/>
      <c r="AB474" s="45"/>
      <c r="AC474" s="45"/>
      <c r="AD474" s="45"/>
      <c r="AE474" s="45"/>
      <c r="AF474" s="45"/>
      <c r="AG474" s="45"/>
      <c r="AH474" s="45"/>
      <c r="AI474" s="45"/>
      <c r="AJ474" s="45"/>
      <c r="AK474" s="45"/>
      <c r="AL474" s="45"/>
      <c r="AM474" s="45"/>
      <c r="AN474" s="45"/>
      <c r="AO474" s="45"/>
      <c r="AP474" s="45"/>
      <c r="AQ474" s="36"/>
      <c r="AR474" s="36"/>
      <c r="AS474" s="36"/>
      <c r="AT474" s="36"/>
      <c r="AU474" s="36"/>
      <c r="AV474" s="36"/>
      <c r="AW474" s="36"/>
      <c r="AX474" s="36"/>
      <c r="AY474" s="36"/>
      <c r="AZ474" s="36"/>
      <c r="BA474" s="36"/>
      <c r="BB474" s="36"/>
      <c r="BC474" s="36"/>
      <c r="BD474" s="36"/>
      <c r="BE474" s="36"/>
      <c r="BF474" s="36"/>
      <c r="BG474" s="36"/>
      <c r="BH474" s="36"/>
      <c r="BI474" s="36"/>
      <c r="BJ474" s="36"/>
      <c r="BK474" s="36"/>
      <c r="BL474" s="36"/>
      <c r="BM474" s="36"/>
      <c r="BN474" s="36"/>
      <c r="BO474" s="36"/>
      <c r="BP474" s="36"/>
      <c r="BQ474" s="36"/>
    </row>
    <row r="4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51"/>
      <c r="S475" s="51"/>
      <c r="T475" s="51"/>
      <c r="U475" s="51"/>
      <c r="V475" s="51"/>
      <c r="W475" s="51"/>
      <c r="X475" s="51"/>
      <c r="Y475" s="45"/>
      <c r="Z475" s="45"/>
      <c r="AA475" s="45"/>
      <c r="AB475" s="45"/>
      <c r="AC475" s="45"/>
      <c r="AD475" s="45"/>
      <c r="AE475" s="45"/>
      <c r="AF475" s="45"/>
      <c r="AG475" s="45"/>
      <c r="AH475" s="45"/>
      <c r="AI475" s="45"/>
      <c r="AJ475" s="45"/>
      <c r="AK475" s="45"/>
      <c r="AL475" s="45"/>
      <c r="AM475" s="45"/>
      <c r="AN475" s="45"/>
      <c r="AO475" s="45"/>
      <c r="AP475" s="45"/>
      <c r="AQ475" s="36"/>
      <c r="AR475" s="36"/>
      <c r="AS475" s="36"/>
      <c r="AT475" s="36"/>
      <c r="AU475" s="36"/>
      <c r="AV475" s="36"/>
      <c r="AW475" s="36"/>
      <c r="AX475" s="36"/>
      <c r="AY475" s="36"/>
      <c r="AZ475" s="36"/>
      <c r="BA475" s="36"/>
      <c r="BB475" s="36"/>
      <c r="BC475" s="36"/>
      <c r="BD475" s="36"/>
      <c r="BE475" s="36"/>
      <c r="BF475" s="36"/>
      <c r="BG475" s="36"/>
      <c r="BH475" s="36"/>
      <c r="BI475" s="36"/>
      <c r="BJ475" s="36"/>
      <c r="BK475" s="36"/>
      <c r="BL475" s="36"/>
      <c r="BM475" s="36"/>
      <c r="BN475" s="36"/>
      <c r="BO475" s="36"/>
      <c r="BP475" s="36"/>
      <c r="BQ475" s="36"/>
    </row>
    <row r="476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51"/>
      <c r="S476" s="51"/>
      <c r="T476" s="51"/>
      <c r="U476" s="51"/>
      <c r="V476" s="51"/>
      <c r="W476" s="51"/>
      <c r="X476" s="51"/>
      <c r="Y476" s="45"/>
      <c r="Z476" s="45"/>
      <c r="AA476" s="45"/>
      <c r="AB476" s="45"/>
      <c r="AC476" s="45"/>
      <c r="AD476" s="45"/>
      <c r="AE476" s="45"/>
      <c r="AF476" s="45"/>
      <c r="AG476" s="45"/>
      <c r="AH476" s="45"/>
      <c r="AI476" s="45"/>
      <c r="AJ476" s="45"/>
      <c r="AK476" s="45"/>
      <c r="AL476" s="45"/>
      <c r="AM476" s="45"/>
      <c r="AN476" s="45"/>
      <c r="AO476" s="45"/>
      <c r="AP476" s="45"/>
      <c r="AQ476" s="36"/>
      <c r="AR476" s="36"/>
      <c r="AS476" s="36"/>
      <c r="AT476" s="36"/>
      <c r="AU476" s="36"/>
      <c r="AV476" s="36"/>
      <c r="AW476" s="36"/>
      <c r="AX476" s="36"/>
      <c r="AY476" s="36"/>
      <c r="AZ476" s="36"/>
      <c r="BA476" s="36"/>
      <c r="BB476" s="36"/>
      <c r="BC476" s="36"/>
      <c r="BD476" s="36"/>
      <c r="BE476" s="36"/>
      <c r="BF476" s="36"/>
      <c r="BG476" s="36"/>
      <c r="BH476" s="36"/>
      <c r="BI476" s="36"/>
      <c r="BJ476" s="36"/>
      <c r="BK476" s="36"/>
      <c r="BL476" s="36"/>
      <c r="BM476" s="36"/>
      <c r="BN476" s="36"/>
      <c r="BO476" s="36"/>
      <c r="BP476" s="36"/>
      <c r="BQ476" s="36"/>
    </row>
    <row r="477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51"/>
      <c r="S477" s="51"/>
      <c r="T477" s="51"/>
      <c r="U477" s="51"/>
      <c r="V477" s="51"/>
      <c r="W477" s="51"/>
      <c r="X477" s="51"/>
      <c r="Y477" s="45"/>
      <c r="Z477" s="45"/>
      <c r="AA477" s="45"/>
      <c r="AB477" s="45"/>
      <c r="AC477" s="45"/>
      <c r="AD477" s="45"/>
      <c r="AE477" s="45"/>
      <c r="AF477" s="45"/>
      <c r="AG477" s="45"/>
      <c r="AH477" s="45"/>
      <c r="AI477" s="45"/>
      <c r="AJ477" s="45"/>
      <c r="AK477" s="45"/>
      <c r="AL477" s="45"/>
      <c r="AM477" s="45"/>
      <c r="AN477" s="45"/>
      <c r="AO477" s="45"/>
      <c r="AP477" s="45"/>
      <c r="AQ477" s="36"/>
      <c r="AR477" s="36"/>
      <c r="AS477" s="36"/>
      <c r="AT477" s="36"/>
      <c r="AU477" s="36"/>
      <c r="AV477" s="36"/>
      <c r="AW477" s="36"/>
      <c r="AX477" s="36"/>
      <c r="AY477" s="36"/>
      <c r="AZ477" s="36"/>
      <c r="BA477" s="36"/>
      <c r="BB477" s="36"/>
      <c r="BC477" s="36"/>
      <c r="BD477" s="36"/>
      <c r="BE477" s="36"/>
      <c r="BF477" s="36"/>
      <c r="BG477" s="36"/>
      <c r="BH477" s="36"/>
      <c r="BI477" s="36"/>
      <c r="BJ477" s="36"/>
      <c r="BK477" s="36"/>
      <c r="BL477" s="36"/>
      <c r="BM477" s="36"/>
      <c r="BN477" s="36"/>
      <c r="BO477" s="36"/>
      <c r="BP477" s="36"/>
      <c r="BQ477" s="36"/>
    </row>
    <row r="478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51"/>
      <c r="S478" s="51"/>
      <c r="T478" s="51"/>
      <c r="U478" s="51"/>
      <c r="V478" s="51"/>
      <c r="W478" s="51"/>
      <c r="X478" s="51"/>
      <c r="Y478" s="45"/>
      <c r="Z478" s="45"/>
      <c r="AA478" s="45"/>
      <c r="AB478" s="45"/>
      <c r="AC478" s="45"/>
      <c r="AD478" s="45"/>
      <c r="AE478" s="45"/>
      <c r="AF478" s="45"/>
      <c r="AG478" s="45"/>
      <c r="AH478" s="45"/>
      <c r="AI478" s="45"/>
      <c r="AJ478" s="45"/>
      <c r="AK478" s="45"/>
      <c r="AL478" s="45"/>
      <c r="AM478" s="45"/>
      <c r="AN478" s="45"/>
      <c r="AO478" s="45"/>
      <c r="AP478" s="45"/>
      <c r="AQ478" s="36"/>
      <c r="AR478" s="36"/>
      <c r="AS478" s="36"/>
      <c r="AT478" s="36"/>
      <c r="AU478" s="36"/>
      <c r="AV478" s="36"/>
      <c r="AW478" s="36"/>
      <c r="AX478" s="36"/>
      <c r="AY478" s="36"/>
      <c r="AZ478" s="36"/>
      <c r="BA478" s="36"/>
      <c r="BB478" s="36"/>
      <c r="BC478" s="36"/>
      <c r="BD478" s="36"/>
      <c r="BE478" s="36"/>
      <c r="BF478" s="36"/>
      <c r="BG478" s="36"/>
      <c r="BH478" s="36"/>
      <c r="BI478" s="36"/>
      <c r="BJ478" s="36"/>
      <c r="BK478" s="36"/>
      <c r="BL478" s="36"/>
      <c r="BM478" s="36"/>
      <c r="BN478" s="36"/>
      <c r="BO478" s="36"/>
      <c r="BP478" s="36"/>
      <c r="BQ478" s="36"/>
    </row>
    <row r="479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51"/>
      <c r="S479" s="51"/>
      <c r="T479" s="51"/>
      <c r="U479" s="51"/>
      <c r="V479" s="51"/>
      <c r="W479" s="51"/>
      <c r="X479" s="51"/>
      <c r="Y479" s="45"/>
      <c r="Z479" s="45"/>
      <c r="AA479" s="45"/>
      <c r="AB479" s="45"/>
      <c r="AC479" s="45"/>
      <c r="AD479" s="45"/>
      <c r="AE479" s="45"/>
      <c r="AF479" s="45"/>
      <c r="AG479" s="45"/>
      <c r="AH479" s="45"/>
      <c r="AI479" s="45"/>
      <c r="AJ479" s="45"/>
      <c r="AK479" s="45"/>
      <c r="AL479" s="45"/>
      <c r="AM479" s="45"/>
      <c r="AN479" s="45"/>
      <c r="AO479" s="45"/>
      <c r="AP479" s="45"/>
      <c r="AQ479" s="36"/>
      <c r="AR479" s="36"/>
      <c r="AS479" s="36"/>
      <c r="AT479" s="36"/>
      <c r="AU479" s="36"/>
      <c r="AV479" s="36"/>
      <c r="AW479" s="36"/>
      <c r="AX479" s="36"/>
      <c r="AY479" s="36"/>
      <c r="AZ479" s="36"/>
      <c r="BA479" s="36"/>
      <c r="BB479" s="36"/>
      <c r="BC479" s="36"/>
      <c r="BD479" s="36"/>
      <c r="BE479" s="36"/>
      <c r="BF479" s="36"/>
      <c r="BG479" s="36"/>
      <c r="BH479" s="36"/>
      <c r="BI479" s="36"/>
      <c r="BJ479" s="36"/>
      <c r="BK479" s="36"/>
      <c r="BL479" s="36"/>
      <c r="BM479" s="36"/>
      <c r="BN479" s="36"/>
      <c r="BO479" s="36"/>
      <c r="BP479" s="36"/>
      <c r="BQ479" s="36"/>
    </row>
    <row r="480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51"/>
      <c r="S480" s="51"/>
      <c r="T480" s="51"/>
      <c r="U480" s="51"/>
      <c r="V480" s="51"/>
      <c r="W480" s="51"/>
      <c r="X480" s="51"/>
      <c r="Y480" s="45"/>
      <c r="Z480" s="45"/>
      <c r="AA480" s="45"/>
      <c r="AB480" s="45"/>
      <c r="AC480" s="45"/>
      <c r="AD480" s="45"/>
      <c r="AE480" s="45"/>
      <c r="AF480" s="45"/>
      <c r="AG480" s="45"/>
      <c r="AH480" s="45"/>
      <c r="AI480" s="45"/>
      <c r="AJ480" s="45"/>
      <c r="AK480" s="45"/>
      <c r="AL480" s="45"/>
      <c r="AM480" s="45"/>
      <c r="AN480" s="45"/>
      <c r="AO480" s="45"/>
      <c r="AP480" s="45"/>
      <c r="AQ480" s="36"/>
      <c r="AR480" s="36"/>
      <c r="AS480" s="36"/>
      <c r="AT480" s="36"/>
      <c r="AU480" s="36"/>
      <c r="AV480" s="36"/>
      <c r="AW480" s="36"/>
      <c r="AX480" s="36"/>
      <c r="AY480" s="36"/>
      <c r="AZ480" s="36"/>
      <c r="BA480" s="36"/>
      <c r="BB480" s="36"/>
      <c r="BC480" s="36"/>
      <c r="BD480" s="36"/>
      <c r="BE480" s="36"/>
      <c r="BF480" s="36"/>
      <c r="BG480" s="36"/>
      <c r="BH480" s="36"/>
      <c r="BI480" s="36"/>
      <c r="BJ480" s="36"/>
      <c r="BK480" s="36"/>
      <c r="BL480" s="36"/>
      <c r="BM480" s="36"/>
      <c r="BN480" s="36"/>
      <c r="BO480" s="36"/>
      <c r="BP480" s="36"/>
      <c r="BQ480" s="36"/>
    </row>
    <row r="48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51"/>
      <c r="S481" s="51"/>
      <c r="T481" s="51"/>
      <c r="U481" s="51"/>
      <c r="V481" s="51"/>
      <c r="W481" s="51"/>
      <c r="X481" s="51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5"/>
      <c r="AM481" s="45"/>
      <c r="AN481" s="45"/>
      <c r="AO481" s="45"/>
      <c r="AP481" s="45"/>
      <c r="AQ481" s="36"/>
      <c r="AR481" s="36"/>
      <c r="AS481" s="36"/>
      <c r="AT481" s="36"/>
      <c r="AU481" s="36"/>
      <c r="AV481" s="36"/>
      <c r="AW481" s="36"/>
      <c r="AX481" s="36"/>
      <c r="AY481" s="36"/>
      <c r="AZ481" s="36"/>
      <c r="BA481" s="36"/>
      <c r="BB481" s="36"/>
      <c r="BC481" s="36"/>
      <c r="BD481" s="36"/>
      <c r="BE481" s="36"/>
      <c r="BF481" s="36"/>
      <c r="BG481" s="36"/>
      <c r="BH481" s="36"/>
      <c r="BI481" s="36"/>
      <c r="BJ481" s="36"/>
      <c r="BK481" s="36"/>
      <c r="BL481" s="36"/>
      <c r="BM481" s="36"/>
      <c r="BN481" s="36"/>
      <c r="BO481" s="36"/>
      <c r="BP481" s="36"/>
      <c r="BQ481" s="36"/>
    </row>
    <row r="482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51"/>
      <c r="S482" s="51"/>
      <c r="T482" s="51"/>
      <c r="U482" s="51"/>
      <c r="V482" s="51"/>
      <c r="W482" s="51"/>
      <c r="X482" s="51"/>
      <c r="Y482" s="45"/>
      <c r="Z482" s="45"/>
      <c r="AA482" s="45"/>
      <c r="AB482" s="45"/>
      <c r="AC482" s="45"/>
      <c r="AD482" s="45"/>
      <c r="AE482" s="45"/>
      <c r="AF482" s="45"/>
      <c r="AG482" s="45"/>
      <c r="AH482" s="45"/>
      <c r="AI482" s="45"/>
      <c r="AJ482" s="45"/>
      <c r="AK482" s="45"/>
      <c r="AL482" s="45"/>
      <c r="AM482" s="45"/>
      <c r="AN482" s="45"/>
      <c r="AO482" s="45"/>
      <c r="AP482" s="45"/>
      <c r="AQ482" s="36"/>
      <c r="AR482" s="36"/>
      <c r="AS482" s="36"/>
      <c r="AT482" s="36"/>
      <c r="AU482" s="36"/>
      <c r="AV482" s="36"/>
      <c r="AW482" s="36"/>
      <c r="AX482" s="36"/>
      <c r="AY482" s="36"/>
      <c r="AZ482" s="36"/>
      <c r="BA482" s="36"/>
      <c r="BB482" s="36"/>
      <c r="BC482" s="36"/>
      <c r="BD482" s="36"/>
      <c r="BE482" s="36"/>
      <c r="BF482" s="36"/>
      <c r="BG482" s="36"/>
      <c r="BH482" s="36"/>
      <c r="BI482" s="36"/>
      <c r="BJ482" s="36"/>
      <c r="BK482" s="36"/>
      <c r="BL482" s="36"/>
      <c r="BM482" s="36"/>
      <c r="BN482" s="36"/>
      <c r="BO482" s="36"/>
      <c r="BP482" s="36"/>
      <c r="BQ482" s="36"/>
    </row>
    <row r="483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51"/>
      <c r="S483" s="51"/>
      <c r="T483" s="51"/>
      <c r="U483" s="51"/>
      <c r="V483" s="51"/>
      <c r="W483" s="51"/>
      <c r="X483" s="51"/>
      <c r="Y483" s="45"/>
      <c r="Z483" s="45"/>
      <c r="AA483" s="45"/>
      <c r="AB483" s="45"/>
      <c r="AC483" s="45"/>
      <c r="AD483" s="45"/>
      <c r="AE483" s="45"/>
      <c r="AF483" s="45"/>
      <c r="AG483" s="45"/>
      <c r="AH483" s="45"/>
      <c r="AI483" s="45"/>
      <c r="AJ483" s="45"/>
      <c r="AK483" s="45"/>
      <c r="AL483" s="45"/>
      <c r="AM483" s="45"/>
      <c r="AN483" s="45"/>
      <c r="AO483" s="45"/>
      <c r="AP483" s="45"/>
      <c r="AQ483" s="36"/>
      <c r="AR483" s="36"/>
      <c r="AS483" s="36"/>
      <c r="AT483" s="36"/>
      <c r="AU483" s="36"/>
      <c r="AV483" s="36"/>
      <c r="AW483" s="36"/>
      <c r="AX483" s="36"/>
      <c r="AY483" s="36"/>
      <c r="AZ483" s="36"/>
      <c r="BA483" s="36"/>
      <c r="BB483" s="36"/>
      <c r="BC483" s="36"/>
      <c r="BD483" s="36"/>
      <c r="BE483" s="36"/>
      <c r="BF483" s="36"/>
      <c r="BG483" s="36"/>
      <c r="BH483" s="36"/>
      <c r="BI483" s="36"/>
      <c r="BJ483" s="36"/>
      <c r="BK483" s="36"/>
      <c r="BL483" s="36"/>
      <c r="BM483" s="36"/>
      <c r="BN483" s="36"/>
      <c r="BO483" s="36"/>
      <c r="BP483" s="36"/>
      <c r="BQ483" s="36"/>
    </row>
    <row r="484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51"/>
      <c r="S484" s="51"/>
      <c r="T484" s="51"/>
      <c r="U484" s="51"/>
      <c r="V484" s="51"/>
      <c r="W484" s="51"/>
      <c r="X484" s="51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5"/>
      <c r="AM484" s="45"/>
      <c r="AN484" s="45"/>
      <c r="AO484" s="45"/>
      <c r="AP484" s="45"/>
      <c r="AQ484" s="36"/>
      <c r="AR484" s="36"/>
      <c r="AS484" s="36"/>
      <c r="AT484" s="36"/>
      <c r="AU484" s="36"/>
      <c r="AV484" s="36"/>
      <c r="AW484" s="36"/>
      <c r="AX484" s="36"/>
      <c r="AY484" s="36"/>
      <c r="AZ484" s="36"/>
      <c r="BA484" s="36"/>
      <c r="BB484" s="36"/>
      <c r="BC484" s="36"/>
      <c r="BD484" s="36"/>
      <c r="BE484" s="36"/>
      <c r="BF484" s="36"/>
      <c r="BG484" s="36"/>
      <c r="BH484" s="36"/>
      <c r="BI484" s="36"/>
      <c r="BJ484" s="36"/>
      <c r="BK484" s="36"/>
      <c r="BL484" s="36"/>
      <c r="BM484" s="36"/>
      <c r="BN484" s="36"/>
      <c r="BO484" s="36"/>
      <c r="BP484" s="36"/>
      <c r="BQ484" s="36"/>
    </row>
    <row r="48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51"/>
      <c r="S485" s="51"/>
      <c r="T485" s="51"/>
      <c r="U485" s="51"/>
      <c r="V485" s="51"/>
      <c r="W485" s="51"/>
      <c r="X485" s="51"/>
      <c r="Y485" s="45"/>
      <c r="Z485" s="45"/>
      <c r="AA485" s="45"/>
      <c r="AB485" s="45"/>
      <c r="AC485" s="45"/>
      <c r="AD485" s="45"/>
      <c r="AE485" s="45"/>
      <c r="AF485" s="45"/>
      <c r="AG485" s="45"/>
      <c r="AH485" s="45"/>
      <c r="AI485" s="45"/>
      <c r="AJ485" s="45"/>
      <c r="AK485" s="45"/>
      <c r="AL485" s="45"/>
      <c r="AM485" s="45"/>
      <c r="AN485" s="45"/>
      <c r="AO485" s="45"/>
      <c r="AP485" s="45"/>
      <c r="AQ485" s="36"/>
      <c r="AR485" s="36"/>
      <c r="AS485" s="36"/>
      <c r="AT485" s="36"/>
      <c r="AU485" s="36"/>
      <c r="AV485" s="36"/>
      <c r="AW485" s="36"/>
      <c r="AX485" s="36"/>
      <c r="AY485" s="36"/>
      <c r="AZ485" s="36"/>
      <c r="BA485" s="36"/>
      <c r="BB485" s="36"/>
      <c r="BC485" s="36"/>
      <c r="BD485" s="36"/>
      <c r="BE485" s="36"/>
      <c r="BF485" s="36"/>
      <c r="BG485" s="36"/>
      <c r="BH485" s="36"/>
      <c r="BI485" s="36"/>
      <c r="BJ485" s="36"/>
      <c r="BK485" s="36"/>
      <c r="BL485" s="36"/>
      <c r="BM485" s="36"/>
      <c r="BN485" s="36"/>
      <c r="BO485" s="36"/>
      <c r="BP485" s="36"/>
      <c r="BQ485" s="36"/>
    </row>
    <row r="486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51"/>
      <c r="S486" s="51"/>
      <c r="T486" s="51"/>
      <c r="U486" s="51"/>
      <c r="V486" s="51"/>
      <c r="W486" s="51"/>
      <c r="X486" s="51"/>
      <c r="Y486" s="45"/>
      <c r="Z486" s="45"/>
      <c r="AA486" s="45"/>
      <c r="AB486" s="45"/>
      <c r="AC486" s="45"/>
      <c r="AD486" s="45"/>
      <c r="AE486" s="45"/>
      <c r="AF486" s="45"/>
      <c r="AG486" s="45"/>
      <c r="AH486" s="45"/>
      <c r="AI486" s="45"/>
      <c r="AJ486" s="45"/>
      <c r="AK486" s="45"/>
      <c r="AL486" s="45"/>
      <c r="AM486" s="45"/>
      <c r="AN486" s="45"/>
      <c r="AO486" s="45"/>
      <c r="AP486" s="45"/>
      <c r="AQ486" s="36"/>
      <c r="AR486" s="36"/>
      <c r="AS486" s="36"/>
      <c r="AT486" s="36"/>
      <c r="AU486" s="36"/>
      <c r="AV486" s="36"/>
      <c r="AW486" s="36"/>
      <c r="AX486" s="36"/>
      <c r="AY486" s="36"/>
      <c r="AZ486" s="36"/>
      <c r="BA486" s="36"/>
      <c r="BB486" s="36"/>
      <c r="BC486" s="36"/>
      <c r="BD486" s="36"/>
      <c r="BE486" s="36"/>
      <c r="BF486" s="36"/>
      <c r="BG486" s="36"/>
      <c r="BH486" s="36"/>
      <c r="BI486" s="36"/>
      <c r="BJ486" s="36"/>
      <c r="BK486" s="36"/>
      <c r="BL486" s="36"/>
      <c r="BM486" s="36"/>
      <c r="BN486" s="36"/>
      <c r="BO486" s="36"/>
      <c r="BP486" s="36"/>
      <c r="BQ486" s="36"/>
    </row>
    <row r="487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51"/>
      <c r="S487" s="51"/>
      <c r="T487" s="51"/>
      <c r="U487" s="51"/>
      <c r="V487" s="51"/>
      <c r="W487" s="51"/>
      <c r="X487" s="51"/>
      <c r="Y487" s="45"/>
      <c r="Z487" s="45"/>
      <c r="AA487" s="45"/>
      <c r="AB487" s="45"/>
      <c r="AC487" s="45"/>
      <c r="AD487" s="45"/>
      <c r="AE487" s="45"/>
      <c r="AF487" s="45"/>
      <c r="AG487" s="45"/>
      <c r="AH487" s="45"/>
      <c r="AI487" s="45"/>
      <c r="AJ487" s="45"/>
      <c r="AK487" s="45"/>
      <c r="AL487" s="45"/>
      <c r="AM487" s="45"/>
      <c r="AN487" s="45"/>
      <c r="AO487" s="45"/>
      <c r="AP487" s="45"/>
      <c r="AQ487" s="36"/>
      <c r="AR487" s="36"/>
      <c r="AS487" s="36"/>
      <c r="AT487" s="36"/>
      <c r="AU487" s="36"/>
      <c r="AV487" s="36"/>
      <c r="AW487" s="36"/>
      <c r="AX487" s="36"/>
      <c r="AY487" s="36"/>
      <c r="AZ487" s="36"/>
      <c r="BA487" s="36"/>
      <c r="BB487" s="36"/>
      <c r="BC487" s="36"/>
      <c r="BD487" s="36"/>
      <c r="BE487" s="36"/>
      <c r="BF487" s="36"/>
      <c r="BG487" s="36"/>
      <c r="BH487" s="36"/>
      <c r="BI487" s="36"/>
      <c r="BJ487" s="36"/>
      <c r="BK487" s="36"/>
      <c r="BL487" s="36"/>
      <c r="BM487" s="36"/>
      <c r="BN487" s="36"/>
      <c r="BO487" s="36"/>
      <c r="BP487" s="36"/>
      <c r="BQ487" s="36"/>
    </row>
    <row r="488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51"/>
      <c r="S488" s="51"/>
      <c r="T488" s="51"/>
      <c r="U488" s="51"/>
      <c r="V488" s="51"/>
      <c r="W488" s="51"/>
      <c r="X488" s="51"/>
      <c r="Y488" s="45"/>
      <c r="Z488" s="45"/>
      <c r="AA488" s="45"/>
      <c r="AB488" s="45"/>
      <c r="AC488" s="45"/>
      <c r="AD488" s="45"/>
      <c r="AE488" s="45"/>
      <c r="AF488" s="45"/>
      <c r="AG488" s="45"/>
      <c r="AH488" s="45"/>
      <c r="AI488" s="45"/>
      <c r="AJ488" s="45"/>
      <c r="AK488" s="45"/>
      <c r="AL488" s="45"/>
      <c r="AM488" s="45"/>
      <c r="AN488" s="45"/>
      <c r="AO488" s="45"/>
      <c r="AP488" s="45"/>
      <c r="AQ488" s="36"/>
      <c r="AR488" s="36"/>
      <c r="AS488" s="36"/>
      <c r="AT488" s="36"/>
      <c r="AU488" s="36"/>
      <c r="AV488" s="36"/>
      <c r="AW488" s="36"/>
      <c r="AX488" s="36"/>
      <c r="AY488" s="36"/>
      <c r="AZ488" s="36"/>
      <c r="BA488" s="36"/>
      <c r="BB488" s="36"/>
      <c r="BC488" s="36"/>
      <c r="BD488" s="36"/>
      <c r="BE488" s="36"/>
      <c r="BF488" s="36"/>
      <c r="BG488" s="36"/>
      <c r="BH488" s="36"/>
      <c r="BI488" s="36"/>
      <c r="BJ488" s="36"/>
      <c r="BK488" s="36"/>
      <c r="BL488" s="36"/>
      <c r="BM488" s="36"/>
      <c r="BN488" s="36"/>
      <c r="BO488" s="36"/>
      <c r="BP488" s="36"/>
      <c r="BQ488" s="36"/>
    </row>
    <row r="489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51"/>
      <c r="S489" s="51"/>
      <c r="T489" s="51"/>
      <c r="U489" s="51"/>
      <c r="V489" s="51"/>
      <c r="W489" s="51"/>
      <c r="X489" s="51"/>
      <c r="Y489" s="45"/>
      <c r="Z489" s="45"/>
      <c r="AA489" s="45"/>
      <c r="AB489" s="45"/>
      <c r="AC489" s="45"/>
      <c r="AD489" s="45"/>
      <c r="AE489" s="45"/>
      <c r="AF489" s="45"/>
      <c r="AG489" s="45"/>
      <c r="AH489" s="45"/>
      <c r="AI489" s="45"/>
      <c r="AJ489" s="45"/>
      <c r="AK489" s="45"/>
      <c r="AL489" s="45"/>
      <c r="AM489" s="45"/>
      <c r="AN489" s="45"/>
      <c r="AO489" s="45"/>
      <c r="AP489" s="45"/>
      <c r="AQ489" s="36"/>
      <c r="AR489" s="36"/>
      <c r="AS489" s="36"/>
      <c r="AT489" s="36"/>
      <c r="AU489" s="36"/>
      <c r="AV489" s="36"/>
      <c r="AW489" s="36"/>
      <c r="AX489" s="36"/>
      <c r="AY489" s="36"/>
      <c r="AZ489" s="36"/>
      <c r="BA489" s="36"/>
      <c r="BB489" s="36"/>
      <c r="BC489" s="36"/>
      <c r="BD489" s="36"/>
      <c r="BE489" s="36"/>
      <c r="BF489" s="36"/>
      <c r="BG489" s="36"/>
      <c r="BH489" s="36"/>
      <c r="BI489" s="36"/>
      <c r="BJ489" s="36"/>
      <c r="BK489" s="36"/>
      <c r="BL489" s="36"/>
      <c r="BM489" s="36"/>
      <c r="BN489" s="36"/>
      <c r="BO489" s="36"/>
      <c r="BP489" s="36"/>
      <c r="BQ489" s="36"/>
    </row>
    <row r="490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51"/>
      <c r="S490" s="51"/>
      <c r="T490" s="51"/>
      <c r="U490" s="51"/>
      <c r="V490" s="51"/>
      <c r="W490" s="51"/>
      <c r="X490" s="51"/>
      <c r="Y490" s="45"/>
      <c r="Z490" s="45"/>
      <c r="AA490" s="45"/>
      <c r="AB490" s="45"/>
      <c r="AC490" s="45"/>
      <c r="AD490" s="45"/>
      <c r="AE490" s="45"/>
      <c r="AF490" s="45"/>
      <c r="AG490" s="45"/>
      <c r="AH490" s="45"/>
      <c r="AI490" s="45"/>
      <c r="AJ490" s="45"/>
      <c r="AK490" s="45"/>
      <c r="AL490" s="45"/>
      <c r="AM490" s="45"/>
      <c r="AN490" s="45"/>
      <c r="AO490" s="45"/>
      <c r="AP490" s="45"/>
      <c r="AQ490" s="36"/>
      <c r="AR490" s="36"/>
      <c r="AS490" s="36"/>
      <c r="AT490" s="36"/>
      <c r="AU490" s="36"/>
      <c r="AV490" s="36"/>
      <c r="AW490" s="36"/>
      <c r="AX490" s="36"/>
      <c r="AY490" s="36"/>
      <c r="AZ490" s="36"/>
      <c r="BA490" s="36"/>
      <c r="BB490" s="36"/>
      <c r="BC490" s="36"/>
      <c r="BD490" s="36"/>
      <c r="BE490" s="36"/>
      <c r="BF490" s="36"/>
      <c r="BG490" s="36"/>
      <c r="BH490" s="36"/>
      <c r="BI490" s="36"/>
      <c r="BJ490" s="36"/>
      <c r="BK490" s="36"/>
      <c r="BL490" s="36"/>
      <c r="BM490" s="36"/>
      <c r="BN490" s="36"/>
      <c r="BO490" s="36"/>
      <c r="BP490" s="36"/>
      <c r="BQ490" s="36"/>
    </row>
    <row r="49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51"/>
      <c r="S491" s="51"/>
      <c r="T491" s="51"/>
      <c r="U491" s="51"/>
      <c r="V491" s="51"/>
      <c r="W491" s="51"/>
      <c r="X491" s="51"/>
      <c r="Y491" s="45"/>
      <c r="Z491" s="45"/>
      <c r="AA491" s="45"/>
      <c r="AB491" s="45"/>
      <c r="AC491" s="45"/>
      <c r="AD491" s="45"/>
      <c r="AE491" s="45"/>
      <c r="AF491" s="45"/>
      <c r="AG491" s="45"/>
      <c r="AH491" s="45"/>
      <c r="AI491" s="45"/>
      <c r="AJ491" s="45"/>
      <c r="AK491" s="45"/>
      <c r="AL491" s="45"/>
      <c r="AM491" s="45"/>
      <c r="AN491" s="45"/>
      <c r="AO491" s="45"/>
      <c r="AP491" s="45"/>
      <c r="AQ491" s="36"/>
      <c r="AR491" s="36"/>
      <c r="AS491" s="36"/>
      <c r="AT491" s="36"/>
      <c r="AU491" s="36"/>
      <c r="AV491" s="36"/>
      <c r="AW491" s="36"/>
      <c r="AX491" s="36"/>
      <c r="AY491" s="36"/>
      <c r="AZ491" s="36"/>
      <c r="BA491" s="36"/>
      <c r="BB491" s="36"/>
      <c r="BC491" s="36"/>
      <c r="BD491" s="36"/>
      <c r="BE491" s="36"/>
      <c r="BF491" s="36"/>
      <c r="BG491" s="36"/>
      <c r="BH491" s="36"/>
      <c r="BI491" s="36"/>
      <c r="BJ491" s="36"/>
      <c r="BK491" s="36"/>
      <c r="BL491" s="36"/>
      <c r="BM491" s="36"/>
      <c r="BN491" s="36"/>
      <c r="BO491" s="36"/>
      <c r="BP491" s="36"/>
      <c r="BQ491" s="36"/>
    </row>
    <row r="49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51"/>
      <c r="S492" s="51"/>
      <c r="T492" s="51"/>
      <c r="U492" s="51"/>
      <c r="V492" s="51"/>
      <c r="W492" s="51"/>
      <c r="X492" s="51"/>
      <c r="Y492" s="45"/>
      <c r="Z492" s="45"/>
      <c r="AA492" s="45"/>
      <c r="AB492" s="45"/>
      <c r="AC492" s="45"/>
      <c r="AD492" s="45"/>
      <c r="AE492" s="45"/>
      <c r="AF492" s="45"/>
      <c r="AG492" s="45"/>
      <c r="AH492" s="45"/>
      <c r="AI492" s="45"/>
      <c r="AJ492" s="45"/>
      <c r="AK492" s="45"/>
      <c r="AL492" s="45"/>
      <c r="AM492" s="45"/>
      <c r="AN492" s="45"/>
      <c r="AO492" s="45"/>
      <c r="AP492" s="45"/>
      <c r="AQ492" s="36"/>
      <c r="AR492" s="36"/>
      <c r="AS492" s="36"/>
      <c r="AT492" s="36"/>
      <c r="AU492" s="36"/>
      <c r="AV492" s="36"/>
      <c r="AW492" s="36"/>
      <c r="AX492" s="36"/>
      <c r="AY492" s="36"/>
      <c r="AZ492" s="36"/>
      <c r="BA492" s="36"/>
      <c r="BB492" s="36"/>
      <c r="BC492" s="36"/>
      <c r="BD492" s="36"/>
      <c r="BE492" s="36"/>
      <c r="BF492" s="36"/>
      <c r="BG492" s="36"/>
      <c r="BH492" s="36"/>
      <c r="BI492" s="36"/>
      <c r="BJ492" s="36"/>
      <c r="BK492" s="36"/>
      <c r="BL492" s="36"/>
      <c r="BM492" s="36"/>
      <c r="BN492" s="36"/>
      <c r="BO492" s="36"/>
      <c r="BP492" s="36"/>
      <c r="BQ492" s="36"/>
    </row>
    <row r="493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51"/>
      <c r="S493" s="51"/>
      <c r="T493" s="51"/>
      <c r="U493" s="51"/>
      <c r="V493" s="51"/>
      <c r="W493" s="51"/>
      <c r="X493" s="51"/>
      <c r="Y493" s="45"/>
      <c r="Z493" s="45"/>
      <c r="AA493" s="45"/>
      <c r="AB493" s="45"/>
      <c r="AC493" s="45"/>
      <c r="AD493" s="45"/>
      <c r="AE493" s="45"/>
      <c r="AF493" s="45"/>
      <c r="AG493" s="45"/>
      <c r="AH493" s="45"/>
      <c r="AI493" s="45"/>
      <c r="AJ493" s="45"/>
      <c r="AK493" s="45"/>
      <c r="AL493" s="45"/>
      <c r="AM493" s="45"/>
      <c r="AN493" s="45"/>
      <c r="AO493" s="45"/>
      <c r="AP493" s="45"/>
      <c r="AQ493" s="36"/>
      <c r="AR493" s="36"/>
      <c r="AS493" s="36"/>
      <c r="AT493" s="36"/>
      <c r="AU493" s="36"/>
      <c r="AV493" s="36"/>
      <c r="AW493" s="36"/>
      <c r="AX493" s="36"/>
      <c r="AY493" s="36"/>
      <c r="AZ493" s="36"/>
      <c r="BA493" s="36"/>
      <c r="BB493" s="36"/>
      <c r="BC493" s="36"/>
      <c r="BD493" s="36"/>
      <c r="BE493" s="36"/>
      <c r="BF493" s="36"/>
      <c r="BG493" s="36"/>
      <c r="BH493" s="36"/>
      <c r="BI493" s="36"/>
      <c r="BJ493" s="36"/>
      <c r="BK493" s="36"/>
      <c r="BL493" s="36"/>
      <c r="BM493" s="36"/>
      <c r="BN493" s="36"/>
      <c r="BO493" s="36"/>
      <c r="BP493" s="36"/>
      <c r="BQ493" s="36"/>
    </row>
    <row r="494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51"/>
      <c r="S494" s="51"/>
      <c r="T494" s="51"/>
      <c r="U494" s="51"/>
      <c r="V494" s="51"/>
      <c r="W494" s="51"/>
      <c r="X494" s="51"/>
      <c r="Y494" s="45"/>
      <c r="Z494" s="45"/>
      <c r="AA494" s="45"/>
      <c r="AB494" s="45"/>
      <c r="AC494" s="45"/>
      <c r="AD494" s="45"/>
      <c r="AE494" s="45"/>
      <c r="AF494" s="45"/>
      <c r="AG494" s="45"/>
      <c r="AH494" s="45"/>
      <c r="AI494" s="45"/>
      <c r="AJ494" s="45"/>
      <c r="AK494" s="45"/>
      <c r="AL494" s="45"/>
      <c r="AM494" s="45"/>
      <c r="AN494" s="45"/>
      <c r="AO494" s="45"/>
      <c r="AP494" s="45"/>
      <c r="AQ494" s="36"/>
      <c r="AR494" s="36"/>
      <c r="AS494" s="36"/>
      <c r="AT494" s="36"/>
      <c r="AU494" s="36"/>
      <c r="AV494" s="36"/>
      <c r="AW494" s="36"/>
      <c r="AX494" s="36"/>
      <c r="AY494" s="36"/>
      <c r="AZ494" s="36"/>
      <c r="BA494" s="36"/>
      <c r="BB494" s="36"/>
      <c r="BC494" s="36"/>
      <c r="BD494" s="36"/>
      <c r="BE494" s="36"/>
      <c r="BF494" s="36"/>
      <c r="BG494" s="36"/>
      <c r="BH494" s="36"/>
      <c r="BI494" s="36"/>
      <c r="BJ494" s="36"/>
      <c r="BK494" s="36"/>
      <c r="BL494" s="36"/>
      <c r="BM494" s="36"/>
      <c r="BN494" s="36"/>
      <c r="BO494" s="36"/>
      <c r="BP494" s="36"/>
      <c r="BQ494" s="36"/>
    </row>
    <row r="49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51"/>
      <c r="S495" s="51"/>
      <c r="T495" s="51"/>
      <c r="U495" s="51"/>
      <c r="V495" s="51"/>
      <c r="W495" s="51"/>
      <c r="X495" s="51"/>
      <c r="Y495" s="45"/>
      <c r="Z495" s="45"/>
      <c r="AA495" s="45"/>
      <c r="AB495" s="45"/>
      <c r="AC495" s="45"/>
      <c r="AD495" s="45"/>
      <c r="AE495" s="45"/>
      <c r="AF495" s="45"/>
      <c r="AG495" s="45"/>
      <c r="AH495" s="45"/>
      <c r="AI495" s="45"/>
      <c r="AJ495" s="45"/>
      <c r="AK495" s="45"/>
      <c r="AL495" s="45"/>
      <c r="AM495" s="45"/>
      <c r="AN495" s="45"/>
      <c r="AO495" s="45"/>
      <c r="AP495" s="45"/>
      <c r="AQ495" s="36"/>
      <c r="AR495" s="36"/>
      <c r="AS495" s="36"/>
      <c r="AT495" s="36"/>
      <c r="AU495" s="36"/>
      <c r="AV495" s="36"/>
      <c r="AW495" s="36"/>
      <c r="AX495" s="36"/>
      <c r="AY495" s="36"/>
      <c r="AZ495" s="36"/>
      <c r="BA495" s="36"/>
      <c r="BB495" s="36"/>
      <c r="BC495" s="36"/>
      <c r="BD495" s="36"/>
      <c r="BE495" s="36"/>
      <c r="BF495" s="36"/>
      <c r="BG495" s="36"/>
      <c r="BH495" s="36"/>
      <c r="BI495" s="36"/>
      <c r="BJ495" s="36"/>
      <c r="BK495" s="36"/>
      <c r="BL495" s="36"/>
      <c r="BM495" s="36"/>
      <c r="BN495" s="36"/>
      <c r="BO495" s="36"/>
      <c r="BP495" s="36"/>
      <c r="BQ495" s="36"/>
    </row>
    <row r="496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51"/>
      <c r="S496" s="51"/>
      <c r="T496" s="51"/>
      <c r="U496" s="51"/>
      <c r="V496" s="51"/>
      <c r="W496" s="51"/>
      <c r="X496" s="51"/>
      <c r="Y496" s="45"/>
      <c r="Z496" s="45"/>
      <c r="AA496" s="45"/>
      <c r="AB496" s="45"/>
      <c r="AC496" s="45"/>
      <c r="AD496" s="45"/>
      <c r="AE496" s="45"/>
      <c r="AF496" s="45"/>
      <c r="AG496" s="45"/>
      <c r="AH496" s="45"/>
      <c r="AI496" s="45"/>
      <c r="AJ496" s="45"/>
      <c r="AK496" s="45"/>
      <c r="AL496" s="45"/>
      <c r="AM496" s="45"/>
      <c r="AN496" s="45"/>
      <c r="AO496" s="45"/>
      <c r="AP496" s="45"/>
      <c r="AQ496" s="36"/>
      <c r="AR496" s="36"/>
      <c r="AS496" s="36"/>
      <c r="AT496" s="36"/>
      <c r="AU496" s="36"/>
      <c r="AV496" s="36"/>
      <c r="AW496" s="36"/>
      <c r="AX496" s="36"/>
      <c r="AY496" s="36"/>
      <c r="AZ496" s="36"/>
      <c r="BA496" s="36"/>
      <c r="BB496" s="36"/>
      <c r="BC496" s="36"/>
      <c r="BD496" s="36"/>
      <c r="BE496" s="36"/>
      <c r="BF496" s="36"/>
      <c r="BG496" s="36"/>
      <c r="BH496" s="36"/>
      <c r="BI496" s="36"/>
      <c r="BJ496" s="36"/>
      <c r="BK496" s="36"/>
      <c r="BL496" s="36"/>
      <c r="BM496" s="36"/>
      <c r="BN496" s="36"/>
      <c r="BO496" s="36"/>
      <c r="BP496" s="36"/>
      <c r="BQ496" s="36"/>
    </row>
    <row r="497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51"/>
      <c r="S497" s="51"/>
      <c r="T497" s="51"/>
      <c r="U497" s="51"/>
      <c r="V497" s="51"/>
      <c r="W497" s="51"/>
      <c r="X497" s="51"/>
      <c r="Y497" s="45"/>
      <c r="Z497" s="45"/>
      <c r="AA497" s="45"/>
      <c r="AB497" s="45"/>
      <c r="AC497" s="45"/>
      <c r="AD497" s="45"/>
      <c r="AE497" s="45"/>
      <c r="AF497" s="45"/>
      <c r="AG497" s="45"/>
      <c r="AH497" s="45"/>
      <c r="AI497" s="45"/>
      <c r="AJ497" s="45"/>
      <c r="AK497" s="45"/>
      <c r="AL497" s="45"/>
      <c r="AM497" s="45"/>
      <c r="AN497" s="45"/>
      <c r="AO497" s="45"/>
      <c r="AP497" s="45"/>
      <c r="AQ497" s="36"/>
      <c r="AR497" s="36"/>
      <c r="AS497" s="36"/>
      <c r="AT497" s="36"/>
      <c r="AU497" s="36"/>
      <c r="AV497" s="36"/>
      <c r="AW497" s="36"/>
      <c r="AX497" s="36"/>
      <c r="AY497" s="36"/>
      <c r="AZ497" s="36"/>
      <c r="BA497" s="36"/>
      <c r="BB497" s="36"/>
      <c r="BC497" s="36"/>
      <c r="BD497" s="36"/>
      <c r="BE497" s="36"/>
      <c r="BF497" s="36"/>
      <c r="BG497" s="36"/>
      <c r="BH497" s="36"/>
      <c r="BI497" s="36"/>
      <c r="BJ497" s="36"/>
      <c r="BK497" s="36"/>
      <c r="BL497" s="36"/>
      <c r="BM497" s="36"/>
      <c r="BN497" s="36"/>
      <c r="BO497" s="36"/>
      <c r="BP497" s="36"/>
      <c r="BQ497" s="36"/>
    </row>
    <row r="498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51"/>
      <c r="S498" s="51"/>
      <c r="T498" s="51"/>
      <c r="U498" s="51"/>
      <c r="V498" s="51"/>
      <c r="W498" s="51"/>
      <c r="X498" s="51"/>
      <c r="Y498" s="45"/>
      <c r="Z498" s="45"/>
      <c r="AA498" s="45"/>
      <c r="AB498" s="45"/>
      <c r="AC498" s="45"/>
      <c r="AD498" s="45"/>
      <c r="AE498" s="45"/>
      <c r="AF498" s="45"/>
      <c r="AG498" s="45"/>
      <c r="AH498" s="45"/>
      <c r="AI498" s="45"/>
      <c r="AJ498" s="45"/>
      <c r="AK498" s="45"/>
      <c r="AL498" s="45"/>
      <c r="AM498" s="45"/>
      <c r="AN498" s="45"/>
      <c r="AO498" s="45"/>
      <c r="AP498" s="45"/>
      <c r="AQ498" s="36"/>
      <c r="AR498" s="36"/>
      <c r="AS498" s="36"/>
      <c r="AT498" s="36"/>
      <c r="AU498" s="36"/>
      <c r="AV498" s="36"/>
      <c r="AW498" s="36"/>
      <c r="AX498" s="36"/>
      <c r="AY498" s="36"/>
      <c r="AZ498" s="36"/>
      <c r="BA498" s="36"/>
      <c r="BB498" s="36"/>
      <c r="BC498" s="36"/>
      <c r="BD498" s="36"/>
      <c r="BE498" s="36"/>
      <c r="BF498" s="36"/>
      <c r="BG498" s="36"/>
      <c r="BH498" s="36"/>
      <c r="BI498" s="36"/>
      <c r="BJ498" s="36"/>
      <c r="BK498" s="36"/>
      <c r="BL498" s="36"/>
      <c r="BM498" s="36"/>
      <c r="BN498" s="36"/>
      <c r="BO498" s="36"/>
      <c r="BP498" s="36"/>
      <c r="BQ498" s="36"/>
    </row>
    <row r="499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51"/>
      <c r="S499" s="51"/>
      <c r="T499" s="51"/>
      <c r="U499" s="51"/>
      <c r="V499" s="51"/>
      <c r="W499" s="51"/>
      <c r="X499" s="51"/>
      <c r="Y499" s="45"/>
      <c r="Z499" s="45"/>
      <c r="AA499" s="45"/>
      <c r="AB499" s="45"/>
      <c r="AC499" s="45"/>
      <c r="AD499" s="45"/>
      <c r="AE499" s="45"/>
      <c r="AF499" s="45"/>
      <c r="AG499" s="45"/>
      <c r="AH499" s="45"/>
      <c r="AI499" s="45"/>
      <c r="AJ499" s="45"/>
      <c r="AK499" s="45"/>
      <c r="AL499" s="45"/>
      <c r="AM499" s="45"/>
      <c r="AN499" s="45"/>
      <c r="AO499" s="45"/>
      <c r="AP499" s="45"/>
      <c r="AQ499" s="36"/>
      <c r="AR499" s="36"/>
      <c r="AS499" s="36"/>
      <c r="AT499" s="36"/>
      <c r="AU499" s="36"/>
      <c r="AV499" s="36"/>
      <c r="AW499" s="36"/>
      <c r="AX499" s="36"/>
      <c r="AY499" s="36"/>
      <c r="AZ499" s="36"/>
      <c r="BA499" s="36"/>
      <c r="BB499" s="36"/>
      <c r="BC499" s="36"/>
      <c r="BD499" s="36"/>
      <c r="BE499" s="36"/>
      <c r="BF499" s="36"/>
      <c r="BG499" s="36"/>
      <c r="BH499" s="36"/>
      <c r="BI499" s="36"/>
      <c r="BJ499" s="36"/>
      <c r="BK499" s="36"/>
      <c r="BL499" s="36"/>
      <c r="BM499" s="36"/>
      <c r="BN499" s="36"/>
      <c r="BO499" s="36"/>
      <c r="BP499" s="36"/>
      <c r="BQ499" s="36"/>
    </row>
    <row r="500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51"/>
      <c r="S500" s="51"/>
      <c r="T500" s="51"/>
      <c r="U500" s="51"/>
      <c r="V500" s="51"/>
      <c r="W500" s="51"/>
      <c r="X500" s="51"/>
      <c r="Y500" s="45"/>
      <c r="Z500" s="45"/>
      <c r="AA500" s="45"/>
      <c r="AB500" s="45"/>
      <c r="AC500" s="45"/>
      <c r="AD500" s="45"/>
      <c r="AE500" s="45"/>
      <c r="AF500" s="45"/>
      <c r="AG500" s="45"/>
      <c r="AH500" s="45"/>
      <c r="AI500" s="45"/>
      <c r="AJ500" s="45"/>
      <c r="AK500" s="45"/>
      <c r="AL500" s="45"/>
      <c r="AM500" s="45"/>
      <c r="AN500" s="45"/>
      <c r="AO500" s="45"/>
      <c r="AP500" s="45"/>
      <c r="AQ500" s="36"/>
      <c r="AR500" s="36"/>
      <c r="AS500" s="36"/>
      <c r="AT500" s="36"/>
      <c r="AU500" s="36"/>
      <c r="AV500" s="36"/>
      <c r="AW500" s="36"/>
      <c r="AX500" s="36"/>
      <c r="AY500" s="36"/>
      <c r="AZ500" s="36"/>
      <c r="BA500" s="36"/>
      <c r="BB500" s="36"/>
      <c r="BC500" s="36"/>
      <c r="BD500" s="36"/>
      <c r="BE500" s="36"/>
      <c r="BF500" s="36"/>
      <c r="BG500" s="36"/>
      <c r="BH500" s="36"/>
      <c r="BI500" s="36"/>
      <c r="BJ500" s="36"/>
      <c r="BK500" s="36"/>
      <c r="BL500" s="36"/>
      <c r="BM500" s="36"/>
      <c r="BN500" s="36"/>
      <c r="BO500" s="36"/>
      <c r="BP500" s="36"/>
      <c r="BQ500" s="36"/>
    </row>
    <row r="50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51"/>
      <c r="S501" s="51"/>
      <c r="T501" s="51"/>
      <c r="U501" s="51"/>
      <c r="V501" s="51"/>
      <c r="W501" s="51"/>
      <c r="X501" s="51"/>
      <c r="Y501" s="45"/>
      <c r="Z501" s="45"/>
      <c r="AA501" s="45"/>
      <c r="AB501" s="45"/>
      <c r="AC501" s="45"/>
      <c r="AD501" s="45"/>
      <c r="AE501" s="45"/>
      <c r="AF501" s="45"/>
      <c r="AG501" s="45"/>
      <c r="AH501" s="45"/>
      <c r="AI501" s="45"/>
      <c r="AJ501" s="45"/>
      <c r="AK501" s="45"/>
      <c r="AL501" s="45"/>
      <c r="AM501" s="45"/>
      <c r="AN501" s="45"/>
      <c r="AO501" s="45"/>
      <c r="AP501" s="45"/>
      <c r="AQ501" s="36"/>
      <c r="AR501" s="36"/>
      <c r="AS501" s="36"/>
      <c r="AT501" s="36"/>
      <c r="AU501" s="36"/>
      <c r="AV501" s="36"/>
      <c r="AW501" s="36"/>
      <c r="AX501" s="36"/>
      <c r="AY501" s="36"/>
      <c r="AZ501" s="36"/>
      <c r="BA501" s="36"/>
      <c r="BB501" s="36"/>
      <c r="BC501" s="36"/>
      <c r="BD501" s="36"/>
      <c r="BE501" s="36"/>
      <c r="BF501" s="36"/>
      <c r="BG501" s="36"/>
      <c r="BH501" s="36"/>
      <c r="BI501" s="36"/>
      <c r="BJ501" s="36"/>
      <c r="BK501" s="36"/>
      <c r="BL501" s="36"/>
      <c r="BM501" s="36"/>
      <c r="BN501" s="36"/>
      <c r="BO501" s="36"/>
      <c r="BP501" s="36"/>
      <c r="BQ501" s="36"/>
    </row>
    <row r="502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51"/>
      <c r="S502" s="51"/>
      <c r="T502" s="51"/>
      <c r="U502" s="51"/>
      <c r="V502" s="51"/>
      <c r="W502" s="51"/>
      <c r="X502" s="51"/>
      <c r="Y502" s="45"/>
      <c r="Z502" s="45"/>
      <c r="AA502" s="45"/>
      <c r="AB502" s="45"/>
      <c r="AC502" s="45"/>
      <c r="AD502" s="45"/>
      <c r="AE502" s="45"/>
      <c r="AF502" s="45"/>
      <c r="AG502" s="45"/>
      <c r="AH502" s="45"/>
      <c r="AI502" s="45"/>
      <c r="AJ502" s="45"/>
      <c r="AK502" s="45"/>
      <c r="AL502" s="45"/>
      <c r="AM502" s="45"/>
      <c r="AN502" s="45"/>
      <c r="AO502" s="45"/>
      <c r="AP502" s="45"/>
      <c r="AQ502" s="36"/>
      <c r="AR502" s="36"/>
      <c r="AS502" s="36"/>
      <c r="AT502" s="36"/>
      <c r="AU502" s="36"/>
      <c r="AV502" s="36"/>
      <c r="AW502" s="36"/>
      <c r="AX502" s="36"/>
      <c r="AY502" s="36"/>
      <c r="AZ502" s="36"/>
      <c r="BA502" s="36"/>
      <c r="BB502" s="36"/>
      <c r="BC502" s="36"/>
      <c r="BD502" s="36"/>
      <c r="BE502" s="36"/>
      <c r="BF502" s="36"/>
      <c r="BG502" s="36"/>
      <c r="BH502" s="36"/>
      <c r="BI502" s="36"/>
      <c r="BJ502" s="36"/>
      <c r="BK502" s="36"/>
      <c r="BL502" s="36"/>
      <c r="BM502" s="36"/>
      <c r="BN502" s="36"/>
      <c r="BO502" s="36"/>
      <c r="BP502" s="36"/>
      <c r="BQ502" s="36"/>
    </row>
    <row r="503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51"/>
      <c r="S503" s="51"/>
      <c r="T503" s="51"/>
      <c r="U503" s="51"/>
      <c r="V503" s="51"/>
      <c r="W503" s="51"/>
      <c r="X503" s="51"/>
      <c r="Y503" s="45"/>
      <c r="Z503" s="45"/>
      <c r="AA503" s="45"/>
      <c r="AB503" s="45"/>
      <c r="AC503" s="45"/>
      <c r="AD503" s="45"/>
      <c r="AE503" s="45"/>
      <c r="AF503" s="45"/>
      <c r="AG503" s="45"/>
      <c r="AH503" s="45"/>
      <c r="AI503" s="45"/>
      <c r="AJ503" s="45"/>
      <c r="AK503" s="45"/>
      <c r="AL503" s="45"/>
      <c r="AM503" s="45"/>
      <c r="AN503" s="45"/>
      <c r="AO503" s="45"/>
      <c r="AP503" s="45"/>
      <c r="AQ503" s="36"/>
      <c r="AR503" s="36"/>
      <c r="AS503" s="36"/>
      <c r="AT503" s="36"/>
      <c r="AU503" s="36"/>
      <c r="AV503" s="36"/>
      <c r="AW503" s="36"/>
      <c r="AX503" s="36"/>
      <c r="AY503" s="36"/>
      <c r="AZ503" s="36"/>
      <c r="BA503" s="36"/>
      <c r="BB503" s="36"/>
      <c r="BC503" s="36"/>
      <c r="BD503" s="36"/>
      <c r="BE503" s="36"/>
      <c r="BF503" s="36"/>
      <c r="BG503" s="36"/>
      <c r="BH503" s="36"/>
      <c r="BI503" s="36"/>
      <c r="BJ503" s="36"/>
      <c r="BK503" s="36"/>
      <c r="BL503" s="36"/>
      <c r="BM503" s="36"/>
      <c r="BN503" s="36"/>
      <c r="BO503" s="36"/>
      <c r="BP503" s="36"/>
      <c r="BQ503" s="36"/>
    </row>
    <row r="504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51"/>
      <c r="S504" s="51"/>
      <c r="T504" s="51"/>
      <c r="U504" s="51"/>
      <c r="V504" s="51"/>
      <c r="W504" s="51"/>
      <c r="X504" s="51"/>
      <c r="Y504" s="45"/>
      <c r="Z504" s="45"/>
      <c r="AA504" s="45"/>
      <c r="AB504" s="45"/>
      <c r="AC504" s="45"/>
      <c r="AD504" s="45"/>
      <c r="AE504" s="45"/>
      <c r="AF504" s="45"/>
      <c r="AG504" s="45"/>
      <c r="AH504" s="45"/>
      <c r="AI504" s="45"/>
      <c r="AJ504" s="45"/>
      <c r="AK504" s="45"/>
      <c r="AL504" s="45"/>
      <c r="AM504" s="45"/>
      <c r="AN504" s="45"/>
      <c r="AO504" s="45"/>
      <c r="AP504" s="45"/>
      <c r="AQ504" s="36"/>
      <c r="AR504" s="36"/>
      <c r="AS504" s="36"/>
      <c r="AT504" s="36"/>
      <c r="AU504" s="36"/>
      <c r="AV504" s="36"/>
      <c r="AW504" s="36"/>
      <c r="AX504" s="36"/>
      <c r="AY504" s="36"/>
      <c r="AZ504" s="36"/>
      <c r="BA504" s="36"/>
      <c r="BB504" s="36"/>
      <c r="BC504" s="36"/>
      <c r="BD504" s="36"/>
      <c r="BE504" s="36"/>
      <c r="BF504" s="36"/>
      <c r="BG504" s="36"/>
      <c r="BH504" s="36"/>
      <c r="BI504" s="36"/>
      <c r="BJ504" s="36"/>
      <c r="BK504" s="36"/>
      <c r="BL504" s="36"/>
      <c r="BM504" s="36"/>
      <c r="BN504" s="36"/>
      <c r="BO504" s="36"/>
      <c r="BP504" s="36"/>
      <c r="BQ504" s="36"/>
    </row>
    <row r="50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51"/>
      <c r="S505" s="51"/>
      <c r="T505" s="51"/>
      <c r="U505" s="51"/>
      <c r="V505" s="51"/>
      <c r="W505" s="51"/>
      <c r="X505" s="51"/>
      <c r="Y505" s="45"/>
      <c r="Z505" s="45"/>
      <c r="AA505" s="45"/>
      <c r="AB505" s="45"/>
      <c r="AC505" s="45"/>
      <c r="AD505" s="45"/>
      <c r="AE505" s="45"/>
      <c r="AF505" s="45"/>
      <c r="AG505" s="45"/>
      <c r="AH505" s="45"/>
      <c r="AI505" s="45"/>
      <c r="AJ505" s="45"/>
      <c r="AK505" s="45"/>
      <c r="AL505" s="45"/>
      <c r="AM505" s="45"/>
      <c r="AN505" s="45"/>
      <c r="AO505" s="45"/>
      <c r="AP505" s="45"/>
      <c r="AQ505" s="36"/>
      <c r="AR505" s="36"/>
      <c r="AS505" s="36"/>
      <c r="AT505" s="36"/>
      <c r="AU505" s="36"/>
      <c r="AV505" s="36"/>
      <c r="AW505" s="36"/>
      <c r="AX505" s="36"/>
      <c r="AY505" s="36"/>
      <c r="AZ505" s="36"/>
      <c r="BA505" s="36"/>
      <c r="BB505" s="36"/>
      <c r="BC505" s="36"/>
      <c r="BD505" s="36"/>
      <c r="BE505" s="36"/>
      <c r="BF505" s="36"/>
      <c r="BG505" s="36"/>
      <c r="BH505" s="36"/>
      <c r="BI505" s="36"/>
      <c r="BJ505" s="36"/>
      <c r="BK505" s="36"/>
      <c r="BL505" s="36"/>
      <c r="BM505" s="36"/>
      <c r="BN505" s="36"/>
      <c r="BO505" s="36"/>
      <c r="BP505" s="36"/>
      <c r="BQ505" s="36"/>
    </row>
    <row r="506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51"/>
      <c r="S506" s="51"/>
      <c r="T506" s="51"/>
      <c r="U506" s="51"/>
      <c r="V506" s="51"/>
      <c r="W506" s="51"/>
      <c r="X506" s="51"/>
      <c r="Y506" s="45"/>
      <c r="Z506" s="45"/>
      <c r="AA506" s="45"/>
      <c r="AB506" s="45"/>
      <c r="AC506" s="45"/>
      <c r="AD506" s="45"/>
      <c r="AE506" s="45"/>
      <c r="AF506" s="45"/>
      <c r="AG506" s="45"/>
      <c r="AH506" s="45"/>
      <c r="AI506" s="45"/>
      <c r="AJ506" s="45"/>
      <c r="AK506" s="45"/>
      <c r="AL506" s="45"/>
      <c r="AM506" s="45"/>
      <c r="AN506" s="45"/>
      <c r="AO506" s="45"/>
      <c r="AP506" s="45"/>
      <c r="AQ506" s="36"/>
      <c r="AR506" s="36"/>
      <c r="AS506" s="36"/>
      <c r="AT506" s="36"/>
      <c r="AU506" s="36"/>
      <c r="AV506" s="36"/>
      <c r="AW506" s="36"/>
      <c r="AX506" s="36"/>
      <c r="AY506" s="36"/>
      <c r="AZ506" s="36"/>
      <c r="BA506" s="36"/>
      <c r="BB506" s="36"/>
      <c r="BC506" s="36"/>
      <c r="BD506" s="36"/>
      <c r="BE506" s="36"/>
      <c r="BF506" s="36"/>
      <c r="BG506" s="36"/>
      <c r="BH506" s="36"/>
      <c r="BI506" s="36"/>
      <c r="BJ506" s="36"/>
      <c r="BK506" s="36"/>
      <c r="BL506" s="36"/>
      <c r="BM506" s="36"/>
      <c r="BN506" s="36"/>
      <c r="BO506" s="36"/>
      <c r="BP506" s="36"/>
      <c r="BQ506" s="36"/>
    </row>
    <row r="507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51"/>
      <c r="S507" s="51"/>
      <c r="T507" s="51"/>
      <c r="U507" s="51"/>
      <c r="V507" s="51"/>
      <c r="W507" s="51"/>
      <c r="X507" s="51"/>
      <c r="Y507" s="45"/>
      <c r="Z507" s="45"/>
      <c r="AA507" s="45"/>
      <c r="AB507" s="45"/>
      <c r="AC507" s="45"/>
      <c r="AD507" s="45"/>
      <c r="AE507" s="45"/>
      <c r="AF507" s="45"/>
      <c r="AG507" s="45"/>
      <c r="AH507" s="45"/>
      <c r="AI507" s="45"/>
      <c r="AJ507" s="45"/>
      <c r="AK507" s="45"/>
      <c r="AL507" s="45"/>
      <c r="AM507" s="45"/>
      <c r="AN507" s="45"/>
      <c r="AO507" s="45"/>
      <c r="AP507" s="45"/>
      <c r="AQ507" s="36"/>
      <c r="AR507" s="36"/>
      <c r="AS507" s="36"/>
      <c r="AT507" s="36"/>
      <c r="AU507" s="36"/>
      <c r="AV507" s="36"/>
      <c r="AW507" s="36"/>
      <c r="AX507" s="36"/>
      <c r="AY507" s="36"/>
      <c r="AZ507" s="36"/>
      <c r="BA507" s="36"/>
      <c r="BB507" s="36"/>
      <c r="BC507" s="36"/>
      <c r="BD507" s="36"/>
      <c r="BE507" s="36"/>
      <c r="BF507" s="36"/>
      <c r="BG507" s="36"/>
      <c r="BH507" s="36"/>
      <c r="BI507" s="36"/>
      <c r="BJ507" s="36"/>
      <c r="BK507" s="36"/>
      <c r="BL507" s="36"/>
      <c r="BM507" s="36"/>
      <c r="BN507" s="36"/>
      <c r="BO507" s="36"/>
      <c r="BP507" s="36"/>
      <c r="BQ507" s="36"/>
    </row>
    <row r="508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51"/>
      <c r="S508" s="51"/>
      <c r="T508" s="51"/>
      <c r="U508" s="51"/>
      <c r="V508" s="51"/>
      <c r="W508" s="51"/>
      <c r="X508" s="51"/>
      <c r="Y508" s="45"/>
      <c r="Z508" s="45"/>
      <c r="AA508" s="45"/>
      <c r="AB508" s="45"/>
      <c r="AC508" s="45"/>
      <c r="AD508" s="45"/>
      <c r="AE508" s="45"/>
      <c r="AF508" s="45"/>
      <c r="AG508" s="45"/>
      <c r="AH508" s="45"/>
      <c r="AI508" s="45"/>
      <c r="AJ508" s="45"/>
      <c r="AK508" s="45"/>
      <c r="AL508" s="45"/>
      <c r="AM508" s="45"/>
      <c r="AN508" s="45"/>
      <c r="AO508" s="45"/>
      <c r="AP508" s="45"/>
      <c r="AQ508" s="36"/>
      <c r="AR508" s="36"/>
      <c r="AS508" s="36"/>
      <c r="AT508" s="36"/>
      <c r="AU508" s="36"/>
      <c r="AV508" s="36"/>
      <c r="AW508" s="36"/>
      <c r="AX508" s="36"/>
      <c r="AY508" s="36"/>
      <c r="AZ508" s="36"/>
      <c r="BA508" s="36"/>
      <c r="BB508" s="36"/>
      <c r="BC508" s="36"/>
      <c r="BD508" s="36"/>
      <c r="BE508" s="36"/>
      <c r="BF508" s="36"/>
      <c r="BG508" s="36"/>
      <c r="BH508" s="36"/>
      <c r="BI508" s="36"/>
      <c r="BJ508" s="36"/>
      <c r="BK508" s="36"/>
      <c r="BL508" s="36"/>
      <c r="BM508" s="36"/>
      <c r="BN508" s="36"/>
      <c r="BO508" s="36"/>
      <c r="BP508" s="36"/>
      <c r="BQ508" s="36"/>
    </row>
    <row r="509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51"/>
      <c r="S509" s="51"/>
      <c r="T509" s="51"/>
      <c r="U509" s="51"/>
      <c r="V509" s="51"/>
      <c r="W509" s="51"/>
      <c r="X509" s="51"/>
      <c r="Y509" s="45"/>
      <c r="Z509" s="45"/>
      <c r="AA509" s="45"/>
      <c r="AB509" s="45"/>
      <c r="AC509" s="45"/>
      <c r="AD509" s="45"/>
      <c r="AE509" s="45"/>
      <c r="AF509" s="45"/>
      <c r="AG509" s="45"/>
      <c r="AH509" s="45"/>
      <c r="AI509" s="45"/>
      <c r="AJ509" s="45"/>
      <c r="AK509" s="45"/>
      <c r="AL509" s="45"/>
      <c r="AM509" s="45"/>
      <c r="AN509" s="45"/>
      <c r="AO509" s="45"/>
      <c r="AP509" s="45"/>
      <c r="AQ509" s="36"/>
      <c r="AR509" s="36"/>
      <c r="AS509" s="36"/>
      <c r="AT509" s="36"/>
      <c r="AU509" s="36"/>
      <c r="AV509" s="36"/>
      <c r="AW509" s="36"/>
      <c r="AX509" s="36"/>
      <c r="AY509" s="36"/>
      <c r="AZ509" s="36"/>
      <c r="BA509" s="36"/>
      <c r="BB509" s="36"/>
      <c r="BC509" s="36"/>
      <c r="BD509" s="36"/>
      <c r="BE509" s="36"/>
      <c r="BF509" s="36"/>
      <c r="BG509" s="36"/>
      <c r="BH509" s="36"/>
      <c r="BI509" s="36"/>
      <c r="BJ509" s="36"/>
      <c r="BK509" s="36"/>
      <c r="BL509" s="36"/>
      <c r="BM509" s="36"/>
      <c r="BN509" s="36"/>
      <c r="BO509" s="36"/>
      <c r="BP509" s="36"/>
      <c r="BQ509" s="36"/>
    </row>
    <row r="510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51"/>
      <c r="S510" s="51"/>
      <c r="T510" s="51"/>
      <c r="U510" s="51"/>
      <c r="V510" s="51"/>
      <c r="W510" s="51"/>
      <c r="X510" s="51"/>
      <c r="Y510" s="45"/>
      <c r="Z510" s="45"/>
      <c r="AA510" s="45"/>
      <c r="AB510" s="45"/>
      <c r="AC510" s="45"/>
      <c r="AD510" s="45"/>
      <c r="AE510" s="45"/>
      <c r="AF510" s="45"/>
      <c r="AG510" s="45"/>
      <c r="AH510" s="45"/>
      <c r="AI510" s="45"/>
      <c r="AJ510" s="45"/>
      <c r="AK510" s="45"/>
      <c r="AL510" s="45"/>
      <c r="AM510" s="45"/>
      <c r="AN510" s="45"/>
      <c r="AO510" s="45"/>
      <c r="AP510" s="45"/>
      <c r="AQ510" s="36"/>
      <c r="AR510" s="36"/>
      <c r="AS510" s="36"/>
      <c r="AT510" s="36"/>
      <c r="AU510" s="36"/>
      <c r="AV510" s="36"/>
      <c r="AW510" s="36"/>
      <c r="AX510" s="36"/>
      <c r="AY510" s="36"/>
      <c r="AZ510" s="36"/>
      <c r="BA510" s="36"/>
      <c r="BB510" s="36"/>
      <c r="BC510" s="36"/>
      <c r="BD510" s="36"/>
      <c r="BE510" s="36"/>
      <c r="BF510" s="36"/>
      <c r="BG510" s="36"/>
      <c r="BH510" s="36"/>
      <c r="BI510" s="36"/>
      <c r="BJ510" s="36"/>
      <c r="BK510" s="36"/>
      <c r="BL510" s="36"/>
      <c r="BM510" s="36"/>
      <c r="BN510" s="36"/>
      <c r="BO510" s="36"/>
      <c r="BP510" s="36"/>
      <c r="BQ510" s="36"/>
    </row>
    <row r="51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51"/>
      <c r="S511" s="51"/>
      <c r="T511" s="51"/>
      <c r="U511" s="51"/>
      <c r="V511" s="51"/>
      <c r="W511" s="51"/>
      <c r="X511" s="51"/>
      <c r="Y511" s="45"/>
      <c r="Z511" s="45"/>
      <c r="AA511" s="45"/>
      <c r="AB511" s="45"/>
      <c r="AC511" s="45"/>
      <c r="AD511" s="45"/>
      <c r="AE511" s="45"/>
      <c r="AF511" s="45"/>
      <c r="AG511" s="45"/>
      <c r="AH511" s="45"/>
      <c r="AI511" s="45"/>
      <c r="AJ511" s="45"/>
      <c r="AK511" s="45"/>
      <c r="AL511" s="45"/>
      <c r="AM511" s="45"/>
      <c r="AN511" s="45"/>
      <c r="AO511" s="45"/>
      <c r="AP511" s="45"/>
      <c r="AQ511" s="36"/>
      <c r="AR511" s="36"/>
      <c r="AS511" s="36"/>
      <c r="AT511" s="36"/>
      <c r="AU511" s="36"/>
      <c r="AV511" s="36"/>
      <c r="AW511" s="36"/>
      <c r="AX511" s="36"/>
      <c r="AY511" s="36"/>
      <c r="AZ511" s="36"/>
      <c r="BA511" s="36"/>
      <c r="BB511" s="36"/>
      <c r="BC511" s="36"/>
      <c r="BD511" s="36"/>
      <c r="BE511" s="36"/>
      <c r="BF511" s="36"/>
      <c r="BG511" s="36"/>
      <c r="BH511" s="36"/>
      <c r="BI511" s="36"/>
      <c r="BJ511" s="36"/>
      <c r="BK511" s="36"/>
      <c r="BL511" s="36"/>
      <c r="BM511" s="36"/>
      <c r="BN511" s="36"/>
      <c r="BO511" s="36"/>
      <c r="BP511" s="36"/>
      <c r="BQ511" s="36"/>
    </row>
    <row r="512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51"/>
      <c r="S512" s="51"/>
      <c r="T512" s="51"/>
      <c r="U512" s="51"/>
      <c r="V512" s="51"/>
      <c r="W512" s="51"/>
      <c r="X512" s="51"/>
      <c r="Y512" s="45"/>
      <c r="Z512" s="45"/>
      <c r="AA512" s="45"/>
      <c r="AB512" s="45"/>
      <c r="AC512" s="45"/>
      <c r="AD512" s="45"/>
      <c r="AE512" s="45"/>
      <c r="AF512" s="45"/>
      <c r="AG512" s="45"/>
      <c r="AH512" s="45"/>
      <c r="AI512" s="45"/>
      <c r="AJ512" s="45"/>
      <c r="AK512" s="45"/>
      <c r="AL512" s="45"/>
      <c r="AM512" s="45"/>
      <c r="AN512" s="45"/>
      <c r="AO512" s="45"/>
      <c r="AP512" s="45"/>
      <c r="AQ512" s="36"/>
      <c r="AR512" s="36"/>
      <c r="AS512" s="36"/>
      <c r="AT512" s="36"/>
      <c r="AU512" s="36"/>
      <c r="AV512" s="36"/>
      <c r="AW512" s="36"/>
      <c r="AX512" s="36"/>
      <c r="AY512" s="36"/>
      <c r="AZ512" s="36"/>
      <c r="BA512" s="36"/>
      <c r="BB512" s="36"/>
      <c r="BC512" s="36"/>
      <c r="BD512" s="36"/>
      <c r="BE512" s="36"/>
      <c r="BF512" s="36"/>
      <c r="BG512" s="36"/>
      <c r="BH512" s="36"/>
      <c r="BI512" s="36"/>
      <c r="BJ512" s="36"/>
      <c r="BK512" s="36"/>
      <c r="BL512" s="36"/>
      <c r="BM512" s="36"/>
      <c r="BN512" s="36"/>
      <c r="BO512" s="36"/>
      <c r="BP512" s="36"/>
      <c r="BQ512" s="36"/>
    </row>
    <row r="513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51"/>
      <c r="S513" s="51"/>
      <c r="T513" s="51"/>
      <c r="U513" s="51"/>
      <c r="V513" s="51"/>
      <c r="W513" s="51"/>
      <c r="X513" s="51"/>
      <c r="Y513" s="45"/>
      <c r="Z513" s="45"/>
      <c r="AA513" s="45"/>
      <c r="AB513" s="45"/>
      <c r="AC513" s="45"/>
      <c r="AD513" s="45"/>
      <c r="AE513" s="45"/>
      <c r="AF513" s="45"/>
      <c r="AG513" s="45"/>
      <c r="AH513" s="45"/>
      <c r="AI513" s="45"/>
      <c r="AJ513" s="45"/>
      <c r="AK513" s="45"/>
      <c r="AL513" s="45"/>
      <c r="AM513" s="45"/>
      <c r="AN513" s="45"/>
      <c r="AO513" s="45"/>
      <c r="AP513" s="45"/>
      <c r="AQ513" s="36"/>
      <c r="AR513" s="36"/>
      <c r="AS513" s="36"/>
      <c r="AT513" s="36"/>
      <c r="AU513" s="36"/>
      <c r="AV513" s="36"/>
      <c r="AW513" s="36"/>
      <c r="AX513" s="36"/>
      <c r="AY513" s="36"/>
      <c r="AZ513" s="36"/>
      <c r="BA513" s="36"/>
      <c r="BB513" s="36"/>
      <c r="BC513" s="36"/>
      <c r="BD513" s="36"/>
      <c r="BE513" s="36"/>
      <c r="BF513" s="36"/>
      <c r="BG513" s="36"/>
      <c r="BH513" s="36"/>
      <c r="BI513" s="36"/>
      <c r="BJ513" s="36"/>
      <c r="BK513" s="36"/>
      <c r="BL513" s="36"/>
      <c r="BM513" s="36"/>
      <c r="BN513" s="36"/>
      <c r="BO513" s="36"/>
      <c r="BP513" s="36"/>
      <c r="BQ513" s="36"/>
    </row>
    <row r="514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51"/>
      <c r="S514" s="51"/>
      <c r="T514" s="51"/>
      <c r="U514" s="51"/>
      <c r="V514" s="51"/>
      <c r="W514" s="51"/>
      <c r="X514" s="51"/>
      <c r="Y514" s="45"/>
      <c r="Z514" s="45"/>
      <c r="AA514" s="45"/>
      <c r="AB514" s="45"/>
      <c r="AC514" s="45"/>
      <c r="AD514" s="45"/>
      <c r="AE514" s="45"/>
      <c r="AF514" s="45"/>
      <c r="AG514" s="45"/>
      <c r="AH514" s="45"/>
      <c r="AI514" s="45"/>
      <c r="AJ514" s="45"/>
      <c r="AK514" s="45"/>
      <c r="AL514" s="45"/>
      <c r="AM514" s="45"/>
      <c r="AN514" s="45"/>
      <c r="AO514" s="45"/>
      <c r="AP514" s="45"/>
      <c r="AQ514" s="36"/>
      <c r="AR514" s="36"/>
      <c r="AS514" s="36"/>
      <c r="AT514" s="36"/>
      <c r="AU514" s="36"/>
      <c r="AV514" s="36"/>
      <c r="AW514" s="36"/>
      <c r="AX514" s="36"/>
      <c r="AY514" s="36"/>
      <c r="AZ514" s="36"/>
      <c r="BA514" s="36"/>
      <c r="BB514" s="36"/>
      <c r="BC514" s="36"/>
      <c r="BD514" s="36"/>
      <c r="BE514" s="36"/>
      <c r="BF514" s="36"/>
      <c r="BG514" s="36"/>
      <c r="BH514" s="36"/>
      <c r="BI514" s="36"/>
      <c r="BJ514" s="36"/>
      <c r="BK514" s="36"/>
      <c r="BL514" s="36"/>
      <c r="BM514" s="36"/>
      <c r="BN514" s="36"/>
      <c r="BO514" s="36"/>
      <c r="BP514" s="36"/>
      <c r="BQ514" s="36"/>
    </row>
    <row r="51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51"/>
      <c r="S515" s="51"/>
      <c r="T515" s="51"/>
      <c r="U515" s="51"/>
      <c r="V515" s="51"/>
      <c r="W515" s="51"/>
      <c r="X515" s="51"/>
      <c r="Y515" s="45"/>
      <c r="Z515" s="45"/>
      <c r="AA515" s="45"/>
      <c r="AB515" s="45"/>
      <c r="AC515" s="45"/>
      <c r="AD515" s="45"/>
      <c r="AE515" s="45"/>
      <c r="AF515" s="45"/>
      <c r="AG515" s="45"/>
      <c r="AH515" s="45"/>
      <c r="AI515" s="45"/>
      <c r="AJ515" s="45"/>
      <c r="AK515" s="45"/>
      <c r="AL515" s="45"/>
      <c r="AM515" s="45"/>
      <c r="AN515" s="45"/>
      <c r="AO515" s="45"/>
      <c r="AP515" s="45"/>
      <c r="AQ515" s="36"/>
      <c r="AR515" s="36"/>
      <c r="AS515" s="36"/>
      <c r="AT515" s="36"/>
      <c r="AU515" s="36"/>
      <c r="AV515" s="36"/>
      <c r="AW515" s="36"/>
      <c r="AX515" s="36"/>
      <c r="AY515" s="36"/>
      <c r="AZ515" s="36"/>
      <c r="BA515" s="36"/>
      <c r="BB515" s="36"/>
      <c r="BC515" s="36"/>
      <c r="BD515" s="36"/>
      <c r="BE515" s="36"/>
      <c r="BF515" s="36"/>
      <c r="BG515" s="36"/>
      <c r="BH515" s="36"/>
      <c r="BI515" s="36"/>
      <c r="BJ515" s="36"/>
      <c r="BK515" s="36"/>
      <c r="BL515" s="36"/>
      <c r="BM515" s="36"/>
      <c r="BN515" s="36"/>
      <c r="BO515" s="36"/>
      <c r="BP515" s="36"/>
      <c r="BQ515" s="36"/>
    </row>
    <row r="516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51"/>
      <c r="S516" s="51"/>
      <c r="T516" s="51"/>
      <c r="U516" s="51"/>
      <c r="V516" s="51"/>
      <c r="W516" s="51"/>
      <c r="X516" s="51"/>
      <c r="Y516" s="45"/>
      <c r="Z516" s="45"/>
      <c r="AA516" s="45"/>
      <c r="AB516" s="45"/>
      <c r="AC516" s="45"/>
      <c r="AD516" s="45"/>
      <c r="AE516" s="45"/>
      <c r="AF516" s="45"/>
      <c r="AG516" s="45"/>
      <c r="AH516" s="45"/>
      <c r="AI516" s="45"/>
      <c r="AJ516" s="45"/>
      <c r="AK516" s="45"/>
      <c r="AL516" s="45"/>
      <c r="AM516" s="45"/>
      <c r="AN516" s="45"/>
      <c r="AO516" s="45"/>
      <c r="AP516" s="45"/>
      <c r="AQ516" s="36"/>
      <c r="AR516" s="36"/>
      <c r="AS516" s="36"/>
      <c r="AT516" s="36"/>
      <c r="AU516" s="36"/>
      <c r="AV516" s="36"/>
      <c r="AW516" s="36"/>
      <c r="AX516" s="36"/>
      <c r="AY516" s="36"/>
      <c r="AZ516" s="36"/>
      <c r="BA516" s="36"/>
      <c r="BB516" s="36"/>
      <c r="BC516" s="36"/>
      <c r="BD516" s="36"/>
      <c r="BE516" s="36"/>
      <c r="BF516" s="36"/>
      <c r="BG516" s="36"/>
      <c r="BH516" s="36"/>
      <c r="BI516" s="36"/>
      <c r="BJ516" s="36"/>
      <c r="BK516" s="36"/>
      <c r="BL516" s="36"/>
      <c r="BM516" s="36"/>
      <c r="BN516" s="36"/>
      <c r="BO516" s="36"/>
      <c r="BP516" s="36"/>
      <c r="BQ516" s="36"/>
    </row>
    <row r="517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51"/>
      <c r="S517" s="51"/>
      <c r="T517" s="51"/>
      <c r="U517" s="51"/>
      <c r="V517" s="51"/>
      <c r="W517" s="51"/>
      <c r="X517" s="51"/>
      <c r="Y517" s="45"/>
      <c r="Z517" s="45"/>
      <c r="AA517" s="45"/>
      <c r="AB517" s="45"/>
      <c r="AC517" s="45"/>
      <c r="AD517" s="45"/>
      <c r="AE517" s="45"/>
      <c r="AF517" s="45"/>
      <c r="AG517" s="45"/>
      <c r="AH517" s="45"/>
      <c r="AI517" s="45"/>
      <c r="AJ517" s="45"/>
      <c r="AK517" s="45"/>
      <c r="AL517" s="45"/>
      <c r="AM517" s="45"/>
      <c r="AN517" s="45"/>
      <c r="AO517" s="45"/>
      <c r="AP517" s="45"/>
      <c r="AQ517" s="36"/>
      <c r="AR517" s="36"/>
      <c r="AS517" s="36"/>
      <c r="AT517" s="36"/>
      <c r="AU517" s="36"/>
      <c r="AV517" s="36"/>
      <c r="AW517" s="36"/>
      <c r="AX517" s="36"/>
      <c r="AY517" s="36"/>
      <c r="AZ517" s="36"/>
      <c r="BA517" s="36"/>
      <c r="BB517" s="36"/>
      <c r="BC517" s="36"/>
      <c r="BD517" s="36"/>
      <c r="BE517" s="36"/>
      <c r="BF517" s="36"/>
      <c r="BG517" s="36"/>
      <c r="BH517" s="36"/>
      <c r="BI517" s="36"/>
      <c r="BJ517" s="36"/>
      <c r="BK517" s="36"/>
      <c r="BL517" s="36"/>
      <c r="BM517" s="36"/>
      <c r="BN517" s="36"/>
      <c r="BO517" s="36"/>
      <c r="BP517" s="36"/>
      <c r="BQ517" s="36"/>
    </row>
    <row r="518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51"/>
      <c r="S518" s="51"/>
      <c r="T518" s="51"/>
      <c r="U518" s="51"/>
      <c r="V518" s="51"/>
      <c r="W518" s="51"/>
      <c r="X518" s="51"/>
      <c r="Y518" s="45"/>
      <c r="Z518" s="45"/>
      <c r="AA518" s="45"/>
      <c r="AB518" s="45"/>
      <c r="AC518" s="45"/>
      <c r="AD518" s="45"/>
      <c r="AE518" s="45"/>
      <c r="AF518" s="45"/>
      <c r="AG518" s="45"/>
      <c r="AH518" s="45"/>
      <c r="AI518" s="45"/>
      <c r="AJ518" s="45"/>
      <c r="AK518" s="45"/>
      <c r="AL518" s="45"/>
      <c r="AM518" s="45"/>
      <c r="AN518" s="45"/>
      <c r="AO518" s="45"/>
      <c r="AP518" s="45"/>
      <c r="AQ518" s="36"/>
      <c r="AR518" s="36"/>
      <c r="AS518" s="36"/>
      <c r="AT518" s="36"/>
      <c r="AU518" s="36"/>
      <c r="AV518" s="36"/>
      <c r="AW518" s="36"/>
      <c r="AX518" s="36"/>
      <c r="AY518" s="36"/>
      <c r="AZ518" s="36"/>
      <c r="BA518" s="36"/>
      <c r="BB518" s="36"/>
      <c r="BC518" s="36"/>
      <c r="BD518" s="36"/>
      <c r="BE518" s="36"/>
      <c r="BF518" s="36"/>
      <c r="BG518" s="36"/>
      <c r="BH518" s="36"/>
      <c r="BI518" s="36"/>
      <c r="BJ518" s="36"/>
      <c r="BK518" s="36"/>
      <c r="BL518" s="36"/>
      <c r="BM518" s="36"/>
      <c r="BN518" s="36"/>
      <c r="BO518" s="36"/>
      <c r="BP518" s="36"/>
      <c r="BQ518" s="36"/>
    </row>
    <row r="519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51"/>
      <c r="S519" s="51"/>
      <c r="T519" s="51"/>
      <c r="U519" s="51"/>
      <c r="V519" s="51"/>
      <c r="W519" s="51"/>
      <c r="X519" s="51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5"/>
      <c r="AM519" s="45"/>
      <c r="AN519" s="45"/>
      <c r="AO519" s="45"/>
      <c r="AP519" s="45"/>
      <c r="AQ519" s="36"/>
      <c r="AR519" s="36"/>
      <c r="AS519" s="36"/>
      <c r="AT519" s="36"/>
      <c r="AU519" s="36"/>
      <c r="AV519" s="36"/>
      <c r="AW519" s="36"/>
      <c r="AX519" s="36"/>
      <c r="AY519" s="36"/>
      <c r="AZ519" s="36"/>
      <c r="BA519" s="36"/>
      <c r="BB519" s="36"/>
      <c r="BC519" s="36"/>
      <c r="BD519" s="36"/>
      <c r="BE519" s="36"/>
      <c r="BF519" s="36"/>
      <c r="BG519" s="36"/>
      <c r="BH519" s="36"/>
      <c r="BI519" s="36"/>
      <c r="BJ519" s="36"/>
      <c r="BK519" s="36"/>
      <c r="BL519" s="36"/>
      <c r="BM519" s="36"/>
      <c r="BN519" s="36"/>
      <c r="BO519" s="36"/>
      <c r="BP519" s="36"/>
      <c r="BQ519" s="36"/>
    </row>
    <row r="520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51"/>
      <c r="S520" s="51"/>
      <c r="T520" s="51"/>
      <c r="U520" s="51"/>
      <c r="V520" s="51"/>
      <c r="W520" s="51"/>
      <c r="X520" s="51"/>
      <c r="Y520" s="45"/>
      <c r="Z520" s="45"/>
      <c r="AA520" s="45"/>
      <c r="AB520" s="45"/>
      <c r="AC520" s="45"/>
      <c r="AD520" s="45"/>
      <c r="AE520" s="45"/>
      <c r="AF520" s="45"/>
      <c r="AG520" s="45"/>
      <c r="AH520" s="45"/>
      <c r="AI520" s="45"/>
      <c r="AJ520" s="45"/>
      <c r="AK520" s="45"/>
      <c r="AL520" s="45"/>
      <c r="AM520" s="45"/>
      <c r="AN520" s="45"/>
      <c r="AO520" s="45"/>
      <c r="AP520" s="45"/>
      <c r="AQ520" s="36"/>
      <c r="AR520" s="36"/>
      <c r="AS520" s="36"/>
      <c r="AT520" s="36"/>
      <c r="AU520" s="36"/>
      <c r="AV520" s="36"/>
      <c r="AW520" s="36"/>
      <c r="AX520" s="36"/>
      <c r="AY520" s="36"/>
      <c r="AZ520" s="36"/>
      <c r="BA520" s="36"/>
      <c r="BB520" s="36"/>
      <c r="BC520" s="36"/>
      <c r="BD520" s="36"/>
      <c r="BE520" s="36"/>
      <c r="BF520" s="36"/>
      <c r="BG520" s="36"/>
      <c r="BH520" s="36"/>
      <c r="BI520" s="36"/>
      <c r="BJ520" s="36"/>
      <c r="BK520" s="36"/>
      <c r="BL520" s="36"/>
      <c r="BM520" s="36"/>
      <c r="BN520" s="36"/>
      <c r="BO520" s="36"/>
      <c r="BP520" s="36"/>
      <c r="BQ520" s="36"/>
    </row>
    <row r="52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51"/>
      <c r="S521" s="51"/>
      <c r="T521" s="51"/>
      <c r="U521" s="51"/>
      <c r="V521" s="51"/>
      <c r="W521" s="51"/>
      <c r="X521" s="51"/>
      <c r="Y521" s="45"/>
      <c r="Z521" s="45"/>
      <c r="AA521" s="45"/>
      <c r="AB521" s="45"/>
      <c r="AC521" s="45"/>
      <c r="AD521" s="45"/>
      <c r="AE521" s="45"/>
      <c r="AF521" s="45"/>
      <c r="AG521" s="45"/>
      <c r="AH521" s="45"/>
      <c r="AI521" s="45"/>
      <c r="AJ521" s="45"/>
      <c r="AK521" s="45"/>
      <c r="AL521" s="45"/>
      <c r="AM521" s="45"/>
      <c r="AN521" s="45"/>
      <c r="AO521" s="45"/>
      <c r="AP521" s="45"/>
      <c r="AQ521" s="36"/>
      <c r="AR521" s="36"/>
      <c r="AS521" s="36"/>
      <c r="AT521" s="36"/>
      <c r="AU521" s="36"/>
      <c r="AV521" s="36"/>
      <c r="AW521" s="36"/>
      <c r="AX521" s="36"/>
      <c r="AY521" s="36"/>
      <c r="AZ521" s="36"/>
      <c r="BA521" s="36"/>
      <c r="BB521" s="36"/>
      <c r="BC521" s="36"/>
      <c r="BD521" s="36"/>
      <c r="BE521" s="36"/>
      <c r="BF521" s="36"/>
      <c r="BG521" s="36"/>
      <c r="BH521" s="36"/>
      <c r="BI521" s="36"/>
      <c r="BJ521" s="36"/>
      <c r="BK521" s="36"/>
      <c r="BL521" s="36"/>
      <c r="BM521" s="36"/>
      <c r="BN521" s="36"/>
      <c r="BO521" s="36"/>
      <c r="BP521" s="36"/>
      <c r="BQ521" s="36"/>
    </row>
    <row r="52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51"/>
      <c r="S522" s="51"/>
      <c r="T522" s="51"/>
      <c r="U522" s="51"/>
      <c r="V522" s="51"/>
      <c r="W522" s="51"/>
      <c r="X522" s="51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5"/>
      <c r="AM522" s="45"/>
      <c r="AN522" s="45"/>
      <c r="AO522" s="45"/>
      <c r="AP522" s="45"/>
      <c r="AQ522" s="36"/>
      <c r="AR522" s="36"/>
      <c r="AS522" s="36"/>
      <c r="AT522" s="36"/>
      <c r="AU522" s="36"/>
      <c r="AV522" s="36"/>
      <c r="AW522" s="36"/>
      <c r="AX522" s="36"/>
      <c r="AY522" s="36"/>
      <c r="AZ522" s="36"/>
      <c r="BA522" s="36"/>
      <c r="BB522" s="36"/>
      <c r="BC522" s="36"/>
      <c r="BD522" s="36"/>
      <c r="BE522" s="36"/>
      <c r="BF522" s="36"/>
      <c r="BG522" s="36"/>
      <c r="BH522" s="36"/>
      <c r="BI522" s="36"/>
      <c r="BJ522" s="36"/>
      <c r="BK522" s="36"/>
      <c r="BL522" s="36"/>
      <c r="BM522" s="36"/>
      <c r="BN522" s="36"/>
      <c r="BO522" s="36"/>
      <c r="BP522" s="36"/>
      <c r="BQ522" s="36"/>
    </row>
    <row r="523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51"/>
      <c r="S523" s="51"/>
      <c r="T523" s="51"/>
      <c r="U523" s="51"/>
      <c r="V523" s="51"/>
      <c r="W523" s="51"/>
      <c r="X523" s="51"/>
      <c r="Y523" s="45"/>
      <c r="Z523" s="45"/>
      <c r="AA523" s="45"/>
      <c r="AB523" s="45"/>
      <c r="AC523" s="45"/>
      <c r="AD523" s="45"/>
      <c r="AE523" s="45"/>
      <c r="AF523" s="45"/>
      <c r="AG523" s="45"/>
      <c r="AH523" s="45"/>
      <c r="AI523" s="45"/>
      <c r="AJ523" s="45"/>
      <c r="AK523" s="45"/>
      <c r="AL523" s="45"/>
      <c r="AM523" s="45"/>
      <c r="AN523" s="45"/>
      <c r="AO523" s="45"/>
      <c r="AP523" s="45"/>
      <c r="AQ523" s="36"/>
      <c r="AR523" s="36"/>
      <c r="AS523" s="36"/>
      <c r="AT523" s="36"/>
      <c r="AU523" s="36"/>
      <c r="AV523" s="36"/>
      <c r="AW523" s="36"/>
      <c r="AX523" s="36"/>
      <c r="AY523" s="36"/>
      <c r="AZ523" s="36"/>
      <c r="BA523" s="36"/>
      <c r="BB523" s="36"/>
      <c r="BC523" s="36"/>
      <c r="BD523" s="36"/>
      <c r="BE523" s="36"/>
      <c r="BF523" s="36"/>
      <c r="BG523" s="36"/>
      <c r="BH523" s="36"/>
      <c r="BI523" s="36"/>
      <c r="BJ523" s="36"/>
      <c r="BK523" s="36"/>
      <c r="BL523" s="36"/>
      <c r="BM523" s="36"/>
      <c r="BN523" s="36"/>
      <c r="BO523" s="36"/>
      <c r="BP523" s="36"/>
      <c r="BQ523" s="36"/>
    </row>
    <row r="524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51"/>
      <c r="S524" s="51"/>
      <c r="T524" s="51"/>
      <c r="U524" s="51"/>
      <c r="V524" s="51"/>
      <c r="W524" s="51"/>
      <c r="X524" s="51"/>
      <c r="Y524" s="45"/>
      <c r="Z524" s="45"/>
      <c r="AA524" s="45"/>
      <c r="AB524" s="45"/>
      <c r="AC524" s="45"/>
      <c r="AD524" s="45"/>
      <c r="AE524" s="45"/>
      <c r="AF524" s="45"/>
      <c r="AG524" s="45"/>
      <c r="AH524" s="45"/>
      <c r="AI524" s="45"/>
      <c r="AJ524" s="45"/>
      <c r="AK524" s="45"/>
      <c r="AL524" s="45"/>
      <c r="AM524" s="45"/>
      <c r="AN524" s="45"/>
      <c r="AO524" s="45"/>
      <c r="AP524" s="45"/>
      <c r="AQ524" s="36"/>
      <c r="AR524" s="36"/>
      <c r="AS524" s="36"/>
      <c r="AT524" s="36"/>
      <c r="AU524" s="36"/>
      <c r="AV524" s="36"/>
      <c r="AW524" s="36"/>
      <c r="AX524" s="36"/>
      <c r="AY524" s="36"/>
      <c r="AZ524" s="36"/>
      <c r="BA524" s="36"/>
      <c r="BB524" s="36"/>
      <c r="BC524" s="36"/>
      <c r="BD524" s="36"/>
      <c r="BE524" s="36"/>
      <c r="BF524" s="36"/>
      <c r="BG524" s="36"/>
      <c r="BH524" s="36"/>
      <c r="BI524" s="36"/>
      <c r="BJ524" s="36"/>
      <c r="BK524" s="36"/>
      <c r="BL524" s="36"/>
      <c r="BM524" s="36"/>
      <c r="BN524" s="36"/>
      <c r="BO524" s="36"/>
      <c r="BP524" s="36"/>
      <c r="BQ524" s="36"/>
    </row>
    <row r="5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51"/>
      <c r="S525" s="51"/>
      <c r="T525" s="51"/>
      <c r="U525" s="51"/>
      <c r="V525" s="51"/>
      <c r="W525" s="51"/>
      <c r="X525" s="51"/>
      <c r="Y525" s="45"/>
      <c r="Z525" s="45"/>
      <c r="AA525" s="45"/>
      <c r="AB525" s="45"/>
      <c r="AC525" s="45"/>
      <c r="AD525" s="45"/>
      <c r="AE525" s="45"/>
      <c r="AF525" s="45"/>
      <c r="AG525" s="45"/>
      <c r="AH525" s="45"/>
      <c r="AI525" s="45"/>
      <c r="AJ525" s="45"/>
      <c r="AK525" s="45"/>
      <c r="AL525" s="45"/>
      <c r="AM525" s="45"/>
      <c r="AN525" s="45"/>
      <c r="AO525" s="45"/>
      <c r="AP525" s="45"/>
      <c r="AQ525" s="36"/>
      <c r="AR525" s="36"/>
      <c r="AS525" s="36"/>
      <c r="AT525" s="36"/>
      <c r="AU525" s="36"/>
      <c r="AV525" s="36"/>
      <c r="AW525" s="36"/>
      <c r="AX525" s="36"/>
      <c r="AY525" s="36"/>
      <c r="AZ525" s="36"/>
      <c r="BA525" s="36"/>
      <c r="BB525" s="36"/>
      <c r="BC525" s="36"/>
      <c r="BD525" s="36"/>
      <c r="BE525" s="36"/>
      <c r="BF525" s="36"/>
      <c r="BG525" s="36"/>
      <c r="BH525" s="36"/>
      <c r="BI525" s="36"/>
      <c r="BJ525" s="36"/>
      <c r="BK525" s="36"/>
      <c r="BL525" s="36"/>
      <c r="BM525" s="36"/>
      <c r="BN525" s="36"/>
      <c r="BO525" s="36"/>
      <c r="BP525" s="36"/>
      <c r="BQ525" s="36"/>
    </row>
    <row r="526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51"/>
      <c r="S526" s="51"/>
      <c r="T526" s="51"/>
      <c r="U526" s="51"/>
      <c r="V526" s="51"/>
      <c r="W526" s="51"/>
      <c r="X526" s="51"/>
      <c r="Y526" s="45"/>
      <c r="Z526" s="45"/>
      <c r="AA526" s="45"/>
      <c r="AB526" s="45"/>
      <c r="AC526" s="45"/>
      <c r="AD526" s="45"/>
      <c r="AE526" s="45"/>
      <c r="AF526" s="45"/>
      <c r="AG526" s="45"/>
      <c r="AH526" s="45"/>
      <c r="AI526" s="45"/>
      <c r="AJ526" s="45"/>
      <c r="AK526" s="45"/>
      <c r="AL526" s="45"/>
      <c r="AM526" s="45"/>
      <c r="AN526" s="45"/>
      <c r="AO526" s="45"/>
      <c r="AP526" s="45"/>
      <c r="AQ526" s="36"/>
      <c r="AR526" s="36"/>
      <c r="AS526" s="36"/>
      <c r="AT526" s="36"/>
      <c r="AU526" s="36"/>
      <c r="AV526" s="36"/>
      <c r="AW526" s="36"/>
      <c r="AX526" s="36"/>
      <c r="AY526" s="36"/>
      <c r="AZ526" s="36"/>
      <c r="BA526" s="36"/>
      <c r="BB526" s="36"/>
      <c r="BC526" s="36"/>
      <c r="BD526" s="36"/>
      <c r="BE526" s="36"/>
      <c r="BF526" s="36"/>
      <c r="BG526" s="36"/>
      <c r="BH526" s="36"/>
      <c r="BI526" s="36"/>
      <c r="BJ526" s="36"/>
      <c r="BK526" s="36"/>
      <c r="BL526" s="36"/>
      <c r="BM526" s="36"/>
      <c r="BN526" s="36"/>
      <c r="BO526" s="36"/>
      <c r="BP526" s="36"/>
      <c r="BQ526" s="36"/>
    </row>
    <row r="527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51"/>
      <c r="S527" s="51"/>
      <c r="T527" s="51"/>
      <c r="U527" s="51"/>
      <c r="V527" s="51"/>
      <c r="W527" s="51"/>
      <c r="X527" s="51"/>
      <c r="Y527" s="45"/>
      <c r="Z527" s="45"/>
      <c r="AA527" s="45"/>
      <c r="AB527" s="45"/>
      <c r="AC527" s="45"/>
      <c r="AD527" s="45"/>
      <c r="AE527" s="45"/>
      <c r="AF527" s="45"/>
      <c r="AG527" s="45"/>
      <c r="AH527" s="45"/>
      <c r="AI527" s="45"/>
      <c r="AJ527" s="45"/>
      <c r="AK527" s="45"/>
      <c r="AL527" s="45"/>
      <c r="AM527" s="45"/>
      <c r="AN527" s="45"/>
      <c r="AO527" s="45"/>
      <c r="AP527" s="45"/>
      <c r="AQ527" s="36"/>
      <c r="AR527" s="36"/>
      <c r="AS527" s="36"/>
      <c r="AT527" s="36"/>
      <c r="AU527" s="36"/>
      <c r="AV527" s="36"/>
      <c r="AW527" s="36"/>
      <c r="AX527" s="36"/>
      <c r="AY527" s="36"/>
      <c r="AZ527" s="36"/>
      <c r="BA527" s="36"/>
      <c r="BB527" s="36"/>
      <c r="BC527" s="36"/>
      <c r="BD527" s="36"/>
      <c r="BE527" s="36"/>
      <c r="BF527" s="36"/>
      <c r="BG527" s="36"/>
      <c r="BH527" s="36"/>
      <c r="BI527" s="36"/>
      <c r="BJ527" s="36"/>
      <c r="BK527" s="36"/>
      <c r="BL527" s="36"/>
      <c r="BM527" s="36"/>
      <c r="BN527" s="36"/>
      <c r="BO527" s="36"/>
      <c r="BP527" s="36"/>
      <c r="BQ527" s="36"/>
    </row>
    <row r="528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51"/>
      <c r="S528" s="51"/>
      <c r="T528" s="51"/>
      <c r="U528" s="51"/>
      <c r="V528" s="51"/>
      <c r="W528" s="51"/>
      <c r="X528" s="51"/>
      <c r="Y528" s="45"/>
      <c r="Z528" s="45"/>
      <c r="AA528" s="45"/>
      <c r="AB528" s="45"/>
      <c r="AC528" s="45"/>
      <c r="AD528" s="45"/>
      <c r="AE528" s="45"/>
      <c r="AF528" s="45"/>
      <c r="AG528" s="45"/>
      <c r="AH528" s="45"/>
      <c r="AI528" s="45"/>
      <c r="AJ528" s="45"/>
      <c r="AK528" s="45"/>
      <c r="AL528" s="45"/>
      <c r="AM528" s="45"/>
      <c r="AN528" s="45"/>
      <c r="AO528" s="45"/>
      <c r="AP528" s="45"/>
      <c r="AQ528" s="36"/>
      <c r="AR528" s="36"/>
      <c r="AS528" s="36"/>
      <c r="AT528" s="36"/>
      <c r="AU528" s="36"/>
      <c r="AV528" s="36"/>
      <c r="AW528" s="36"/>
      <c r="AX528" s="36"/>
      <c r="AY528" s="36"/>
      <c r="AZ528" s="36"/>
      <c r="BA528" s="36"/>
      <c r="BB528" s="36"/>
      <c r="BC528" s="36"/>
      <c r="BD528" s="36"/>
      <c r="BE528" s="36"/>
      <c r="BF528" s="36"/>
      <c r="BG528" s="36"/>
      <c r="BH528" s="36"/>
      <c r="BI528" s="36"/>
      <c r="BJ528" s="36"/>
      <c r="BK528" s="36"/>
      <c r="BL528" s="36"/>
      <c r="BM528" s="36"/>
      <c r="BN528" s="36"/>
      <c r="BO528" s="36"/>
      <c r="BP528" s="36"/>
      <c r="BQ528" s="36"/>
    </row>
    <row r="529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51"/>
      <c r="S529" s="51"/>
      <c r="T529" s="51"/>
      <c r="U529" s="51"/>
      <c r="V529" s="51"/>
      <c r="W529" s="51"/>
      <c r="X529" s="51"/>
      <c r="Y529" s="45"/>
      <c r="Z529" s="45"/>
      <c r="AA529" s="45"/>
      <c r="AB529" s="45"/>
      <c r="AC529" s="45"/>
      <c r="AD529" s="45"/>
      <c r="AE529" s="45"/>
      <c r="AF529" s="45"/>
      <c r="AG529" s="45"/>
      <c r="AH529" s="45"/>
      <c r="AI529" s="45"/>
      <c r="AJ529" s="45"/>
      <c r="AK529" s="45"/>
      <c r="AL529" s="45"/>
      <c r="AM529" s="45"/>
      <c r="AN529" s="45"/>
      <c r="AO529" s="45"/>
      <c r="AP529" s="45"/>
      <c r="AQ529" s="36"/>
      <c r="AR529" s="36"/>
      <c r="AS529" s="36"/>
      <c r="AT529" s="36"/>
      <c r="AU529" s="36"/>
      <c r="AV529" s="36"/>
      <c r="AW529" s="36"/>
      <c r="AX529" s="36"/>
      <c r="AY529" s="36"/>
      <c r="AZ529" s="36"/>
      <c r="BA529" s="36"/>
      <c r="BB529" s="36"/>
      <c r="BC529" s="36"/>
      <c r="BD529" s="36"/>
      <c r="BE529" s="36"/>
      <c r="BF529" s="36"/>
      <c r="BG529" s="36"/>
      <c r="BH529" s="36"/>
      <c r="BI529" s="36"/>
      <c r="BJ529" s="36"/>
      <c r="BK529" s="36"/>
      <c r="BL529" s="36"/>
      <c r="BM529" s="36"/>
      <c r="BN529" s="36"/>
      <c r="BO529" s="36"/>
      <c r="BP529" s="36"/>
      <c r="BQ529" s="36"/>
    </row>
    <row r="530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51"/>
      <c r="S530" s="51"/>
      <c r="T530" s="51"/>
      <c r="U530" s="51"/>
      <c r="V530" s="51"/>
      <c r="W530" s="51"/>
      <c r="X530" s="51"/>
      <c r="Y530" s="45"/>
      <c r="Z530" s="45"/>
      <c r="AA530" s="45"/>
      <c r="AB530" s="45"/>
      <c r="AC530" s="45"/>
      <c r="AD530" s="45"/>
      <c r="AE530" s="45"/>
      <c r="AF530" s="45"/>
      <c r="AG530" s="45"/>
      <c r="AH530" s="45"/>
      <c r="AI530" s="45"/>
      <c r="AJ530" s="45"/>
      <c r="AK530" s="45"/>
      <c r="AL530" s="45"/>
      <c r="AM530" s="45"/>
      <c r="AN530" s="45"/>
      <c r="AO530" s="45"/>
      <c r="AP530" s="45"/>
      <c r="AQ530" s="36"/>
      <c r="AR530" s="36"/>
      <c r="AS530" s="36"/>
      <c r="AT530" s="36"/>
      <c r="AU530" s="36"/>
      <c r="AV530" s="36"/>
      <c r="AW530" s="36"/>
      <c r="AX530" s="36"/>
      <c r="AY530" s="36"/>
      <c r="AZ530" s="36"/>
      <c r="BA530" s="36"/>
      <c r="BB530" s="36"/>
      <c r="BC530" s="36"/>
      <c r="BD530" s="36"/>
      <c r="BE530" s="36"/>
      <c r="BF530" s="36"/>
      <c r="BG530" s="36"/>
      <c r="BH530" s="36"/>
      <c r="BI530" s="36"/>
      <c r="BJ530" s="36"/>
      <c r="BK530" s="36"/>
      <c r="BL530" s="36"/>
      <c r="BM530" s="36"/>
      <c r="BN530" s="36"/>
      <c r="BO530" s="36"/>
      <c r="BP530" s="36"/>
      <c r="BQ530" s="36"/>
    </row>
    <row r="53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51"/>
      <c r="S531" s="51"/>
      <c r="T531" s="51"/>
      <c r="U531" s="51"/>
      <c r="V531" s="51"/>
      <c r="W531" s="51"/>
      <c r="X531" s="51"/>
      <c r="Y531" s="45"/>
      <c r="Z531" s="45"/>
      <c r="AA531" s="45"/>
      <c r="AB531" s="45"/>
      <c r="AC531" s="45"/>
      <c r="AD531" s="45"/>
      <c r="AE531" s="45"/>
      <c r="AF531" s="45"/>
      <c r="AG531" s="45"/>
      <c r="AH531" s="45"/>
      <c r="AI531" s="45"/>
      <c r="AJ531" s="45"/>
      <c r="AK531" s="45"/>
      <c r="AL531" s="45"/>
      <c r="AM531" s="45"/>
      <c r="AN531" s="45"/>
      <c r="AO531" s="45"/>
      <c r="AP531" s="45"/>
      <c r="AQ531" s="36"/>
      <c r="AR531" s="36"/>
      <c r="AS531" s="36"/>
      <c r="AT531" s="36"/>
      <c r="AU531" s="36"/>
      <c r="AV531" s="36"/>
      <c r="AW531" s="36"/>
      <c r="AX531" s="36"/>
      <c r="AY531" s="36"/>
      <c r="AZ531" s="36"/>
      <c r="BA531" s="36"/>
      <c r="BB531" s="36"/>
      <c r="BC531" s="36"/>
      <c r="BD531" s="36"/>
      <c r="BE531" s="36"/>
      <c r="BF531" s="36"/>
      <c r="BG531" s="36"/>
      <c r="BH531" s="36"/>
      <c r="BI531" s="36"/>
      <c r="BJ531" s="36"/>
      <c r="BK531" s="36"/>
      <c r="BL531" s="36"/>
      <c r="BM531" s="36"/>
      <c r="BN531" s="36"/>
      <c r="BO531" s="36"/>
      <c r="BP531" s="36"/>
      <c r="BQ531" s="36"/>
    </row>
    <row r="53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51"/>
      <c r="S532" s="51"/>
      <c r="T532" s="51"/>
      <c r="U532" s="51"/>
      <c r="V532" s="51"/>
      <c r="W532" s="51"/>
      <c r="X532" s="51"/>
      <c r="Y532" s="45"/>
      <c r="Z532" s="45"/>
      <c r="AA532" s="45"/>
      <c r="AB532" s="45"/>
      <c r="AC532" s="45"/>
      <c r="AD532" s="45"/>
      <c r="AE532" s="45"/>
      <c r="AF532" s="45"/>
      <c r="AG532" s="45"/>
      <c r="AH532" s="45"/>
      <c r="AI532" s="45"/>
      <c r="AJ532" s="45"/>
      <c r="AK532" s="45"/>
      <c r="AL532" s="45"/>
      <c r="AM532" s="45"/>
      <c r="AN532" s="45"/>
      <c r="AO532" s="45"/>
      <c r="AP532" s="45"/>
      <c r="AQ532" s="36"/>
      <c r="AR532" s="36"/>
      <c r="AS532" s="36"/>
      <c r="AT532" s="36"/>
      <c r="AU532" s="36"/>
      <c r="AV532" s="36"/>
      <c r="AW532" s="36"/>
      <c r="AX532" s="36"/>
      <c r="AY532" s="36"/>
      <c r="AZ532" s="36"/>
      <c r="BA532" s="36"/>
      <c r="BB532" s="36"/>
      <c r="BC532" s="36"/>
      <c r="BD532" s="36"/>
      <c r="BE532" s="36"/>
      <c r="BF532" s="36"/>
      <c r="BG532" s="36"/>
      <c r="BH532" s="36"/>
      <c r="BI532" s="36"/>
      <c r="BJ532" s="36"/>
      <c r="BK532" s="36"/>
      <c r="BL532" s="36"/>
      <c r="BM532" s="36"/>
      <c r="BN532" s="36"/>
      <c r="BO532" s="36"/>
      <c r="BP532" s="36"/>
      <c r="BQ532" s="36"/>
    </row>
    <row r="533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51"/>
      <c r="S533" s="51"/>
      <c r="T533" s="51"/>
      <c r="U533" s="51"/>
      <c r="V533" s="51"/>
      <c r="W533" s="51"/>
      <c r="X533" s="51"/>
      <c r="Y533" s="45"/>
      <c r="Z533" s="45"/>
      <c r="AA533" s="45"/>
      <c r="AB533" s="45"/>
      <c r="AC533" s="45"/>
      <c r="AD533" s="45"/>
      <c r="AE533" s="45"/>
      <c r="AF533" s="45"/>
      <c r="AG533" s="45"/>
      <c r="AH533" s="45"/>
      <c r="AI533" s="45"/>
      <c r="AJ533" s="45"/>
      <c r="AK533" s="45"/>
      <c r="AL533" s="45"/>
      <c r="AM533" s="45"/>
      <c r="AN533" s="45"/>
      <c r="AO533" s="45"/>
      <c r="AP533" s="45"/>
      <c r="AQ533" s="36"/>
      <c r="AR533" s="36"/>
      <c r="AS533" s="36"/>
      <c r="AT533" s="36"/>
      <c r="AU533" s="36"/>
      <c r="AV533" s="36"/>
      <c r="AW533" s="36"/>
      <c r="AX533" s="36"/>
      <c r="AY533" s="36"/>
      <c r="AZ533" s="36"/>
      <c r="BA533" s="36"/>
      <c r="BB533" s="36"/>
      <c r="BC533" s="36"/>
      <c r="BD533" s="36"/>
      <c r="BE533" s="36"/>
      <c r="BF533" s="36"/>
      <c r="BG533" s="36"/>
      <c r="BH533" s="36"/>
      <c r="BI533" s="36"/>
      <c r="BJ533" s="36"/>
      <c r="BK533" s="36"/>
      <c r="BL533" s="36"/>
      <c r="BM533" s="36"/>
      <c r="BN533" s="36"/>
      <c r="BO533" s="36"/>
      <c r="BP533" s="36"/>
      <c r="BQ533" s="36"/>
    </row>
    <row r="534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51"/>
      <c r="S534" s="51"/>
      <c r="T534" s="51"/>
      <c r="U534" s="51"/>
      <c r="V534" s="51"/>
      <c r="W534" s="51"/>
      <c r="X534" s="51"/>
      <c r="Y534" s="45"/>
      <c r="Z534" s="45"/>
      <c r="AA534" s="45"/>
      <c r="AB534" s="45"/>
      <c r="AC534" s="45"/>
      <c r="AD534" s="45"/>
      <c r="AE534" s="45"/>
      <c r="AF534" s="45"/>
      <c r="AG534" s="45"/>
      <c r="AH534" s="45"/>
      <c r="AI534" s="45"/>
      <c r="AJ534" s="45"/>
      <c r="AK534" s="45"/>
      <c r="AL534" s="45"/>
      <c r="AM534" s="45"/>
      <c r="AN534" s="45"/>
      <c r="AO534" s="45"/>
      <c r="AP534" s="45"/>
      <c r="AQ534" s="36"/>
      <c r="AR534" s="36"/>
      <c r="AS534" s="36"/>
      <c r="AT534" s="36"/>
      <c r="AU534" s="36"/>
      <c r="AV534" s="36"/>
      <c r="AW534" s="36"/>
      <c r="AX534" s="36"/>
      <c r="AY534" s="36"/>
      <c r="AZ534" s="36"/>
      <c r="BA534" s="36"/>
      <c r="BB534" s="36"/>
      <c r="BC534" s="36"/>
      <c r="BD534" s="36"/>
      <c r="BE534" s="36"/>
      <c r="BF534" s="36"/>
      <c r="BG534" s="36"/>
      <c r="BH534" s="36"/>
      <c r="BI534" s="36"/>
      <c r="BJ534" s="36"/>
      <c r="BK534" s="36"/>
      <c r="BL534" s="36"/>
      <c r="BM534" s="36"/>
      <c r="BN534" s="36"/>
      <c r="BO534" s="36"/>
      <c r="BP534" s="36"/>
      <c r="BQ534" s="36"/>
    </row>
    <row r="5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51"/>
      <c r="S535" s="51"/>
      <c r="T535" s="51"/>
      <c r="U535" s="51"/>
      <c r="V535" s="51"/>
      <c r="W535" s="51"/>
      <c r="X535" s="51"/>
      <c r="Y535" s="45"/>
      <c r="Z535" s="45"/>
      <c r="AA535" s="45"/>
      <c r="AB535" s="45"/>
      <c r="AC535" s="45"/>
      <c r="AD535" s="45"/>
      <c r="AE535" s="45"/>
      <c r="AF535" s="45"/>
      <c r="AG535" s="45"/>
      <c r="AH535" s="45"/>
      <c r="AI535" s="45"/>
      <c r="AJ535" s="45"/>
      <c r="AK535" s="45"/>
      <c r="AL535" s="45"/>
      <c r="AM535" s="45"/>
      <c r="AN535" s="45"/>
      <c r="AO535" s="45"/>
      <c r="AP535" s="45"/>
      <c r="AQ535" s="36"/>
      <c r="AR535" s="36"/>
      <c r="AS535" s="36"/>
      <c r="AT535" s="36"/>
      <c r="AU535" s="36"/>
      <c r="AV535" s="36"/>
      <c r="AW535" s="36"/>
      <c r="AX535" s="36"/>
      <c r="AY535" s="36"/>
      <c r="AZ535" s="36"/>
      <c r="BA535" s="36"/>
      <c r="BB535" s="36"/>
      <c r="BC535" s="36"/>
      <c r="BD535" s="36"/>
      <c r="BE535" s="36"/>
      <c r="BF535" s="36"/>
      <c r="BG535" s="36"/>
      <c r="BH535" s="36"/>
      <c r="BI535" s="36"/>
      <c r="BJ535" s="36"/>
      <c r="BK535" s="36"/>
      <c r="BL535" s="36"/>
      <c r="BM535" s="36"/>
      <c r="BN535" s="36"/>
      <c r="BO535" s="36"/>
      <c r="BP535" s="36"/>
      <c r="BQ535" s="36"/>
    </row>
    <row r="536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51"/>
      <c r="S536" s="51"/>
      <c r="T536" s="51"/>
      <c r="U536" s="51"/>
      <c r="V536" s="51"/>
      <c r="W536" s="51"/>
      <c r="X536" s="51"/>
      <c r="Y536" s="45"/>
      <c r="Z536" s="45"/>
      <c r="AA536" s="45"/>
      <c r="AB536" s="45"/>
      <c r="AC536" s="45"/>
      <c r="AD536" s="45"/>
      <c r="AE536" s="45"/>
      <c r="AF536" s="45"/>
      <c r="AG536" s="45"/>
      <c r="AH536" s="45"/>
      <c r="AI536" s="45"/>
      <c r="AJ536" s="45"/>
      <c r="AK536" s="45"/>
      <c r="AL536" s="45"/>
      <c r="AM536" s="45"/>
      <c r="AN536" s="45"/>
      <c r="AO536" s="45"/>
      <c r="AP536" s="45"/>
      <c r="AQ536" s="36"/>
      <c r="AR536" s="36"/>
      <c r="AS536" s="36"/>
      <c r="AT536" s="36"/>
      <c r="AU536" s="36"/>
      <c r="AV536" s="36"/>
      <c r="AW536" s="36"/>
      <c r="AX536" s="36"/>
      <c r="AY536" s="36"/>
      <c r="AZ536" s="36"/>
      <c r="BA536" s="36"/>
      <c r="BB536" s="36"/>
      <c r="BC536" s="36"/>
      <c r="BD536" s="36"/>
      <c r="BE536" s="36"/>
      <c r="BF536" s="36"/>
      <c r="BG536" s="36"/>
      <c r="BH536" s="36"/>
      <c r="BI536" s="36"/>
      <c r="BJ536" s="36"/>
      <c r="BK536" s="36"/>
      <c r="BL536" s="36"/>
      <c r="BM536" s="36"/>
      <c r="BN536" s="36"/>
      <c r="BO536" s="36"/>
      <c r="BP536" s="36"/>
      <c r="BQ536" s="36"/>
    </row>
    <row r="537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51"/>
      <c r="S537" s="51"/>
      <c r="T537" s="51"/>
      <c r="U537" s="51"/>
      <c r="V537" s="51"/>
      <c r="W537" s="51"/>
      <c r="X537" s="51"/>
      <c r="Y537" s="45"/>
      <c r="Z537" s="45"/>
      <c r="AA537" s="45"/>
      <c r="AB537" s="45"/>
      <c r="AC537" s="45"/>
      <c r="AD537" s="45"/>
      <c r="AE537" s="45"/>
      <c r="AF537" s="45"/>
      <c r="AG537" s="45"/>
      <c r="AH537" s="45"/>
      <c r="AI537" s="45"/>
      <c r="AJ537" s="45"/>
      <c r="AK537" s="45"/>
      <c r="AL537" s="45"/>
      <c r="AM537" s="45"/>
      <c r="AN537" s="45"/>
      <c r="AO537" s="45"/>
      <c r="AP537" s="45"/>
      <c r="AQ537" s="36"/>
      <c r="AR537" s="36"/>
      <c r="AS537" s="36"/>
      <c r="AT537" s="36"/>
      <c r="AU537" s="36"/>
      <c r="AV537" s="36"/>
      <c r="AW537" s="36"/>
      <c r="AX537" s="36"/>
      <c r="AY537" s="36"/>
      <c r="AZ537" s="36"/>
      <c r="BA537" s="36"/>
      <c r="BB537" s="36"/>
      <c r="BC537" s="36"/>
      <c r="BD537" s="36"/>
      <c r="BE537" s="36"/>
      <c r="BF537" s="36"/>
      <c r="BG537" s="36"/>
      <c r="BH537" s="36"/>
      <c r="BI537" s="36"/>
      <c r="BJ537" s="36"/>
      <c r="BK537" s="36"/>
      <c r="BL537" s="36"/>
      <c r="BM537" s="36"/>
      <c r="BN537" s="36"/>
      <c r="BO537" s="36"/>
      <c r="BP537" s="36"/>
      <c r="BQ537" s="36"/>
    </row>
    <row r="538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51"/>
      <c r="S538" s="51"/>
      <c r="T538" s="51"/>
      <c r="U538" s="51"/>
      <c r="V538" s="51"/>
      <c r="W538" s="51"/>
      <c r="X538" s="51"/>
      <c r="Y538" s="45"/>
      <c r="Z538" s="45"/>
      <c r="AA538" s="45"/>
      <c r="AB538" s="45"/>
      <c r="AC538" s="45"/>
      <c r="AD538" s="45"/>
      <c r="AE538" s="45"/>
      <c r="AF538" s="45"/>
      <c r="AG538" s="45"/>
      <c r="AH538" s="45"/>
      <c r="AI538" s="45"/>
      <c r="AJ538" s="45"/>
      <c r="AK538" s="45"/>
      <c r="AL538" s="45"/>
      <c r="AM538" s="45"/>
      <c r="AN538" s="45"/>
      <c r="AO538" s="45"/>
      <c r="AP538" s="45"/>
      <c r="AQ538" s="36"/>
      <c r="AR538" s="36"/>
      <c r="AS538" s="36"/>
      <c r="AT538" s="36"/>
      <c r="AU538" s="36"/>
      <c r="AV538" s="36"/>
      <c r="AW538" s="36"/>
      <c r="AX538" s="36"/>
      <c r="AY538" s="36"/>
      <c r="AZ538" s="36"/>
      <c r="BA538" s="36"/>
      <c r="BB538" s="36"/>
      <c r="BC538" s="36"/>
      <c r="BD538" s="36"/>
      <c r="BE538" s="36"/>
      <c r="BF538" s="36"/>
      <c r="BG538" s="36"/>
      <c r="BH538" s="36"/>
      <c r="BI538" s="36"/>
      <c r="BJ538" s="36"/>
      <c r="BK538" s="36"/>
      <c r="BL538" s="36"/>
      <c r="BM538" s="36"/>
      <c r="BN538" s="36"/>
      <c r="BO538" s="36"/>
      <c r="BP538" s="36"/>
      <c r="BQ538" s="36"/>
    </row>
    <row r="539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51"/>
      <c r="S539" s="51"/>
      <c r="T539" s="51"/>
      <c r="U539" s="51"/>
      <c r="V539" s="51"/>
      <c r="W539" s="51"/>
      <c r="X539" s="51"/>
      <c r="Y539" s="45"/>
      <c r="Z539" s="45"/>
      <c r="AA539" s="45"/>
      <c r="AB539" s="45"/>
      <c r="AC539" s="45"/>
      <c r="AD539" s="45"/>
      <c r="AE539" s="45"/>
      <c r="AF539" s="45"/>
      <c r="AG539" s="45"/>
      <c r="AH539" s="45"/>
      <c r="AI539" s="45"/>
      <c r="AJ539" s="45"/>
      <c r="AK539" s="45"/>
      <c r="AL539" s="45"/>
      <c r="AM539" s="45"/>
      <c r="AN539" s="45"/>
      <c r="AO539" s="45"/>
      <c r="AP539" s="45"/>
      <c r="AQ539" s="36"/>
      <c r="AR539" s="36"/>
      <c r="AS539" s="36"/>
      <c r="AT539" s="36"/>
      <c r="AU539" s="36"/>
      <c r="AV539" s="36"/>
      <c r="AW539" s="36"/>
      <c r="AX539" s="36"/>
      <c r="AY539" s="36"/>
      <c r="AZ539" s="36"/>
      <c r="BA539" s="36"/>
      <c r="BB539" s="36"/>
      <c r="BC539" s="36"/>
      <c r="BD539" s="36"/>
      <c r="BE539" s="36"/>
      <c r="BF539" s="36"/>
      <c r="BG539" s="36"/>
      <c r="BH539" s="36"/>
      <c r="BI539" s="36"/>
      <c r="BJ539" s="36"/>
      <c r="BK539" s="36"/>
      <c r="BL539" s="36"/>
      <c r="BM539" s="36"/>
      <c r="BN539" s="36"/>
      <c r="BO539" s="36"/>
      <c r="BP539" s="36"/>
      <c r="BQ539" s="36"/>
    </row>
    <row r="540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51"/>
      <c r="S540" s="51"/>
      <c r="T540" s="51"/>
      <c r="U540" s="51"/>
      <c r="V540" s="51"/>
      <c r="W540" s="51"/>
      <c r="X540" s="51"/>
      <c r="Y540" s="45"/>
      <c r="Z540" s="45"/>
      <c r="AA540" s="45"/>
      <c r="AB540" s="45"/>
      <c r="AC540" s="45"/>
      <c r="AD540" s="45"/>
      <c r="AE540" s="45"/>
      <c r="AF540" s="45"/>
      <c r="AG540" s="45"/>
      <c r="AH540" s="45"/>
      <c r="AI540" s="45"/>
      <c r="AJ540" s="45"/>
      <c r="AK540" s="45"/>
      <c r="AL540" s="45"/>
      <c r="AM540" s="45"/>
      <c r="AN540" s="45"/>
      <c r="AO540" s="45"/>
      <c r="AP540" s="45"/>
      <c r="AQ540" s="36"/>
      <c r="AR540" s="36"/>
      <c r="AS540" s="36"/>
      <c r="AT540" s="36"/>
      <c r="AU540" s="36"/>
      <c r="AV540" s="36"/>
      <c r="AW540" s="36"/>
      <c r="AX540" s="36"/>
      <c r="AY540" s="36"/>
      <c r="AZ540" s="36"/>
      <c r="BA540" s="36"/>
      <c r="BB540" s="36"/>
      <c r="BC540" s="36"/>
      <c r="BD540" s="36"/>
      <c r="BE540" s="36"/>
      <c r="BF540" s="36"/>
      <c r="BG540" s="36"/>
      <c r="BH540" s="36"/>
      <c r="BI540" s="36"/>
      <c r="BJ540" s="36"/>
      <c r="BK540" s="36"/>
      <c r="BL540" s="36"/>
      <c r="BM540" s="36"/>
      <c r="BN540" s="36"/>
      <c r="BO540" s="36"/>
      <c r="BP540" s="36"/>
      <c r="BQ540" s="36"/>
    </row>
    <row r="54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51"/>
      <c r="S541" s="51"/>
      <c r="T541" s="51"/>
      <c r="U541" s="51"/>
      <c r="V541" s="51"/>
      <c r="W541" s="51"/>
      <c r="X541" s="51"/>
      <c r="Y541" s="45"/>
      <c r="Z541" s="45"/>
      <c r="AA541" s="45"/>
      <c r="AB541" s="45"/>
      <c r="AC541" s="45"/>
      <c r="AD541" s="45"/>
      <c r="AE541" s="45"/>
      <c r="AF541" s="45"/>
      <c r="AG541" s="45"/>
      <c r="AH541" s="45"/>
      <c r="AI541" s="45"/>
      <c r="AJ541" s="45"/>
      <c r="AK541" s="45"/>
      <c r="AL541" s="45"/>
      <c r="AM541" s="45"/>
      <c r="AN541" s="45"/>
      <c r="AO541" s="45"/>
      <c r="AP541" s="45"/>
      <c r="AQ541" s="36"/>
      <c r="AR541" s="36"/>
      <c r="AS541" s="36"/>
      <c r="AT541" s="36"/>
      <c r="AU541" s="36"/>
      <c r="AV541" s="36"/>
      <c r="AW541" s="36"/>
      <c r="AX541" s="36"/>
      <c r="AY541" s="36"/>
      <c r="AZ541" s="36"/>
      <c r="BA541" s="36"/>
      <c r="BB541" s="36"/>
      <c r="BC541" s="36"/>
      <c r="BD541" s="36"/>
      <c r="BE541" s="36"/>
      <c r="BF541" s="36"/>
      <c r="BG541" s="36"/>
      <c r="BH541" s="36"/>
      <c r="BI541" s="36"/>
      <c r="BJ541" s="36"/>
      <c r="BK541" s="36"/>
      <c r="BL541" s="36"/>
      <c r="BM541" s="36"/>
      <c r="BN541" s="36"/>
      <c r="BO541" s="36"/>
      <c r="BP541" s="36"/>
      <c r="BQ541" s="36"/>
    </row>
    <row r="542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51"/>
      <c r="S542" s="51"/>
      <c r="T542" s="51"/>
      <c r="U542" s="51"/>
      <c r="V542" s="51"/>
      <c r="W542" s="51"/>
      <c r="X542" s="51"/>
      <c r="Y542" s="45"/>
      <c r="Z542" s="45"/>
      <c r="AA542" s="45"/>
      <c r="AB542" s="45"/>
      <c r="AC542" s="45"/>
      <c r="AD542" s="45"/>
      <c r="AE542" s="45"/>
      <c r="AF542" s="45"/>
      <c r="AG542" s="45"/>
      <c r="AH542" s="45"/>
      <c r="AI542" s="45"/>
      <c r="AJ542" s="45"/>
      <c r="AK542" s="45"/>
      <c r="AL542" s="45"/>
      <c r="AM542" s="45"/>
      <c r="AN542" s="45"/>
      <c r="AO542" s="45"/>
      <c r="AP542" s="45"/>
      <c r="AQ542" s="36"/>
      <c r="AR542" s="36"/>
      <c r="AS542" s="36"/>
      <c r="AT542" s="36"/>
      <c r="AU542" s="36"/>
      <c r="AV542" s="36"/>
      <c r="AW542" s="36"/>
      <c r="AX542" s="36"/>
      <c r="AY542" s="36"/>
      <c r="AZ542" s="36"/>
      <c r="BA542" s="36"/>
      <c r="BB542" s="36"/>
      <c r="BC542" s="36"/>
      <c r="BD542" s="36"/>
      <c r="BE542" s="36"/>
      <c r="BF542" s="36"/>
      <c r="BG542" s="36"/>
      <c r="BH542" s="36"/>
      <c r="BI542" s="36"/>
      <c r="BJ542" s="36"/>
      <c r="BK542" s="36"/>
      <c r="BL542" s="36"/>
      <c r="BM542" s="36"/>
      <c r="BN542" s="36"/>
      <c r="BO542" s="36"/>
      <c r="BP542" s="36"/>
      <c r="BQ542" s="36"/>
    </row>
    <row r="543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51"/>
      <c r="S543" s="51"/>
      <c r="T543" s="51"/>
      <c r="U543" s="51"/>
      <c r="V543" s="51"/>
      <c r="W543" s="51"/>
      <c r="X543" s="51"/>
      <c r="Y543" s="45"/>
      <c r="Z543" s="45"/>
      <c r="AA543" s="45"/>
      <c r="AB543" s="45"/>
      <c r="AC543" s="45"/>
      <c r="AD543" s="45"/>
      <c r="AE543" s="45"/>
      <c r="AF543" s="45"/>
      <c r="AG543" s="45"/>
      <c r="AH543" s="45"/>
      <c r="AI543" s="45"/>
      <c r="AJ543" s="45"/>
      <c r="AK543" s="45"/>
      <c r="AL543" s="45"/>
      <c r="AM543" s="45"/>
      <c r="AN543" s="45"/>
      <c r="AO543" s="45"/>
      <c r="AP543" s="45"/>
      <c r="AQ543" s="36"/>
      <c r="AR543" s="36"/>
      <c r="AS543" s="36"/>
      <c r="AT543" s="36"/>
      <c r="AU543" s="36"/>
      <c r="AV543" s="36"/>
      <c r="AW543" s="36"/>
      <c r="AX543" s="36"/>
      <c r="AY543" s="36"/>
      <c r="AZ543" s="36"/>
      <c r="BA543" s="36"/>
      <c r="BB543" s="36"/>
      <c r="BC543" s="36"/>
      <c r="BD543" s="36"/>
      <c r="BE543" s="36"/>
      <c r="BF543" s="36"/>
      <c r="BG543" s="36"/>
      <c r="BH543" s="36"/>
      <c r="BI543" s="36"/>
      <c r="BJ543" s="36"/>
      <c r="BK543" s="36"/>
      <c r="BL543" s="36"/>
      <c r="BM543" s="36"/>
      <c r="BN543" s="36"/>
      <c r="BO543" s="36"/>
      <c r="BP543" s="36"/>
      <c r="BQ543" s="36"/>
    </row>
    <row r="544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51"/>
      <c r="S544" s="51"/>
      <c r="T544" s="51"/>
      <c r="U544" s="51"/>
      <c r="V544" s="51"/>
      <c r="W544" s="51"/>
      <c r="X544" s="51"/>
      <c r="Y544" s="45"/>
      <c r="Z544" s="45"/>
      <c r="AA544" s="45"/>
      <c r="AB544" s="45"/>
      <c r="AC544" s="45"/>
      <c r="AD544" s="45"/>
      <c r="AE544" s="45"/>
      <c r="AF544" s="45"/>
      <c r="AG544" s="45"/>
      <c r="AH544" s="45"/>
      <c r="AI544" s="45"/>
      <c r="AJ544" s="45"/>
      <c r="AK544" s="45"/>
      <c r="AL544" s="45"/>
      <c r="AM544" s="45"/>
      <c r="AN544" s="45"/>
      <c r="AO544" s="45"/>
      <c r="AP544" s="45"/>
      <c r="AQ544" s="36"/>
      <c r="AR544" s="36"/>
      <c r="AS544" s="36"/>
      <c r="AT544" s="36"/>
      <c r="AU544" s="36"/>
      <c r="AV544" s="36"/>
      <c r="AW544" s="36"/>
      <c r="AX544" s="36"/>
      <c r="AY544" s="36"/>
      <c r="AZ544" s="36"/>
      <c r="BA544" s="36"/>
      <c r="BB544" s="36"/>
      <c r="BC544" s="36"/>
      <c r="BD544" s="36"/>
      <c r="BE544" s="36"/>
      <c r="BF544" s="36"/>
      <c r="BG544" s="36"/>
      <c r="BH544" s="36"/>
      <c r="BI544" s="36"/>
      <c r="BJ544" s="36"/>
      <c r="BK544" s="36"/>
      <c r="BL544" s="36"/>
      <c r="BM544" s="36"/>
      <c r="BN544" s="36"/>
      <c r="BO544" s="36"/>
      <c r="BP544" s="36"/>
      <c r="BQ544" s="36"/>
    </row>
    <row r="54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51"/>
      <c r="S545" s="51"/>
      <c r="T545" s="51"/>
      <c r="U545" s="51"/>
      <c r="V545" s="51"/>
      <c r="W545" s="51"/>
      <c r="X545" s="51"/>
      <c r="Y545" s="45"/>
      <c r="Z545" s="45"/>
      <c r="AA545" s="45"/>
      <c r="AB545" s="45"/>
      <c r="AC545" s="45"/>
      <c r="AD545" s="45"/>
      <c r="AE545" s="45"/>
      <c r="AF545" s="45"/>
      <c r="AG545" s="45"/>
      <c r="AH545" s="45"/>
      <c r="AI545" s="45"/>
      <c r="AJ545" s="45"/>
      <c r="AK545" s="45"/>
      <c r="AL545" s="45"/>
      <c r="AM545" s="45"/>
      <c r="AN545" s="45"/>
      <c r="AO545" s="45"/>
      <c r="AP545" s="45"/>
      <c r="AQ545" s="36"/>
      <c r="AR545" s="36"/>
      <c r="AS545" s="36"/>
      <c r="AT545" s="36"/>
      <c r="AU545" s="36"/>
      <c r="AV545" s="36"/>
      <c r="AW545" s="36"/>
      <c r="AX545" s="36"/>
      <c r="AY545" s="36"/>
      <c r="AZ545" s="36"/>
      <c r="BA545" s="36"/>
      <c r="BB545" s="36"/>
      <c r="BC545" s="36"/>
      <c r="BD545" s="36"/>
      <c r="BE545" s="36"/>
      <c r="BF545" s="36"/>
      <c r="BG545" s="36"/>
      <c r="BH545" s="36"/>
      <c r="BI545" s="36"/>
      <c r="BJ545" s="36"/>
      <c r="BK545" s="36"/>
      <c r="BL545" s="36"/>
      <c r="BM545" s="36"/>
      <c r="BN545" s="36"/>
      <c r="BO545" s="36"/>
      <c r="BP545" s="36"/>
      <c r="BQ545" s="36"/>
    </row>
    <row r="546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51"/>
      <c r="S546" s="51"/>
      <c r="T546" s="51"/>
      <c r="U546" s="51"/>
      <c r="V546" s="51"/>
      <c r="W546" s="51"/>
      <c r="X546" s="51"/>
      <c r="Y546" s="45"/>
      <c r="Z546" s="45"/>
      <c r="AA546" s="45"/>
      <c r="AB546" s="45"/>
      <c r="AC546" s="45"/>
      <c r="AD546" s="45"/>
      <c r="AE546" s="45"/>
      <c r="AF546" s="45"/>
      <c r="AG546" s="45"/>
      <c r="AH546" s="45"/>
      <c r="AI546" s="45"/>
      <c r="AJ546" s="45"/>
      <c r="AK546" s="45"/>
      <c r="AL546" s="45"/>
      <c r="AM546" s="45"/>
      <c r="AN546" s="45"/>
      <c r="AO546" s="45"/>
      <c r="AP546" s="45"/>
      <c r="AQ546" s="36"/>
      <c r="AR546" s="36"/>
      <c r="AS546" s="36"/>
      <c r="AT546" s="36"/>
      <c r="AU546" s="36"/>
      <c r="AV546" s="36"/>
      <c r="AW546" s="36"/>
      <c r="AX546" s="36"/>
      <c r="AY546" s="36"/>
      <c r="AZ546" s="36"/>
      <c r="BA546" s="36"/>
      <c r="BB546" s="36"/>
      <c r="BC546" s="36"/>
      <c r="BD546" s="36"/>
      <c r="BE546" s="36"/>
      <c r="BF546" s="36"/>
      <c r="BG546" s="36"/>
      <c r="BH546" s="36"/>
      <c r="BI546" s="36"/>
      <c r="BJ546" s="36"/>
      <c r="BK546" s="36"/>
      <c r="BL546" s="36"/>
      <c r="BM546" s="36"/>
      <c r="BN546" s="36"/>
      <c r="BO546" s="36"/>
      <c r="BP546" s="36"/>
      <c r="BQ546" s="36"/>
    </row>
    <row r="547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51"/>
      <c r="S547" s="51"/>
      <c r="T547" s="51"/>
      <c r="U547" s="51"/>
      <c r="V547" s="51"/>
      <c r="W547" s="51"/>
      <c r="X547" s="51"/>
      <c r="Y547" s="45"/>
      <c r="Z547" s="45"/>
      <c r="AA547" s="45"/>
      <c r="AB547" s="45"/>
      <c r="AC547" s="45"/>
      <c r="AD547" s="45"/>
      <c r="AE547" s="45"/>
      <c r="AF547" s="45"/>
      <c r="AG547" s="45"/>
      <c r="AH547" s="45"/>
      <c r="AI547" s="45"/>
      <c r="AJ547" s="45"/>
      <c r="AK547" s="45"/>
      <c r="AL547" s="45"/>
      <c r="AM547" s="45"/>
      <c r="AN547" s="45"/>
      <c r="AO547" s="45"/>
      <c r="AP547" s="45"/>
      <c r="AQ547" s="36"/>
      <c r="AR547" s="36"/>
      <c r="AS547" s="36"/>
      <c r="AT547" s="36"/>
      <c r="AU547" s="36"/>
      <c r="AV547" s="36"/>
      <c r="AW547" s="36"/>
      <c r="AX547" s="36"/>
      <c r="AY547" s="36"/>
      <c r="AZ547" s="36"/>
      <c r="BA547" s="36"/>
      <c r="BB547" s="36"/>
      <c r="BC547" s="36"/>
      <c r="BD547" s="36"/>
      <c r="BE547" s="36"/>
      <c r="BF547" s="36"/>
      <c r="BG547" s="36"/>
      <c r="BH547" s="36"/>
      <c r="BI547" s="36"/>
      <c r="BJ547" s="36"/>
      <c r="BK547" s="36"/>
      <c r="BL547" s="36"/>
      <c r="BM547" s="36"/>
      <c r="BN547" s="36"/>
      <c r="BO547" s="36"/>
      <c r="BP547" s="36"/>
      <c r="BQ547" s="36"/>
    </row>
    <row r="548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51"/>
      <c r="S548" s="51"/>
      <c r="T548" s="51"/>
      <c r="U548" s="51"/>
      <c r="V548" s="51"/>
      <c r="W548" s="51"/>
      <c r="X548" s="51"/>
      <c r="Y548" s="45"/>
      <c r="Z548" s="45"/>
      <c r="AA548" s="45"/>
      <c r="AB548" s="45"/>
      <c r="AC548" s="45"/>
      <c r="AD548" s="45"/>
      <c r="AE548" s="45"/>
      <c r="AF548" s="45"/>
      <c r="AG548" s="45"/>
      <c r="AH548" s="45"/>
      <c r="AI548" s="45"/>
      <c r="AJ548" s="45"/>
      <c r="AK548" s="45"/>
      <c r="AL548" s="45"/>
      <c r="AM548" s="45"/>
      <c r="AN548" s="45"/>
      <c r="AO548" s="45"/>
      <c r="AP548" s="45"/>
      <c r="AQ548" s="36"/>
      <c r="AR548" s="36"/>
      <c r="AS548" s="36"/>
      <c r="AT548" s="36"/>
      <c r="AU548" s="36"/>
      <c r="AV548" s="36"/>
      <c r="AW548" s="36"/>
      <c r="AX548" s="36"/>
      <c r="AY548" s="36"/>
      <c r="AZ548" s="36"/>
      <c r="BA548" s="36"/>
      <c r="BB548" s="36"/>
      <c r="BC548" s="36"/>
      <c r="BD548" s="36"/>
      <c r="BE548" s="36"/>
      <c r="BF548" s="36"/>
      <c r="BG548" s="36"/>
      <c r="BH548" s="36"/>
      <c r="BI548" s="36"/>
      <c r="BJ548" s="36"/>
      <c r="BK548" s="36"/>
      <c r="BL548" s="36"/>
      <c r="BM548" s="36"/>
      <c r="BN548" s="36"/>
      <c r="BO548" s="36"/>
      <c r="BP548" s="36"/>
      <c r="BQ548" s="36"/>
    </row>
    <row r="549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51"/>
      <c r="S549" s="51"/>
      <c r="T549" s="51"/>
      <c r="U549" s="51"/>
      <c r="V549" s="51"/>
      <c r="W549" s="51"/>
      <c r="X549" s="51"/>
      <c r="Y549" s="45"/>
      <c r="Z549" s="45"/>
      <c r="AA549" s="45"/>
      <c r="AB549" s="45"/>
      <c r="AC549" s="45"/>
      <c r="AD549" s="45"/>
      <c r="AE549" s="45"/>
      <c r="AF549" s="45"/>
      <c r="AG549" s="45"/>
      <c r="AH549" s="45"/>
      <c r="AI549" s="45"/>
      <c r="AJ549" s="45"/>
      <c r="AK549" s="45"/>
      <c r="AL549" s="45"/>
      <c r="AM549" s="45"/>
      <c r="AN549" s="45"/>
      <c r="AO549" s="45"/>
      <c r="AP549" s="45"/>
      <c r="AQ549" s="36"/>
      <c r="AR549" s="36"/>
      <c r="AS549" s="36"/>
      <c r="AT549" s="36"/>
      <c r="AU549" s="36"/>
      <c r="AV549" s="36"/>
      <c r="AW549" s="36"/>
      <c r="AX549" s="36"/>
      <c r="AY549" s="36"/>
      <c r="AZ549" s="36"/>
      <c r="BA549" s="36"/>
      <c r="BB549" s="36"/>
      <c r="BC549" s="36"/>
      <c r="BD549" s="36"/>
      <c r="BE549" s="36"/>
      <c r="BF549" s="36"/>
      <c r="BG549" s="36"/>
      <c r="BH549" s="36"/>
      <c r="BI549" s="36"/>
      <c r="BJ549" s="36"/>
      <c r="BK549" s="36"/>
      <c r="BL549" s="36"/>
      <c r="BM549" s="36"/>
      <c r="BN549" s="36"/>
      <c r="BO549" s="36"/>
      <c r="BP549" s="36"/>
      <c r="BQ549" s="36"/>
    </row>
    <row r="550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51"/>
      <c r="S550" s="51"/>
      <c r="T550" s="51"/>
      <c r="U550" s="51"/>
      <c r="V550" s="51"/>
      <c r="W550" s="51"/>
      <c r="X550" s="51"/>
      <c r="Y550" s="45"/>
      <c r="Z550" s="45"/>
      <c r="AA550" s="45"/>
      <c r="AB550" s="45"/>
      <c r="AC550" s="45"/>
      <c r="AD550" s="45"/>
      <c r="AE550" s="45"/>
      <c r="AF550" s="45"/>
      <c r="AG550" s="45"/>
      <c r="AH550" s="45"/>
      <c r="AI550" s="45"/>
      <c r="AJ550" s="45"/>
      <c r="AK550" s="45"/>
      <c r="AL550" s="45"/>
      <c r="AM550" s="45"/>
      <c r="AN550" s="45"/>
      <c r="AO550" s="45"/>
      <c r="AP550" s="45"/>
      <c r="AQ550" s="36"/>
      <c r="AR550" s="36"/>
      <c r="AS550" s="36"/>
      <c r="AT550" s="36"/>
      <c r="AU550" s="36"/>
      <c r="AV550" s="36"/>
      <c r="AW550" s="36"/>
      <c r="AX550" s="36"/>
      <c r="AY550" s="36"/>
      <c r="AZ550" s="36"/>
      <c r="BA550" s="36"/>
      <c r="BB550" s="36"/>
      <c r="BC550" s="36"/>
      <c r="BD550" s="36"/>
      <c r="BE550" s="36"/>
      <c r="BF550" s="36"/>
      <c r="BG550" s="36"/>
      <c r="BH550" s="36"/>
      <c r="BI550" s="36"/>
      <c r="BJ550" s="36"/>
      <c r="BK550" s="36"/>
      <c r="BL550" s="36"/>
      <c r="BM550" s="36"/>
      <c r="BN550" s="36"/>
      <c r="BO550" s="36"/>
      <c r="BP550" s="36"/>
      <c r="BQ550" s="36"/>
    </row>
    <row r="55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51"/>
      <c r="S551" s="51"/>
      <c r="T551" s="51"/>
      <c r="U551" s="51"/>
      <c r="V551" s="51"/>
      <c r="W551" s="51"/>
      <c r="X551" s="51"/>
      <c r="Y551" s="45"/>
      <c r="Z551" s="45"/>
      <c r="AA551" s="45"/>
      <c r="AB551" s="45"/>
      <c r="AC551" s="45"/>
      <c r="AD551" s="45"/>
      <c r="AE551" s="45"/>
      <c r="AF551" s="45"/>
      <c r="AG551" s="45"/>
      <c r="AH551" s="45"/>
      <c r="AI551" s="45"/>
      <c r="AJ551" s="45"/>
      <c r="AK551" s="45"/>
      <c r="AL551" s="45"/>
      <c r="AM551" s="45"/>
      <c r="AN551" s="45"/>
      <c r="AO551" s="45"/>
      <c r="AP551" s="45"/>
      <c r="AQ551" s="36"/>
      <c r="AR551" s="36"/>
      <c r="AS551" s="36"/>
      <c r="AT551" s="36"/>
      <c r="AU551" s="36"/>
      <c r="AV551" s="36"/>
      <c r="AW551" s="36"/>
      <c r="AX551" s="36"/>
      <c r="AY551" s="36"/>
      <c r="AZ551" s="36"/>
      <c r="BA551" s="36"/>
      <c r="BB551" s="36"/>
      <c r="BC551" s="36"/>
      <c r="BD551" s="36"/>
      <c r="BE551" s="36"/>
      <c r="BF551" s="36"/>
      <c r="BG551" s="36"/>
      <c r="BH551" s="36"/>
      <c r="BI551" s="36"/>
      <c r="BJ551" s="36"/>
      <c r="BK551" s="36"/>
      <c r="BL551" s="36"/>
      <c r="BM551" s="36"/>
      <c r="BN551" s="36"/>
      <c r="BO551" s="36"/>
      <c r="BP551" s="36"/>
      <c r="BQ551" s="36"/>
    </row>
    <row r="55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51"/>
      <c r="S552" s="51"/>
      <c r="T552" s="51"/>
      <c r="U552" s="51"/>
      <c r="V552" s="51"/>
      <c r="W552" s="51"/>
      <c r="X552" s="51"/>
      <c r="Y552" s="45"/>
      <c r="Z552" s="45"/>
      <c r="AA552" s="45"/>
      <c r="AB552" s="45"/>
      <c r="AC552" s="45"/>
      <c r="AD552" s="45"/>
      <c r="AE552" s="45"/>
      <c r="AF552" s="45"/>
      <c r="AG552" s="45"/>
      <c r="AH552" s="45"/>
      <c r="AI552" s="45"/>
      <c r="AJ552" s="45"/>
      <c r="AK552" s="45"/>
      <c r="AL552" s="45"/>
      <c r="AM552" s="45"/>
      <c r="AN552" s="45"/>
      <c r="AO552" s="45"/>
      <c r="AP552" s="45"/>
      <c r="AQ552" s="36"/>
      <c r="AR552" s="36"/>
      <c r="AS552" s="36"/>
      <c r="AT552" s="36"/>
      <c r="AU552" s="36"/>
      <c r="AV552" s="36"/>
      <c r="AW552" s="36"/>
      <c r="AX552" s="36"/>
      <c r="AY552" s="36"/>
      <c r="AZ552" s="36"/>
      <c r="BA552" s="36"/>
      <c r="BB552" s="36"/>
      <c r="BC552" s="36"/>
      <c r="BD552" s="36"/>
      <c r="BE552" s="36"/>
      <c r="BF552" s="36"/>
      <c r="BG552" s="36"/>
      <c r="BH552" s="36"/>
      <c r="BI552" s="36"/>
      <c r="BJ552" s="36"/>
      <c r="BK552" s="36"/>
      <c r="BL552" s="36"/>
      <c r="BM552" s="36"/>
      <c r="BN552" s="36"/>
      <c r="BO552" s="36"/>
      <c r="BP552" s="36"/>
      <c r="BQ552" s="36"/>
    </row>
    <row r="553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51"/>
      <c r="S553" s="51"/>
      <c r="T553" s="51"/>
      <c r="U553" s="51"/>
      <c r="V553" s="51"/>
      <c r="W553" s="51"/>
      <c r="X553" s="51"/>
      <c r="Y553" s="45"/>
      <c r="Z553" s="45"/>
      <c r="AA553" s="45"/>
      <c r="AB553" s="45"/>
      <c r="AC553" s="45"/>
      <c r="AD553" s="45"/>
      <c r="AE553" s="45"/>
      <c r="AF553" s="45"/>
      <c r="AG553" s="45"/>
      <c r="AH553" s="45"/>
      <c r="AI553" s="45"/>
      <c r="AJ553" s="45"/>
      <c r="AK553" s="45"/>
      <c r="AL553" s="45"/>
      <c r="AM553" s="45"/>
      <c r="AN553" s="45"/>
      <c r="AO553" s="45"/>
      <c r="AP553" s="45"/>
      <c r="AQ553" s="36"/>
      <c r="AR553" s="36"/>
      <c r="AS553" s="36"/>
      <c r="AT553" s="36"/>
      <c r="AU553" s="36"/>
      <c r="AV553" s="36"/>
      <c r="AW553" s="36"/>
      <c r="AX553" s="36"/>
      <c r="AY553" s="36"/>
      <c r="AZ553" s="36"/>
      <c r="BA553" s="36"/>
      <c r="BB553" s="36"/>
      <c r="BC553" s="36"/>
      <c r="BD553" s="36"/>
      <c r="BE553" s="36"/>
      <c r="BF553" s="36"/>
      <c r="BG553" s="36"/>
      <c r="BH553" s="36"/>
      <c r="BI553" s="36"/>
      <c r="BJ553" s="36"/>
      <c r="BK553" s="36"/>
      <c r="BL553" s="36"/>
      <c r="BM553" s="36"/>
      <c r="BN553" s="36"/>
      <c r="BO553" s="36"/>
      <c r="BP553" s="36"/>
      <c r="BQ553" s="36"/>
    </row>
    <row r="554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51"/>
      <c r="S554" s="51"/>
      <c r="T554" s="51"/>
      <c r="U554" s="51"/>
      <c r="V554" s="51"/>
      <c r="W554" s="51"/>
      <c r="X554" s="51"/>
      <c r="Y554" s="45"/>
      <c r="Z554" s="45"/>
      <c r="AA554" s="45"/>
      <c r="AB554" s="45"/>
      <c r="AC554" s="45"/>
      <c r="AD554" s="45"/>
      <c r="AE554" s="45"/>
      <c r="AF554" s="45"/>
      <c r="AG554" s="45"/>
      <c r="AH554" s="45"/>
      <c r="AI554" s="45"/>
      <c r="AJ554" s="45"/>
      <c r="AK554" s="45"/>
      <c r="AL554" s="45"/>
      <c r="AM554" s="45"/>
      <c r="AN554" s="45"/>
      <c r="AO554" s="45"/>
      <c r="AP554" s="45"/>
      <c r="AQ554" s="36"/>
      <c r="AR554" s="36"/>
      <c r="AS554" s="36"/>
      <c r="AT554" s="36"/>
      <c r="AU554" s="36"/>
      <c r="AV554" s="36"/>
      <c r="AW554" s="36"/>
      <c r="AX554" s="36"/>
      <c r="AY554" s="36"/>
      <c r="AZ554" s="36"/>
      <c r="BA554" s="36"/>
      <c r="BB554" s="36"/>
      <c r="BC554" s="36"/>
      <c r="BD554" s="36"/>
      <c r="BE554" s="36"/>
      <c r="BF554" s="36"/>
      <c r="BG554" s="36"/>
      <c r="BH554" s="36"/>
      <c r="BI554" s="36"/>
      <c r="BJ554" s="36"/>
      <c r="BK554" s="36"/>
      <c r="BL554" s="36"/>
      <c r="BM554" s="36"/>
      <c r="BN554" s="36"/>
      <c r="BO554" s="36"/>
      <c r="BP554" s="36"/>
      <c r="BQ554" s="36"/>
    </row>
    <row r="55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51"/>
      <c r="S555" s="51"/>
      <c r="T555" s="51"/>
      <c r="U555" s="51"/>
      <c r="V555" s="51"/>
      <c r="W555" s="51"/>
      <c r="X555" s="51"/>
      <c r="Y555" s="45"/>
      <c r="Z555" s="45"/>
      <c r="AA555" s="45"/>
      <c r="AB555" s="45"/>
      <c r="AC555" s="45"/>
      <c r="AD555" s="45"/>
      <c r="AE555" s="45"/>
      <c r="AF555" s="45"/>
      <c r="AG555" s="45"/>
      <c r="AH555" s="45"/>
      <c r="AI555" s="45"/>
      <c r="AJ555" s="45"/>
      <c r="AK555" s="45"/>
      <c r="AL555" s="45"/>
      <c r="AM555" s="45"/>
      <c r="AN555" s="45"/>
      <c r="AO555" s="45"/>
      <c r="AP555" s="45"/>
      <c r="AQ555" s="36"/>
      <c r="AR555" s="36"/>
      <c r="AS555" s="36"/>
      <c r="AT555" s="36"/>
      <c r="AU555" s="36"/>
      <c r="AV555" s="36"/>
      <c r="AW555" s="36"/>
      <c r="AX555" s="36"/>
      <c r="AY555" s="36"/>
      <c r="AZ555" s="36"/>
      <c r="BA555" s="36"/>
      <c r="BB555" s="36"/>
      <c r="BC555" s="36"/>
      <c r="BD555" s="36"/>
      <c r="BE555" s="36"/>
      <c r="BF555" s="36"/>
      <c r="BG555" s="36"/>
      <c r="BH555" s="36"/>
      <c r="BI555" s="36"/>
      <c r="BJ555" s="36"/>
      <c r="BK555" s="36"/>
      <c r="BL555" s="36"/>
      <c r="BM555" s="36"/>
      <c r="BN555" s="36"/>
      <c r="BO555" s="36"/>
      <c r="BP555" s="36"/>
      <c r="BQ555" s="36"/>
    </row>
    <row r="556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51"/>
      <c r="S556" s="51"/>
      <c r="T556" s="51"/>
      <c r="U556" s="51"/>
      <c r="V556" s="51"/>
      <c r="W556" s="51"/>
      <c r="X556" s="51"/>
      <c r="Y556" s="45"/>
      <c r="Z556" s="45"/>
      <c r="AA556" s="45"/>
      <c r="AB556" s="45"/>
      <c r="AC556" s="45"/>
      <c r="AD556" s="45"/>
      <c r="AE556" s="45"/>
      <c r="AF556" s="45"/>
      <c r="AG556" s="45"/>
      <c r="AH556" s="45"/>
      <c r="AI556" s="45"/>
      <c r="AJ556" s="45"/>
      <c r="AK556" s="45"/>
      <c r="AL556" s="45"/>
      <c r="AM556" s="45"/>
      <c r="AN556" s="45"/>
      <c r="AO556" s="45"/>
      <c r="AP556" s="45"/>
      <c r="AQ556" s="36"/>
      <c r="AR556" s="36"/>
      <c r="AS556" s="36"/>
      <c r="AT556" s="36"/>
      <c r="AU556" s="36"/>
      <c r="AV556" s="36"/>
      <c r="AW556" s="36"/>
      <c r="AX556" s="36"/>
      <c r="AY556" s="36"/>
      <c r="AZ556" s="36"/>
      <c r="BA556" s="36"/>
      <c r="BB556" s="36"/>
      <c r="BC556" s="36"/>
      <c r="BD556" s="36"/>
      <c r="BE556" s="36"/>
      <c r="BF556" s="36"/>
      <c r="BG556" s="36"/>
      <c r="BH556" s="36"/>
      <c r="BI556" s="36"/>
      <c r="BJ556" s="36"/>
      <c r="BK556" s="36"/>
      <c r="BL556" s="36"/>
      <c r="BM556" s="36"/>
      <c r="BN556" s="36"/>
      <c r="BO556" s="36"/>
      <c r="BP556" s="36"/>
      <c r="BQ556" s="36"/>
    </row>
    <row r="557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51"/>
      <c r="S557" s="51"/>
      <c r="T557" s="51"/>
      <c r="U557" s="51"/>
      <c r="V557" s="51"/>
      <c r="W557" s="51"/>
      <c r="X557" s="51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5"/>
      <c r="AM557" s="45"/>
      <c r="AN557" s="45"/>
      <c r="AO557" s="45"/>
      <c r="AP557" s="45"/>
      <c r="AQ557" s="36"/>
      <c r="AR557" s="36"/>
      <c r="AS557" s="36"/>
      <c r="AT557" s="36"/>
      <c r="AU557" s="36"/>
      <c r="AV557" s="36"/>
      <c r="AW557" s="36"/>
      <c r="AX557" s="36"/>
      <c r="AY557" s="36"/>
      <c r="AZ557" s="36"/>
      <c r="BA557" s="36"/>
      <c r="BB557" s="36"/>
      <c r="BC557" s="36"/>
      <c r="BD557" s="36"/>
      <c r="BE557" s="36"/>
      <c r="BF557" s="36"/>
      <c r="BG557" s="36"/>
      <c r="BH557" s="36"/>
      <c r="BI557" s="36"/>
      <c r="BJ557" s="36"/>
      <c r="BK557" s="36"/>
      <c r="BL557" s="36"/>
      <c r="BM557" s="36"/>
      <c r="BN557" s="36"/>
      <c r="BO557" s="36"/>
      <c r="BP557" s="36"/>
      <c r="BQ557" s="36"/>
    </row>
    <row r="558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51"/>
      <c r="S558" s="51"/>
      <c r="T558" s="51"/>
      <c r="U558" s="51"/>
      <c r="V558" s="51"/>
      <c r="W558" s="51"/>
      <c r="X558" s="51"/>
      <c r="Y558" s="45"/>
      <c r="Z558" s="45"/>
      <c r="AA558" s="45"/>
      <c r="AB558" s="45"/>
      <c r="AC558" s="45"/>
      <c r="AD558" s="45"/>
      <c r="AE558" s="45"/>
      <c r="AF558" s="45"/>
      <c r="AG558" s="45"/>
      <c r="AH558" s="45"/>
      <c r="AI558" s="45"/>
      <c r="AJ558" s="45"/>
      <c r="AK558" s="45"/>
      <c r="AL558" s="45"/>
      <c r="AM558" s="45"/>
      <c r="AN558" s="45"/>
      <c r="AO558" s="45"/>
      <c r="AP558" s="45"/>
      <c r="AQ558" s="36"/>
      <c r="AR558" s="36"/>
      <c r="AS558" s="36"/>
      <c r="AT558" s="36"/>
      <c r="AU558" s="36"/>
      <c r="AV558" s="36"/>
      <c r="AW558" s="36"/>
      <c r="AX558" s="36"/>
      <c r="AY558" s="36"/>
      <c r="AZ558" s="36"/>
      <c r="BA558" s="36"/>
      <c r="BB558" s="36"/>
      <c r="BC558" s="36"/>
      <c r="BD558" s="36"/>
      <c r="BE558" s="36"/>
      <c r="BF558" s="36"/>
      <c r="BG558" s="36"/>
      <c r="BH558" s="36"/>
      <c r="BI558" s="36"/>
      <c r="BJ558" s="36"/>
      <c r="BK558" s="36"/>
      <c r="BL558" s="36"/>
      <c r="BM558" s="36"/>
      <c r="BN558" s="36"/>
      <c r="BO558" s="36"/>
      <c r="BP558" s="36"/>
      <c r="BQ558" s="36"/>
    </row>
    <row r="559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51"/>
      <c r="S559" s="51"/>
      <c r="T559" s="51"/>
      <c r="U559" s="51"/>
      <c r="V559" s="51"/>
      <c r="W559" s="51"/>
      <c r="X559" s="51"/>
      <c r="Y559" s="45"/>
      <c r="Z559" s="45"/>
      <c r="AA559" s="45"/>
      <c r="AB559" s="45"/>
      <c r="AC559" s="45"/>
      <c r="AD559" s="45"/>
      <c r="AE559" s="45"/>
      <c r="AF559" s="45"/>
      <c r="AG559" s="45"/>
      <c r="AH559" s="45"/>
      <c r="AI559" s="45"/>
      <c r="AJ559" s="45"/>
      <c r="AK559" s="45"/>
      <c r="AL559" s="45"/>
      <c r="AM559" s="45"/>
      <c r="AN559" s="45"/>
      <c r="AO559" s="45"/>
      <c r="AP559" s="45"/>
      <c r="AQ559" s="36"/>
      <c r="AR559" s="36"/>
      <c r="AS559" s="36"/>
      <c r="AT559" s="36"/>
      <c r="AU559" s="36"/>
      <c r="AV559" s="36"/>
      <c r="AW559" s="36"/>
      <c r="AX559" s="36"/>
      <c r="AY559" s="36"/>
      <c r="AZ559" s="36"/>
      <c r="BA559" s="36"/>
      <c r="BB559" s="36"/>
      <c r="BC559" s="36"/>
      <c r="BD559" s="36"/>
      <c r="BE559" s="36"/>
      <c r="BF559" s="36"/>
      <c r="BG559" s="36"/>
      <c r="BH559" s="36"/>
      <c r="BI559" s="36"/>
      <c r="BJ559" s="36"/>
      <c r="BK559" s="36"/>
      <c r="BL559" s="36"/>
      <c r="BM559" s="36"/>
      <c r="BN559" s="36"/>
      <c r="BO559" s="36"/>
      <c r="BP559" s="36"/>
      <c r="BQ559" s="36"/>
    </row>
    <row r="560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51"/>
      <c r="S560" s="51"/>
      <c r="T560" s="51"/>
      <c r="U560" s="51"/>
      <c r="V560" s="51"/>
      <c r="W560" s="51"/>
      <c r="X560" s="51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5"/>
      <c r="AM560" s="45"/>
      <c r="AN560" s="45"/>
      <c r="AO560" s="45"/>
      <c r="AP560" s="45"/>
      <c r="AQ560" s="36"/>
      <c r="AR560" s="36"/>
      <c r="AS560" s="36"/>
      <c r="AT560" s="36"/>
      <c r="AU560" s="36"/>
      <c r="AV560" s="36"/>
      <c r="AW560" s="36"/>
      <c r="AX560" s="36"/>
      <c r="AY560" s="36"/>
      <c r="AZ560" s="36"/>
      <c r="BA560" s="36"/>
      <c r="BB560" s="36"/>
      <c r="BC560" s="36"/>
      <c r="BD560" s="36"/>
      <c r="BE560" s="36"/>
      <c r="BF560" s="36"/>
      <c r="BG560" s="36"/>
      <c r="BH560" s="36"/>
      <c r="BI560" s="36"/>
      <c r="BJ560" s="36"/>
      <c r="BK560" s="36"/>
      <c r="BL560" s="36"/>
      <c r="BM560" s="36"/>
      <c r="BN560" s="36"/>
      <c r="BO560" s="36"/>
      <c r="BP560" s="36"/>
      <c r="BQ560" s="36"/>
    </row>
    <row r="56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51"/>
      <c r="S561" s="51"/>
      <c r="T561" s="51"/>
      <c r="U561" s="51"/>
      <c r="V561" s="51"/>
      <c r="W561" s="51"/>
      <c r="X561" s="51"/>
      <c r="Y561" s="45"/>
      <c r="Z561" s="45"/>
      <c r="AA561" s="45"/>
      <c r="AB561" s="45"/>
      <c r="AC561" s="45"/>
      <c r="AD561" s="45"/>
      <c r="AE561" s="45"/>
      <c r="AF561" s="45"/>
      <c r="AG561" s="45"/>
      <c r="AH561" s="45"/>
      <c r="AI561" s="45"/>
      <c r="AJ561" s="45"/>
      <c r="AK561" s="45"/>
      <c r="AL561" s="45"/>
      <c r="AM561" s="45"/>
      <c r="AN561" s="45"/>
      <c r="AO561" s="45"/>
      <c r="AP561" s="45"/>
      <c r="AQ561" s="36"/>
      <c r="AR561" s="36"/>
      <c r="AS561" s="36"/>
      <c r="AT561" s="36"/>
      <c r="AU561" s="36"/>
      <c r="AV561" s="36"/>
      <c r="AW561" s="36"/>
      <c r="AX561" s="36"/>
      <c r="AY561" s="36"/>
      <c r="AZ561" s="36"/>
      <c r="BA561" s="36"/>
      <c r="BB561" s="36"/>
      <c r="BC561" s="36"/>
      <c r="BD561" s="36"/>
      <c r="BE561" s="36"/>
      <c r="BF561" s="36"/>
      <c r="BG561" s="36"/>
      <c r="BH561" s="36"/>
      <c r="BI561" s="36"/>
      <c r="BJ561" s="36"/>
      <c r="BK561" s="36"/>
      <c r="BL561" s="36"/>
      <c r="BM561" s="36"/>
      <c r="BN561" s="36"/>
      <c r="BO561" s="36"/>
      <c r="BP561" s="36"/>
      <c r="BQ561" s="36"/>
    </row>
    <row r="56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51"/>
      <c r="S562" s="51"/>
      <c r="T562" s="51"/>
      <c r="U562" s="51"/>
      <c r="V562" s="51"/>
      <c r="W562" s="51"/>
      <c r="X562" s="51"/>
      <c r="Y562" s="45"/>
      <c r="Z562" s="45"/>
      <c r="AA562" s="45"/>
      <c r="AB562" s="45"/>
      <c r="AC562" s="45"/>
      <c r="AD562" s="45"/>
      <c r="AE562" s="45"/>
      <c r="AF562" s="45"/>
      <c r="AG562" s="45"/>
      <c r="AH562" s="45"/>
      <c r="AI562" s="45"/>
      <c r="AJ562" s="45"/>
      <c r="AK562" s="45"/>
      <c r="AL562" s="45"/>
      <c r="AM562" s="45"/>
      <c r="AN562" s="45"/>
      <c r="AO562" s="45"/>
      <c r="AP562" s="45"/>
      <c r="AQ562" s="36"/>
      <c r="AR562" s="36"/>
      <c r="AS562" s="36"/>
      <c r="AT562" s="36"/>
      <c r="AU562" s="36"/>
      <c r="AV562" s="36"/>
      <c r="AW562" s="36"/>
      <c r="AX562" s="36"/>
      <c r="AY562" s="36"/>
      <c r="AZ562" s="36"/>
      <c r="BA562" s="36"/>
      <c r="BB562" s="36"/>
      <c r="BC562" s="36"/>
      <c r="BD562" s="36"/>
      <c r="BE562" s="36"/>
      <c r="BF562" s="36"/>
      <c r="BG562" s="36"/>
      <c r="BH562" s="36"/>
      <c r="BI562" s="36"/>
      <c r="BJ562" s="36"/>
      <c r="BK562" s="36"/>
      <c r="BL562" s="36"/>
      <c r="BM562" s="36"/>
      <c r="BN562" s="36"/>
      <c r="BO562" s="36"/>
      <c r="BP562" s="36"/>
      <c r="BQ562" s="36"/>
    </row>
    <row r="563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51"/>
      <c r="S563" s="51"/>
      <c r="T563" s="51"/>
      <c r="U563" s="51"/>
      <c r="V563" s="51"/>
      <c r="W563" s="51"/>
      <c r="X563" s="51"/>
      <c r="Y563" s="45"/>
      <c r="Z563" s="45"/>
      <c r="AA563" s="45"/>
      <c r="AB563" s="45"/>
      <c r="AC563" s="45"/>
      <c r="AD563" s="45"/>
      <c r="AE563" s="45"/>
      <c r="AF563" s="45"/>
      <c r="AG563" s="45"/>
      <c r="AH563" s="45"/>
      <c r="AI563" s="45"/>
      <c r="AJ563" s="45"/>
      <c r="AK563" s="45"/>
      <c r="AL563" s="45"/>
      <c r="AM563" s="45"/>
      <c r="AN563" s="45"/>
      <c r="AO563" s="45"/>
      <c r="AP563" s="45"/>
      <c r="AQ563" s="36"/>
      <c r="AR563" s="36"/>
      <c r="AS563" s="36"/>
      <c r="AT563" s="36"/>
      <c r="AU563" s="36"/>
      <c r="AV563" s="36"/>
      <c r="AW563" s="36"/>
      <c r="AX563" s="36"/>
      <c r="AY563" s="36"/>
      <c r="AZ563" s="36"/>
      <c r="BA563" s="36"/>
      <c r="BB563" s="36"/>
      <c r="BC563" s="36"/>
      <c r="BD563" s="36"/>
      <c r="BE563" s="36"/>
      <c r="BF563" s="36"/>
      <c r="BG563" s="36"/>
      <c r="BH563" s="36"/>
      <c r="BI563" s="36"/>
      <c r="BJ563" s="36"/>
      <c r="BK563" s="36"/>
      <c r="BL563" s="36"/>
      <c r="BM563" s="36"/>
      <c r="BN563" s="36"/>
      <c r="BO563" s="36"/>
      <c r="BP563" s="36"/>
      <c r="BQ563" s="36"/>
    </row>
    <row r="564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51"/>
      <c r="S564" s="51"/>
      <c r="T564" s="51"/>
      <c r="U564" s="51"/>
      <c r="V564" s="51"/>
      <c r="W564" s="51"/>
      <c r="X564" s="51"/>
      <c r="Y564" s="45"/>
      <c r="Z564" s="45"/>
      <c r="AA564" s="45"/>
      <c r="AB564" s="45"/>
      <c r="AC564" s="45"/>
      <c r="AD564" s="45"/>
      <c r="AE564" s="45"/>
      <c r="AF564" s="45"/>
      <c r="AG564" s="45"/>
      <c r="AH564" s="45"/>
      <c r="AI564" s="45"/>
      <c r="AJ564" s="45"/>
      <c r="AK564" s="45"/>
      <c r="AL564" s="45"/>
      <c r="AM564" s="45"/>
      <c r="AN564" s="45"/>
      <c r="AO564" s="45"/>
      <c r="AP564" s="45"/>
      <c r="AQ564" s="36"/>
      <c r="AR564" s="36"/>
      <c r="AS564" s="36"/>
      <c r="AT564" s="36"/>
      <c r="AU564" s="36"/>
      <c r="AV564" s="36"/>
      <c r="AW564" s="36"/>
      <c r="AX564" s="36"/>
      <c r="AY564" s="36"/>
      <c r="AZ564" s="36"/>
      <c r="BA564" s="36"/>
      <c r="BB564" s="36"/>
      <c r="BC564" s="36"/>
      <c r="BD564" s="36"/>
      <c r="BE564" s="36"/>
      <c r="BF564" s="36"/>
      <c r="BG564" s="36"/>
      <c r="BH564" s="36"/>
      <c r="BI564" s="36"/>
      <c r="BJ564" s="36"/>
      <c r="BK564" s="36"/>
      <c r="BL564" s="36"/>
      <c r="BM564" s="36"/>
      <c r="BN564" s="36"/>
      <c r="BO564" s="36"/>
      <c r="BP564" s="36"/>
      <c r="BQ564" s="36"/>
    </row>
    <row r="56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51"/>
      <c r="S565" s="51"/>
      <c r="T565" s="51"/>
      <c r="U565" s="51"/>
      <c r="V565" s="51"/>
      <c r="W565" s="51"/>
      <c r="X565" s="51"/>
      <c r="Y565" s="45"/>
      <c r="Z565" s="45"/>
      <c r="AA565" s="45"/>
      <c r="AB565" s="45"/>
      <c r="AC565" s="45"/>
      <c r="AD565" s="45"/>
      <c r="AE565" s="45"/>
      <c r="AF565" s="45"/>
      <c r="AG565" s="45"/>
      <c r="AH565" s="45"/>
      <c r="AI565" s="45"/>
      <c r="AJ565" s="45"/>
      <c r="AK565" s="45"/>
      <c r="AL565" s="45"/>
      <c r="AM565" s="45"/>
      <c r="AN565" s="45"/>
      <c r="AO565" s="45"/>
      <c r="AP565" s="45"/>
      <c r="AQ565" s="36"/>
      <c r="AR565" s="36"/>
      <c r="AS565" s="36"/>
      <c r="AT565" s="36"/>
      <c r="AU565" s="36"/>
      <c r="AV565" s="36"/>
      <c r="AW565" s="36"/>
      <c r="AX565" s="36"/>
      <c r="AY565" s="36"/>
      <c r="AZ565" s="36"/>
      <c r="BA565" s="36"/>
      <c r="BB565" s="36"/>
      <c r="BC565" s="36"/>
      <c r="BD565" s="36"/>
      <c r="BE565" s="36"/>
      <c r="BF565" s="36"/>
      <c r="BG565" s="36"/>
      <c r="BH565" s="36"/>
      <c r="BI565" s="36"/>
      <c r="BJ565" s="36"/>
      <c r="BK565" s="36"/>
      <c r="BL565" s="36"/>
      <c r="BM565" s="36"/>
      <c r="BN565" s="36"/>
      <c r="BO565" s="36"/>
      <c r="BP565" s="36"/>
      <c r="BQ565" s="36"/>
    </row>
    <row r="566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51"/>
      <c r="S566" s="51"/>
      <c r="T566" s="51"/>
      <c r="U566" s="51"/>
      <c r="V566" s="51"/>
      <c r="W566" s="51"/>
      <c r="X566" s="51"/>
      <c r="Y566" s="45"/>
      <c r="Z566" s="45"/>
      <c r="AA566" s="45"/>
      <c r="AB566" s="45"/>
      <c r="AC566" s="45"/>
      <c r="AD566" s="45"/>
      <c r="AE566" s="45"/>
      <c r="AF566" s="45"/>
      <c r="AG566" s="45"/>
      <c r="AH566" s="45"/>
      <c r="AI566" s="45"/>
      <c r="AJ566" s="45"/>
      <c r="AK566" s="45"/>
      <c r="AL566" s="45"/>
      <c r="AM566" s="45"/>
      <c r="AN566" s="45"/>
      <c r="AO566" s="45"/>
      <c r="AP566" s="45"/>
      <c r="AQ566" s="36"/>
      <c r="AR566" s="36"/>
      <c r="AS566" s="36"/>
      <c r="AT566" s="36"/>
      <c r="AU566" s="36"/>
      <c r="AV566" s="36"/>
      <c r="AW566" s="36"/>
      <c r="AX566" s="36"/>
      <c r="AY566" s="36"/>
      <c r="AZ566" s="36"/>
      <c r="BA566" s="36"/>
      <c r="BB566" s="36"/>
      <c r="BC566" s="36"/>
      <c r="BD566" s="36"/>
      <c r="BE566" s="36"/>
      <c r="BF566" s="36"/>
      <c r="BG566" s="36"/>
      <c r="BH566" s="36"/>
      <c r="BI566" s="36"/>
      <c r="BJ566" s="36"/>
      <c r="BK566" s="36"/>
      <c r="BL566" s="36"/>
      <c r="BM566" s="36"/>
      <c r="BN566" s="36"/>
      <c r="BO566" s="36"/>
      <c r="BP566" s="36"/>
      <c r="BQ566" s="36"/>
    </row>
    <row r="567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51"/>
      <c r="S567" s="51"/>
      <c r="T567" s="51"/>
      <c r="U567" s="51"/>
      <c r="V567" s="51"/>
      <c r="W567" s="51"/>
      <c r="X567" s="51"/>
      <c r="Y567" s="45"/>
      <c r="Z567" s="45"/>
      <c r="AA567" s="45"/>
      <c r="AB567" s="45"/>
      <c r="AC567" s="45"/>
      <c r="AD567" s="45"/>
      <c r="AE567" s="45"/>
      <c r="AF567" s="45"/>
      <c r="AG567" s="45"/>
      <c r="AH567" s="45"/>
      <c r="AI567" s="45"/>
      <c r="AJ567" s="45"/>
      <c r="AK567" s="45"/>
      <c r="AL567" s="45"/>
      <c r="AM567" s="45"/>
      <c r="AN567" s="45"/>
      <c r="AO567" s="45"/>
      <c r="AP567" s="45"/>
      <c r="AQ567" s="36"/>
      <c r="AR567" s="36"/>
      <c r="AS567" s="36"/>
      <c r="AT567" s="36"/>
      <c r="AU567" s="36"/>
      <c r="AV567" s="36"/>
      <c r="AW567" s="36"/>
      <c r="AX567" s="36"/>
      <c r="AY567" s="36"/>
      <c r="AZ567" s="36"/>
      <c r="BA567" s="36"/>
      <c r="BB567" s="36"/>
      <c r="BC567" s="36"/>
      <c r="BD567" s="36"/>
      <c r="BE567" s="36"/>
      <c r="BF567" s="36"/>
      <c r="BG567" s="36"/>
      <c r="BH567" s="36"/>
      <c r="BI567" s="36"/>
      <c r="BJ567" s="36"/>
      <c r="BK567" s="36"/>
      <c r="BL567" s="36"/>
      <c r="BM567" s="36"/>
      <c r="BN567" s="36"/>
      <c r="BO567" s="36"/>
      <c r="BP567" s="36"/>
      <c r="BQ567" s="36"/>
    </row>
    <row r="568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51"/>
      <c r="S568" s="51"/>
      <c r="T568" s="51"/>
      <c r="U568" s="51"/>
      <c r="V568" s="51"/>
      <c r="W568" s="51"/>
      <c r="X568" s="51"/>
      <c r="Y568" s="45"/>
      <c r="Z568" s="45"/>
      <c r="AA568" s="45"/>
      <c r="AB568" s="45"/>
      <c r="AC568" s="45"/>
      <c r="AD568" s="45"/>
      <c r="AE568" s="45"/>
      <c r="AF568" s="45"/>
      <c r="AG568" s="45"/>
      <c r="AH568" s="45"/>
      <c r="AI568" s="45"/>
      <c r="AJ568" s="45"/>
      <c r="AK568" s="45"/>
      <c r="AL568" s="45"/>
      <c r="AM568" s="45"/>
      <c r="AN568" s="45"/>
      <c r="AO568" s="45"/>
      <c r="AP568" s="45"/>
      <c r="AQ568" s="36"/>
      <c r="AR568" s="36"/>
      <c r="AS568" s="36"/>
      <c r="AT568" s="36"/>
      <c r="AU568" s="36"/>
      <c r="AV568" s="36"/>
      <c r="AW568" s="36"/>
      <c r="AX568" s="36"/>
      <c r="AY568" s="36"/>
      <c r="AZ568" s="36"/>
      <c r="BA568" s="36"/>
      <c r="BB568" s="36"/>
      <c r="BC568" s="36"/>
      <c r="BD568" s="36"/>
      <c r="BE568" s="36"/>
      <c r="BF568" s="36"/>
      <c r="BG568" s="36"/>
      <c r="BH568" s="36"/>
      <c r="BI568" s="36"/>
      <c r="BJ568" s="36"/>
      <c r="BK568" s="36"/>
      <c r="BL568" s="36"/>
      <c r="BM568" s="36"/>
      <c r="BN568" s="36"/>
      <c r="BO568" s="36"/>
      <c r="BP568" s="36"/>
      <c r="BQ568" s="36"/>
    </row>
    <row r="569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51"/>
      <c r="S569" s="51"/>
      <c r="T569" s="51"/>
      <c r="U569" s="51"/>
      <c r="V569" s="51"/>
      <c r="W569" s="51"/>
      <c r="X569" s="51"/>
      <c r="Y569" s="45"/>
      <c r="Z569" s="45"/>
      <c r="AA569" s="45"/>
      <c r="AB569" s="45"/>
      <c r="AC569" s="45"/>
      <c r="AD569" s="45"/>
      <c r="AE569" s="45"/>
      <c r="AF569" s="45"/>
      <c r="AG569" s="45"/>
      <c r="AH569" s="45"/>
      <c r="AI569" s="45"/>
      <c r="AJ569" s="45"/>
      <c r="AK569" s="45"/>
      <c r="AL569" s="45"/>
      <c r="AM569" s="45"/>
      <c r="AN569" s="45"/>
      <c r="AO569" s="45"/>
      <c r="AP569" s="45"/>
      <c r="AQ569" s="36"/>
      <c r="AR569" s="36"/>
      <c r="AS569" s="36"/>
      <c r="AT569" s="36"/>
      <c r="AU569" s="36"/>
      <c r="AV569" s="36"/>
      <c r="AW569" s="36"/>
      <c r="AX569" s="36"/>
      <c r="AY569" s="36"/>
      <c r="AZ569" s="36"/>
      <c r="BA569" s="36"/>
      <c r="BB569" s="36"/>
      <c r="BC569" s="36"/>
      <c r="BD569" s="36"/>
      <c r="BE569" s="36"/>
      <c r="BF569" s="36"/>
      <c r="BG569" s="36"/>
      <c r="BH569" s="36"/>
      <c r="BI569" s="36"/>
      <c r="BJ569" s="36"/>
      <c r="BK569" s="36"/>
      <c r="BL569" s="36"/>
      <c r="BM569" s="36"/>
      <c r="BN569" s="36"/>
      <c r="BO569" s="36"/>
      <c r="BP569" s="36"/>
      <c r="BQ569" s="36"/>
    </row>
    <row r="570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51"/>
      <c r="S570" s="51"/>
      <c r="T570" s="51"/>
      <c r="U570" s="51"/>
      <c r="V570" s="51"/>
      <c r="W570" s="51"/>
      <c r="X570" s="51"/>
      <c r="Y570" s="45"/>
      <c r="Z570" s="45"/>
      <c r="AA570" s="45"/>
      <c r="AB570" s="45"/>
      <c r="AC570" s="45"/>
      <c r="AD570" s="45"/>
      <c r="AE570" s="45"/>
      <c r="AF570" s="45"/>
      <c r="AG570" s="45"/>
      <c r="AH570" s="45"/>
      <c r="AI570" s="45"/>
      <c r="AJ570" s="45"/>
      <c r="AK570" s="45"/>
      <c r="AL570" s="45"/>
      <c r="AM570" s="45"/>
      <c r="AN570" s="45"/>
      <c r="AO570" s="45"/>
      <c r="AP570" s="45"/>
      <c r="AQ570" s="36"/>
      <c r="AR570" s="36"/>
      <c r="AS570" s="36"/>
      <c r="AT570" s="36"/>
      <c r="AU570" s="36"/>
      <c r="AV570" s="36"/>
      <c r="AW570" s="36"/>
      <c r="AX570" s="36"/>
      <c r="AY570" s="36"/>
      <c r="AZ570" s="36"/>
      <c r="BA570" s="36"/>
      <c r="BB570" s="36"/>
      <c r="BC570" s="36"/>
      <c r="BD570" s="36"/>
      <c r="BE570" s="36"/>
      <c r="BF570" s="36"/>
      <c r="BG570" s="36"/>
      <c r="BH570" s="36"/>
      <c r="BI570" s="36"/>
      <c r="BJ570" s="36"/>
      <c r="BK570" s="36"/>
      <c r="BL570" s="36"/>
      <c r="BM570" s="36"/>
      <c r="BN570" s="36"/>
      <c r="BO570" s="36"/>
      <c r="BP570" s="36"/>
      <c r="BQ570" s="36"/>
    </row>
    <row r="57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51"/>
      <c r="S571" s="51"/>
      <c r="T571" s="51"/>
      <c r="U571" s="51"/>
      <c r="V571" s="51"/>
      <c r="W571" s="51"/>
      <c r="X571" s="51"/>
      <c r="Y571" s="45"/>
      <c r="Z571" s="45"/>
      <c r="AA571" s="45"/>
      <c r="AB571" s="45"/>
      <c r="AC571" s="45"/>
      <c r="AD571" s="45"/>
      <c r="AE571" s="45"/>
      <c r="AF571" s="45"/>
      <c r="AG571" s="45"/>
      <c r="AH571" s="45"/>
      <c r="AI571" s="45"/>
      <c r="AJ571" s="45"/>
      <c r="AK571" s="45"/>
      <c r="AL571" s="45"/>
      <c r="AM571" s="45"/>
      <c r="AN571" s="45"/>
      <c r="AO571" s="45"/>
      <c r="AP571" s="45"/>
      <c r="AQ571" s="36"/>
      <c r="AR571" s="36"/>
      <c r="AS571" s="36"/>
      <c r="AT571" s="36"/>
      <c r="AU571" s="36"/>
      <c r="AV571" s="36"/>
      <c r="AW571" s="36"/>
      <c r="AX571" s="36"/>
      <c r="AY571" s="36"/>
      <c r="AZ571" s="36"/>
      <c r="BA571" s="36"/>
      <c r="BB571" s="36"/>
      <c r="BC571" s="36"/>
      <c r="BD571" s="36"/>
      <c r="BE571" s="36"/>
      <c r="BF571" s="36"/>
      <c r="BG571" s="36"/>
      <c r="BH571" s="36"/>
      <c r="BI571" s="36"/>
      <c r="BJ571" s="36"/>
      <c r="BK571" s="36"/>
      <c r="BL571" s="36"/>
      <c r="BM571" s="36"/>
      <c r="BN571" s="36"/>
      <c r="BO571" s="36"/>
      <c r="BP571" s="36"/>
      <c r="BQ571" s="36"/>
    </row>
    <row r="57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51"/>
      <c r="S572" s="51"/>
      <c r="T572" s="51"/>
      <c r="U572" s="51"/>
      <c r="V572" s="51"/>
      <c r="W572" s="51"/>
      <c r="X572" s="51"/>
      <c r="Y572" s="45"/>
      <c r="Z572" s="45"/>
      <c r="AA572" s="45"/>
      <c r="AB572" s="45"/>
      <c r="AC572" s="45"/>
      <c r="AD572" s="45"/>
      <c r="AE572" s="45"/>
      <c r="AF572" s="45"/>
      <c r="AG572" s="45"/>
      <c r="AH572" s="45"/>
      <c r="AI572" s="45"/>
      <c r="AJ572" s="45"/>
      <c r="AK572" s="45"/>
      <c r="AL572" s="45"/>
      <c r="AM572" s="45"/>
      <c r="AN572" s="45"/>
      <c r="AO572" s="45"/>
      <c r="AP572" s="45"/>
      <c r="AQ572" s="36"/>
      <c r="AR572" s="36"/>
      <c r="AS572" s="36"/>
      <c r="AT572" s="36"/>
      <c r="AU572" s="36"/>
      <c r="AV572" s="36"/>
      <c r="AW572" s="36"/>
      <c r="AX572" s="36"/>
      <c r="AY572" s="36"/>
      <c r="AZ572" s="36"/>
      <c r="BA572" s="36"/>
      <c r="BB572" s="36"/>
      <c r="BC572" s="36"/>
      <c r="BD572" s="36"/>
      <c r="BE572" s="36"/>
      <c r="BF572" s="36"/>
      <c r="BG572" s="36"/>
      <c r="BH572" s="36"/>
      <c r="BI572" s="36"/>
      <c r="BJ572" s="36"/>
      <c r="BK572" s="36"/>
      <c r="BL572" s="36"/>
      <c r="BM572" s="36"/>
      <c r="BN572" s="36"/>
      <c r="BO572" s="36"/>
      <c r="BP572" s="36"/>
      <c r="BQ572" s="36"/>
    </row>
    <row r="573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51"/>
      <c r="S573" s="51"/>
      <c r="T573" s="51"/>
      <c r="U573" s="51"/>
      <c r="V573" s="51"/>
      <c r="W573" s="51"/>
      <c r="X573" s="51"/>
      <c r="Y573" s="45"/>
      <c r="Z573" s="45"/>
      <c r="AA573" s="45"/>
      <c r="AB573" s="45"/>
      <c r="AC573" s="45"/>
      <c r="AD573" s="45"/>
      <c r="AE573" s="45"/>
      <c r="AF573" s="45"/>
      <c r="AG573" s="45"/>
      <c r="AH573" s="45"/>
      <c r="AI573" s="45"/>
      <c r="AJ573" s="45"/>
      <c r="AK573" s="45"/>
      <c r="AL573" s="45"/>
      <c r="AM573" s="45"/>
      <c r="AN573" s="45"/>
      <c r="AO573" s="45"/>
      <c r="AP573" s="45"/>
      <c r="AQ573" s="36"/>
      <c r="AR573" s="36"/>
      <c r="AS573" s="36"/>
      <c r="AT573" s="36"/>
      <c r="AU573" s="36"/>
      <c r="AV573" s="36"/>
      <c r="AW573" s="36"/>
      <c r="AX573" s="36"/>
      <c r="AY573" s="36"/>
      <c r="AZ573" s="36"/>
      <c r="BA573" s="36"/>
      <c r="BB573" s="36"/>
      <c r="BC573" s="36"/>
      <c r="BD573" s="36"/>
      <c r="BE573" s="36"/>
      <c r="BF573" s="36"/>
      <c r="BG573" s="36"/>
      <c r="BH573" s="36"/>
      <c r="BI573" s="36"/>
      <c r="BJ573" s="36"/>
      <c r="BK573" s="36"/>
      <c r="BL573" s="36"/>
      <c r="BM573" s="36"/>
      <c r="BN573" s="36"/>
      <c r="BO573" s="36"/>
      <c r="BP573" s="36"/>
      <c r="BQ573" s="36"/>
    </row>
    <row r="574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51"/>
      <c r="S574" s="51"/>
      <c r="T574" s="51"/>
      <c r="U574" s="51"/>
      <c r="V574" s="51"/>
      <c r="W574" s="51"/>
      <c r="X574" s="51"/>
      <c r="Y574" s="45"/>
      <c r="Z574" s="45"/>
      <c r="AA574" s="45"/>
      <c r="AB574" s="45"/>
      <c r="AC574" s="45"/>
      <c r="AD574" s="45"/>
      <c r="AE574" s="45"/>
      <c r="AF574" s="45"/>
      <c r="AG574" s="45"/>
      <c r="AH574" s="45"/>
      <c r="AI574" s="45"/>
      <c r="AJ574" s="45"/>
      <c r="AK574" s="45"/>
      <c r="AL574" s="45"/>
      <c r="AM574" s="45"/>
      <c r="AN574" s="45"/>
      <c r="AO574" s="45"/>
      <c r="AP574" s="45"/>
      <c r="AQ574" s="36"/>
      <c r="AR574" s="36"/>
      <c r="AS574" s="36"/>
      <c r="AT574" s="36"/>
      <c r="AU574" s="36"/>
      <c r="AV574" s="36"/>
      <c r="AW574" s="36"/>
      <c r="AX574" s="36"/>
      <c r="AY574" s="36"/>
      <c r="AZ574" s="36"/>
      <c r="BA574" s="36"/>
      <c r="BB574" s="36"/>
      <c r="BC574" s="36"/>
      <c r="BD574" s="36"/>
      <c r="BE574" s="36"/>
      <c r="BF574" s="36"/>
      <c r="BG574" s="36"/>
      <c r="BH574" s="36"/>
      <c r="BI574" s="36"/>
      <c r="BJ574" s="36"/>
      <c r="BK574" s="36"/>
      <c r="BL574" s="36"/>
      <c r="BM574" s="36"/>
      <c r="BN574" s="36"/>
      <c r="BO574" s="36"/>
      <c r="BP574" s="36"/>
      <c r="BQ574" s="36"/>
    </row>
    <row r="5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51"/>
      <c r="S575" s="51"/>
      <c r="T575" s="51"/>
      <c r="U575" s="51"/>
      <c r="V575" s="51"/>
      <c r="W575" s="51"/>
      <c r="X575" s="51"/>
      <c r="Y575" s="45"/>
      <c r="Z575" s="45"/>
      <c r="AA575" s="45"/>
      <c r="AB575" s="45"/>
      <c r="AC575" s="45"/>
      <c r="AD575" s="45"/>
      <c r="AE575" s="45"/>
      <c r="AF575" s="45"/>
      <c r="AG575" s="45"/>
      <c r="AH575" s="45"/>
      <c r="AI575" s="45"/>
      <c r="AJ575" s="45"/>
      <c r="AK575" s="45"/>
      <c r="AL575" s="45"/>
      <c r="AM575" s="45"/>
      <c r="AN575" s="45"/>
      <c r="AO575" s="45"/>
      <c r="AP575" s="45"/>
      <c r="AQ575" s="36"/>
      <c r="AR575" s="36"/>
      <c r="AS575" s="36"/>
      <c r="AT575" s="36"/>
      <c r="AU575" s="36"/>
      <c r="AV575" s="36"/>
      <c r="AW575" s="36"/>
      <c r="AX575" s="36"/>
      <c r="AY575" s="36"/>
      <c r="AZ575" s="36"/>
      <c r="BA575" s="36"/>
      <c r="BB575" s="36"/>
      <c r="BC575" s="36"/>
      <c r="BD575" s="36"/>
      <c r="BE575" s="36"/>
      <c r="BF575" s="36"/>
      <c r="BG575" s="36"/>
      <c r="BH575" s="36"/>
      <c r="BI575" s="36"/>
      <c r="BJ575" s="36"/>
      <c r="BK575" s="36"/>
      <c r="BL575" s="36"/>
      <c r="BM575" s="36"/>
      <c r="BN575" s="36"/>
      <c r="BO575" s="36"/>
      <c r="BP575" s="36"/>
      <c r="BQ575" s="36"/>
    </row>
    <row r="576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51"/>
      <c r="S576" s="51"/>
      <c r="T576" s="51"/>
      <c r="U576" s="51"/>
      <c r="V576" s="51"/>
      <c r="W576" s="51"/>
      <c r="X576" s="51"/>
      <c r="Y576" s="45"/>
      <c r="Z576" s="45"/>
      <c r="AA576" s="45"/>
      <c r="AB576" s="45"/>
      <c r="AC576" s="45"/>
      <c r="AD576" s="45"/>
      <c r="AE576" s="45"/>
      <c r="AF576" s="45"/>
      <c r="AG576" s="45"/>
      <c r="AH576" s="45"/>
      <c r="AI576" s="45"/>
      <c r="AJ576" s="45"/>
      <c r="AK576" s="45"/>
      <c r="AL576" s="45"/>
      <c r="AM576" s="45"/>
      <c r="AN576" s="45"/>
      <c r="AO576" s="45"/>
      <c r="AP576" s="45"/>
      <c r="AQ576" s="36"/>
      <c r="AR576" s="36"/>
      <c r="AS576" s="36"/>
      <c r="AT576" s="36"/>
      <c r="AU576" s="36"/>
      <c r="AV576" s="36"/>
      <c r="AW576" s="36"/>
      <c r="AX576" s="36"/>
      <c r="AY576" s="36"/>
      <c r="AZ576" s="36"/>
      <c r="BA576" s="36"/>
      <c r="BB576" s="36"/>
      <c r="BC576" s="36"/>
      <c r="BD576" s="36"/>
      <c r="BE576" s="36"/>
      <c r="BF576" s="36"/>
      <c r="BG576" s="36"/>
      <c r="BH576" s="36"/>
      <c r="BI576" s="36"/>
      <c r="BJ576" s="36"/>
      <c r="BK576" s="36"/>
      <c r="BL576" s="36"/>
      <c r="BM576" s="36"/>
      <c r="BN576" s="36"/>
      <c r="BO576" s="36"/>
      <c r="BP576" s="36"/>
      <c r="BQ576" s="36"/>
    </row>
    <row r="577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51"/>
      <c r="S577" s="51"/>
      <c r="T577" s="51"/>
      <c r="U577" s="51"/>
      <c r="V577" s="51"/>
      <c r="W577" s="51"/>
      <c r="X577" s="51"/>
      <c r="Y577" s="45"/>
      <c r="Z577" s="45"/>
      <c r="AA577" s="45"/>
      <c r="AB577" s="45"/>
      <c r="AC577" s="45"/>
      <c r="AD577" s="45"/>
      <c r="AE577" s="45"/>
      <c r="AF577" s="45"/>
      <c r="AG577" s="45"/>
      <c r="AH577" s="45"/>
      <c r="AI577" s="45"/>
      <c r="AJ577" s="45"/>
      <c r="AK577" s="45"/>
      <c r="AL577" s="45"/>
      <c r="AM577" s="45"/>
      <c r="AN577" s="45"/>
      <c r="AO577" s="45"/>
      <c r="AP577" s="45"/>
      <c r="AQ577" s="36"/>
      <c r="AR577" s="36"/>
      <c r="AS577" s="36"/>
      <c r="AT577" s="36"/>
      <c r="AU577" s="36"/>
      <c r="AV577" s="36"/>
      <c r="AW577" s="36"/>
      <c r="AX577" s="36"/>
      <c r="AY577" s="36"/>
      <c r="AZ577" s="36"/>
      <c r="BA577" s="36"/>
      <c r="BB577" s="36"/>
      <c r="BC577" s="36"/>
      <c r="BD577" s="36"/>
      <c r="BE577" s="36"/>
      <c r="BF577" s="36"/>
      <c r="BG577" s="36"/>
      <c r="BH577" s="36"/>
      <c r="BI577" s="36"/>
      <c r="BJ577" s="36"/>
      <c r="BK577" s="36"/>
      <c r="BL577" s="36"/>
      <c r="BM577" s="36"/>
      <c r="BN577" s="36"/>
      <c r="BO577" s="36"/>
      <c r="BP577" s="36"/>
      <c r="BQ577" s="36"/>
    </row>
    <row r="578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51"/>
      <c r="S578" s="51"/>
      <c r="T578" s="51"/>
      <c r="U578" s="51"/>
      <c r="V578" s="51"/>
      <c r="W578" s="51"/>
      <c r="X578" s="51"/>
      <c r="Y578" s="45"/>
      <c r="Z578" s="45"/>
      <c r="AA578" s="45"/>
      <c r="AB578" s="45"/>
      <c r="AC578" s="45"/>
      <c r="AD578" s="45"/>
      <c r="AE578" s="45"/>
      <c r="AF578" s="45"/>
      <c r="AG578" s="45"/>
      <c r="AH578" s="45"/>
      <c r="AI578" s="45"/>
      <c r="AJ578" s="45"/>
      <c r="AK578" s="45"/>
      <c r="AL578" s="45"/>
      <c r="AM578" s="45"/>
      <c r="AN578" s="45"/>
      <c r="AO578" s="45"/>
      <c r="AP578" s="45"/>
      <c r="AQ578" s="36"/>
      <c r="AR578" s="36"/>
      <c r="AS578" s="36"/>
      <c r="AT578" s="36"/>
      <c r="AU578" s="36"/>
      <c r="AV578" s="36"/>
      <c r="AW578" s="36"/>
      <c r="AX578" s="36"/>
      <c r="AY578" s="36"/>
      <c r="AZ578" s="36"/>
      <c r="BA578" s="36"/>
      <c r="BB578" s="36"/>
      <c r="BC578" s="36"/>
      <c r="BD578" s="36"/>
      <c r="BE578" s="36"/>
      <c r="BF578" s="36"/>
      <c r="BG578" s="36"/>
      <c r="BH578" s="36"/>
      <c r="BI578" s="36"/>
      <c r="BJ578" s="36"/>
      <c r="BK578" s="36"/>
      <c r="BL578" s="36"/>
      <c r="BM578" s="36"/>
      <c r="BN578" s="36"/>
      <c r="BO578" s="36"/>
      <c r="BP578" s="36"/>
      <c r="BQ578" s="36"/>
    </row>
    <row r="579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51"/>
      <c r="S579" s="51"/>
      <c r="T579" s="51"/>
      <c r="U579" s="51"/>
      <c r="V579" s="51"/>
      <c r="W579" s="51"/>
      <c r="X579" s="51"/>
      <c r="Y579" s="45"/>
      <c r="Z579" s="45"/>
      <c r="AA579" s="45"/>
      <c r="AB579" s="45"/>
      <c r="AC579" s="45"/>
      <c r="AD579" s="45"/>
      <c r="AE579" s="45"/>
      <c r="AF579" s="45"/>
      <c r="AG579" s="45"/>
      <c r="AH579" s="45"/>
      <c r="AI579" s="45"/>
      <c r="AJ579" s="45"/>
      <c r="AK579" s="45"/>
      <c r="AL579" s="45"/>
      <c r="AM579" s="45"/>
      <c r="AN579" s="45"/>
      <c r="AO579" s="45"/>
      <c r="AP579" s="45"/>
      <c r="AQ579" s="36"/>
      <c r="AR579" s="36"/>
      <c r="AS579" s="36"/>
      <c r="AT579" s="36"/>
      <c r="AU579" s="36"/>
      <c r="AV579" s="36"/>
      <c r="AW579" s="36"/>
      <c r="AX579" s="36"/>
      <c r="AY579" s="36"/>
      <c r="AZ579" s="36"/>
      <c r="BA579" s="36"/>
      <c r="BB579" s="36"/>
      <c r="BC579" s="36"/>
      <c r="BD579" s="36"/>
      <c r="BE579" s="36"/>
      <c r="BF579" s="36"/>
      <c r="BG579" s="36"/>
      <c r="BH579" s="36"/>
      <c r="BI579" s="36"/>
      <c r="BJ579" s="36"/>
      <c r="BK579" s="36"/>
      <c r="BL579" s="36"/>
      <c r="BM579" s="36"/>
      <c r="BN579" s="36"/>
      <c r="BO579" s="36"/>
      <c r="BP579" s="36"/>
      <c r="BQ579" s="36"/>
    </row>
    <row r="580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51"/>
      <c r="S580" s="51"/>
      <c r="T580" s="51"/>
      <c r="U580" s="51"/>
      <c r="V580" s="51"/>
      <c r="W580" s="51"/>
      <c r="X580" s="51"/>
      <c r="Y580" s="45"/>
      <c r="Z580" s="45"/>
      <c r="AA580" s="45"/>
      <c r="AB580" s="45"/>
      <c r="AC580" s="45"/>
      <c r="AD580" s="45"/>
      <c r="AE580" s="45"/>
      <c r="AF580" s="45"/>
      <c r="AG580" s="45"/>
      <c r="AH580" s="45"/>
      <c r="AI580" s="45"/>
      <c r="AJ580" s="45"/>
      <c r="AK580" s="45"/>
      <c r="AL580" s="45"/>
      <c r="AM580" s="45"/>
      <c r="AN580" s="45"/>
      <c r="AO580" s="45"/>
      <c r="AP580" s="45"/>
      <c r="AQ580" s="36"/>
      <c r="AR580" s="36"/>
      <c r="AS580" s="36"/>
      <c r="AT580" s="36"/>
      <c r="AU580" s="36"/>
      <c r="AV580" s="36"/>
      <c r="AW580" s="36"/>
      <c r="AX580" s="36"/>
      <c r="AY580" s="36"/>
      <c r="AZ580" s="36"/>
      <c r="BA580" s="36"/>
      <c r="BB580" s="36"/>
      <c r="BC580" s="36"/>
      <c r="BD580" s="36"/>
      <c r="BE580" s="36"/>
      <c r="BF580" s="36"/>
      <c r="BG580" s="36"/>
      <c r="BH580" s="36"/>
      <c r="BI580" s="36"/>
      <c r="BJ580" s="36"/>
      <c r="BK580" s="36"/>
      <c r="BL580" s="36"/>
      <c r="BM580" s="36"/>
      <c r="BN580" s="36"/>
      <c r="BO580" s="36"/>
      <c r="BP580" s="36"/>
      <c r="BQ580" s="36"/>
    </row>
    <row r="58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51"/>
      <c r="S581" s="51"/>
      <c r="T581" s="51"/>
      <c r="U581" s="51"/>
      <c r="V581" s="51"/>
      <c r="W581" s="51"/>
      <c r="X581" s="51"/>
      <c r="Y581" s="45"/>
      <c r="Z581" s="45"/>
      <c r="AA581" s="45"/>
      <c r="AB581" s="45"/>
      <c r="AC581" s="45"/>
      <c r="AD581" s="45"/>
      <c r="AE581" s="45"/>
      <c r="AF581" s="45"/>
      <c r="AG581" s="45"/>
      <c r="AH581" s="45"/>
      <c r="AI581" s="45"/>
      <c r="AJ581" s="45"/>
      <c r="AK581" s="45"/>
      <c r="AL581" s="45"/>
      <c r="AM581" s="45"/>
      <c r="AN581" s="45"/>
      <c r="AO581" s="45"/>
      <c r="AP581" s="45"/>
      <c r="AQ581" s="36"/>
      <c r="AR581" s="36"/>
      <c r="AS581" s="36"/>
      <c r="AT581" s="36"/>
      <c r="AU581" s="36"/>
      <c r="AV581" s="36"/>
      <c r="AW581" s="36"/>
      <c r="AX581" s="36"/>
      <c r="AY581" s="36"/>
      <c r="AZ581" s="36"/>
      <c r="BA581" s="36"/>
      <c r="BB581" s="36"/>
      <c r="BC581" s="36"/>
      <c r="BD581" s="36"/>
      <c r="BE581" s="36"/>
      <c r="BF581" s="36"/>
      <c r="BG581" s="36"/>
      <c r="BH581" s="36"/>
      <c r="BI581" s="36"/>
      <c r="BJ581" s="36"/>
      <c r="BK581" s="36"/>
      <c r="BL581" s="36"/>
      <c r="BM581" s="36"/>
      <c r="BN581" s="36"/>
      <c r="BO581" s="36"/>
      <c r="BP581" s="36"/>
      <c r="BQ581" s="36"/>
    </row>
    <row r="58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51"/>
      <c r="S582" s="51"/>
      <c r="T582" s="51"/>
      <c r="U582" s="51"/>
      <c r="V582" s="51"/>
      <c r="W582" s="51"/>
      <c r="X582" s="51"/>
      <c r="Y582" s="45"/>
      <c r="Z582" s="45"/>
      <c r="AA582" s="45"/>
      <c r="AB582" s="45"/>
      <c r="AC582" s="45"/>
      <c r="AD582" s="45"/>
      <c r="AE582" s="45"/>
      <c r="AF582" s="45"/>
      <c r="AG582" s="45"/>
      <c r="AH582" s="45"/>
      <c r="AI582" s="45"/>
      <c r="AJ582" s="45"/>
      <c r="AK582" s="45"/>
      <c r="AL582" s="45"/>
      <c r="AM582" s="45"/>
      <c r="AN582" s="45"/>
      <c r="AO582" s="45"/>
      <c r="AP582" s="45"/>
      <c r="AQ582" s="36"/>
      <c r="AR582" s="36"/>
      <c r="AS582" s="36"/>
      <c r="AT582" s="36"/>
      <c r="AU582" s="36"/>
      <c r="AV582" s="36"/>
      <c r="AW582" s="36"/>
      <c r="AX582" s="36"/>
      <c r="AY582" s="36"/>
      <c r="AZ582" s="36"/>
      <c r="BA582" s="36"/>
      <c r="BB582" s="36"/>
      <c r="BC582" s="36"/>
      <c r="BD582" s="36"/>
      <c r="BE582" s="36"/>
      <c r="BF582" s="36"/>
      <c r="BG582" s="36"/>
      <c r="BH582" s="36"/>
      <c r="BI582" s="36"/>
      <c r="BJ582" s="36"/>
      <c r="BK582" s="36"/>
      <c r="BL582" s="36"/>
      <c r="BM582" s="36"/>
      <c r="BN582" s="36"/>
      <c r="BO582" s="36"/>
      <c r="BP582" s="36"/>
      <c r="BQ582" s="36"/>
    </row>
    <row r="583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51"/>
      <c r="S583" s="51"/>
      <c r="T583" s="51"/>
      <c r="U583" s="51"/>
      <c r="V583" s="51"/>
      <c r="W583" s="51"/>
      <c r="X583" s="51"/>
      <c r="Y583" s="45"/>
      <c r="Z583" s="45"/>
      <c r="AA583" s="45"/>
      <c r="AB583" s="45"/>
      <c r="AC583" s="45"/>
      <c r="AD583" s="45"/>
      <c r="AE583" s="45"/>
      <c r="AF583" s="45"/>
      <c r="AG583" s="45"/>
      <c r="AH583" s="45"/>
      <c r="AI583" s="45"/>
      <c r="AJ583" s="45"/>
      <c r="AK583" s="45"/>
      <c r="AL583" s="45"/>
      <c r="AM583" s="45"/>
      <c r="AN583" s="45"/>
      <c r="AO583" s="45"/>
      <c r="AP583" s="45"/>
      <c r="AQ583" s="36"/>
      <c r="AR583" s="36"/>
      <c r="AS583" s="36"/>
      <c r="AT583" s="36"/>
      <c r="AU583" s="36"/>
      <c r="AV583" s="36"/>
      <c r="AW583" s="36"/>
      <c r="AX583" s="36"/>
      <c r="AY583" s="36"/>
      <c r="AZ583" s="36"/>
      <c r="BA583" s="36"/>
      <c r="BB583" s="36"/>
      <c r="BC583" s="36"/>
      <c r="BD583" s="36"/>
      <c r="BE583" s="36"/>
      <c r="BF583" s="36"/>
      <c r="BG583" s="36"/>
      <c r="BH583" s="36"/>
      <c r="BI583" s="36"/>
      <c r="BJ583" s="36"/>
      <c r="BK583" s="36"/>
      <c r="BL583" s="36"/>
      <c r="BM583" s="36"/>
      <c r="BN583" s="36"/>
      <c r="BO583" s="36"/>
      <c r="BP583" s="36"/>
      <c r="BQ583" s="36"/>
    </row>
    <row r="584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51"/>
      <c r="S584" s="51"/>
      <c r="T584" s="51"/>
      <c r="U584" s="51"/>
      <c r="V584" s="51"/>
      <c r="W584" s="51"/>
      <c r="X584" s="51"/>
      <c r="Y584" s="45"/>
      <c r="Z584" s="45"/>
      <c r="AA584" s="45"/>
      <c r="AB584" s="45"/>
      <c r="AC584" s="45"/>
      <c r="AD584" s="45"/>
      <c r="AE584" s="45"/>
      <c r="AF584" s="45"/>
      <c r="AG584" s="45"/>
      <c r="AH584" s="45"/>
      <c r="AI584" s="45"/>
      <c r="AJ584" s="45"/>
      <c r="AK584" s="45"/>
      <c r="AL584" s="45"/>
      <c r="AM584" s="45"/>
      <c r="AN584" s="45"/>
      <c r="AO584" s="45"/>
      <c r="AP584" s="45"/>
      <c r="AQ584" s="36"/>
      <c r="AR584" s="36"/>
      <c r="AS584" s="36"/>
      <c r="AT584" s="36"/>
      <c r="AU584" s="36"/>
      <c r="AV584" s="36"/>
      <c r="AW584" s="36"/>
      <c r="AX584" s="36"/>
      <c r="AY584" s="36"/>
      <c r="AZ584" s="36"/>
      <c r="BA584" s="36"/>
      <c r="BB584" s="36"/>
      <c r="BC584" s="36"/>
      <c r="BD584" s="36"/>
      <c r="BE584" s="36"/>
      <c r="BF584" s="36"/>
      <c r="BG584" s="36"/>
      <c r="BH584" s="36"/>
      <c r="BI584" s="36"/>
      <c r="BJ584" s="36"/>
      <c r="BK584" s="36"/>
      <c r="BL584" s="36"/>
      <c r="BM584" s="36"/>
      <c r="BN584" s="36"/>
      <c r="BO584" s="36"/>
      <c r="BP584" s="36"/>
      <c r="BQ584" s="36"/>
    </row>
    <row r="58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51"/>
      <c r="S585" s="51"/>
      <c r="T585" s="51"/>
      <c r="U585" s="51"/>
      <c r="V585" s="51"/>
      <c r="W585" s="51"/>
      <c r="X585" s="51"/>
      <c r="Y585" s="45"/>
      <c r="Z585" s="45"/>
      <c r="AA585" s="45"/>
      <c r="AB585" s="45"/>
      <c r="AC585" s="45"/>
      <c r="AD585" s="45"/>
      <c r="AE585" s="45"/>
      <c r="AF585" s="45"/>
      <c r="AG585" s="45"/>
      <c r="AH585" s="45"/>
      <c r="AI585" s="45"/>
      <c r="AJ585" s="45"/>
      <c r="AK585" s="45"/>
      <c r="AL585" s="45"/>
      <c r="AM585" s="45"/>
      <c r="AN585" s="45"/>
      <c r="AO585" s="45"/>
      <c r="AP585" s="45"/>
      <c r="AQ585" s="36"/>
      <c r="AR585" s="36"/>
      <c r="AS585" s="36"/>
      <c r="AT585" s="36"/>
      <c r="AU585" s="36"/>
      <c r="AV585" s="36"/>
      <c r="AW585" s="36"/>
      <c r="AX585" s="36"/>
      <c r="AY585" s="36"/>
      <c r="AZ585" s="36"/>
      <c r="BA585" s="36"/>
      <c r="BB585" s="36"/>
      <c r="BC585" s="36"/>
      <c r="BD585" s="36"/>
      <c r="BE585" s="36"/>
      <c r="BF585" s="36"/>
      <c r="BG585" s="36"/>
      <c r="BH585" s="36"/>
      <c r="BI585" s="36"/>
      <c r="BJ585" s="36"/>
      <c r="BK585" s="36"/>
      <c r="BL585" s="36"/>
      <c r="BM585" s="36"/>
      <c r="BN585" s="36"/>
      <c r="BO585" s="36"/>
      <c r="BP585" s="36"/>
      <c r="BQ585" s="36"/>
    </row>
    <row r="586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51"/>
      <c r="S586" s="51"/>
      <c r="T586" s="51"/>
      <c r="U586" s="51"/>
      <c r="V586" s="51"/>
      <c r="W586" s="51"/>
      <c r="X586" s="51"/>
      <c r="Y586" s="45"/>
      <c r="Z586" s="45"/>
      <c r="AA586" s="45"/>
      <c r="AB586" s="45"/>
      <c r="AC586" s="45"/>
      <c r="AD586" s="45"/>
      <c r="AE586" s="45"/>
      <c r="AF586" s="45"/>
      <c r="AG586" s="45"/>
      <c r="AH586" s="45"/>
      <c r="AI586" s="45"/>
      <c r="AJ586" s="45"/>
      <c r="AK586" s="45"/>
      <c r="AL586" s="45"/>
      <c r="AM586" s="45"/>
      <c r="AN586" s="45"/>
      <c r="AO586" s="45"/>
      <c r="AP586" s="45"/>
      <c r="AQ586" s="36"/>
      <c r="AR586" s="36"/>
      <c r="AS586" s="36"/>
      <c r="AT586" s="36"/>
      <c r="AU586" s="36"/>
      <c r="AV586" s="36"/>
      <c r="AW586" s="36"/>
      <c r="AX586" s="36"/>
      <c r="AY586" s="36"/>
      <c r="AZ586" s="36"/>
      <c r="BA586" s="36"/>
      <c r="BB586" s="36"/>
      <c r="BC586" s="36"/>
      <c r="BD586" s="36"/>
      <c r="BE586" s="36"/>
      <c r="BF586" s="36"/>
      <c r="BG586" s="36"/>
      <c r="BH586" s="36"/>
      <c r="BI586" s="36"/>
      <c r="BJ586" s="36"/>
      <c r="BK586" s="36"/>
      <c r="BL586" s="36"/>
      <c r="BM586" s="36"/>
      <c r="BN586" s="36"/>
      <c r="BO586" s="36"/>
      <c r="BP586" s="36"/>
      <c r="BQ586" s="36"/>
    </row>
    <row r="587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51"/>
      <c r="S587" s="51"/>
      <c r="T587" s="51"/>
      <c r="U587" s="51"/>
      <c r="V587" s="51"/>
      <c r="W587" s="51"/>
      <c r="X587" s="51"/>
      <c r="Y587" s="45"/>
      <c r="Z587" s="45"/>
      <c r="AA587" s="45"/>
      <c r="AB587" s="45"/>
      <c r="AC587" s="45"/>
      <c r="AD587" s="45"/>
      <c r="AE587" s="45"/>
      <c r="AF587" s="45"/>
      <c r="AG587" s="45"/>
      <c r="AH587" s="45"/>
      <c r="AI587" s="45"/>
      <c r="AJ587" s="45"/>
      <c r="AK587" s="45"/>
      <c r="AL587" s="45"/>
      <c r="AM587" s="45"/>
      <c r="AN587" s="45"/>
      <c r="AO587" s="45"/>
      <c r="AP587" s="45"/>
      <c r="AQ587" s="36"/>
      <c r="AR587" s="36"/>
      <c r="AS587" s="36"/>
      <c r="AT587" s="36"/>
      <c r="AU587" s="36"/>
      <c r="AV587" s="36"/>
      <c r="AW587" s="36"/>
      <c r="AX587" s="36"/>
      <c r="AY587" s="36"/>
      <c r="AZ587" s="36"/>
      <c r="BA587" s="36"/>
      <c r="BB587" s="36"/>
      <c r="BC587" s="36"/>
      <c r="BD587" s="36"/>
      <c r="BE587" s="36"/>
      <c r="BF587" s="36"/>
      <c r="BG587" s="36"/>
      <c r="BH587" s="36"/>
      <c r="BI587" s="36"/>
      <c r="BJ587" s="36"/>
      <c r="BK587" s="36"/>
      <c r="BL587" s="36"/>
      <c r="BM587" s="36"/>
      <c r="BN587" s="36"/>
      <c r="BO587" s="36"/>
      <c r="BP587" s="36"/>
      <c r="BQ587" s="36"/>
    </row>
    <row r="588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51"/>
      <c r="S588" s="51"/>
      <c r="T588" s="51"/>
      <c r="U588" s="51"/>
      <c r="V588" s="51"/>
      <c r="W588" s="51"/>
      <c r="X588" s="51"/>
      <c r="Y588" s="45"/>
      <c r="Z588" s="45"/>
      <c r="AA588" s="45"/>
      <c r="AB588" s="45"/>
      <c r="AC588" s="45"/>
      <c r="AD588" s="45"/>
      <c r="AE588" s="45"/>
      <c r="AF588" s="45"/>
      <c r="AG588" s="45"/>
      <c r="AH588" s="45"/>
      <c r="AI588" s="45"/>
      <c r="AJ588" s="45"/>
      <c r="AK588" s="45"/>
      <c r="AL588" s="45"/>
      <c r="AM588" s="45"/>
      <c r="AN588" s="45"/>
      <c r="AO588" s="45"/>
      <c r="AP588" s="45"/>
      <c r="AQ588" s="36"/>
      <c r="AR588" s="36"/>
      <c r="AS588" s="36"/>
      <c r="AT588" s="36"/>
      <c r="AU588" s="36"/>
      <c r="AV588" s="36"/>
      <c r="AW588" s="36"/>
      <c r="AX588" s="36"/>
      <c r="AY588" s="36"/>
      <c r="AZ588" s="36"/>
      <c r="BA588" s="36"/>
      <c r="BB588" s="36"/>
      <c r="BC588" s="36"/>
      <c r="BD588" s="36"/>
      <c r="BE588" s="36"/>
      <c r="BF588" s="36"/>
      <c r="BG588" s="36"/>
      <c r="BH588" s="36"/>
      <c r="BI588" s="36"/>
      <c r="BJ588" s="36"/>
      <c r="BK588" s="36"/>
      <c r="BL588" s="36"/>
      <c r="BM588" s="36"/>
      <c r="BN588" s="36"/>
      <c r="BO588" s="36"/>
      <c r="BP588" s="36"/>
      <c r="BQ588" s="36"/>
    </row>
    <row r="589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51"/>
      <c r="S589" s="51"/>
      <c r="T589" s="51"/>
      <c r="U589" s="51"/>
      <c r="V589" s="51"/>
      <c r="W589" s="51"/>
      <c r="X589" s="51"/>
      <c r="Y589" s="45"/>
      <c r="Z589" s="45"/>
      <c r="AA589" s="45"/>
      <c r="AB589" s="45"/>
      <c r="AC589" s="45"/>
      <c r="AD589" s="45"/>
      <c r="AE589" s="45"/>
      <c r="AF589" s="45"/>
      <c r="AG589" s="45"/>
      <c r="AH589" s="45"/>
      <c r="AI589" s="45"/>
      <c r="AJ589" s="45"/>
      <c r="AK589" s="45"/>
      <c r="AL589" s="45"/>
      <c r="AM589" s="45"/>
      <c r="AN589" s="45"/>
      <c r="AO589" s="45"/>
      <c r="AP589" s="45"/>
      <c r="AQ589" s="36"/>
      <c r="AR589" s="36"/>
      <c r="AS589" s="36"/>
      <c r="AT589" s="36"/>
      <c r="AU589" s="36"/>
      <c r="AV589" s="36"/>
      <c r="AW589" s="36"/>
      <c r="AX589" s="36"/>
      <c r="AY589" s="36"/>
      <c r="AZ589" s="36"/>
      <c r="BA589" s="36"/>
      <c r="BB589" s="36"/>
      <c r="BC589" s="36"/>
      <c r="BD589" s="36"/>
      <c r="BE589" s="36"/>
      <c r="BF589" s="36"/>
      <c r="BG589" s="36"/>
      <c r="BH589" s="36"/>
      <c r="BI589" s="36"/>
      <c r="BJ589" s="36"/>
      <c r="BK589" s="36"/>
      <c r="BL589" s="36"/>
      <c r="BM589" s="36"/>
      <c r="BN589" s="36"/>
      <c r="BO589" s="36"/>
      <c r="BP589" s="36"/>
      <c r="BQ589" s="36"/>
    </row>
    <row r="590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51"/>
      <c r="S590" s="51"/>
      <c r="T590" s="51"/>
      <c r="U590" s="51"/>
      <c r="V590" s="51"/>
      <c r="W590" s="51"/>
      <c r="X590" s="51"/>
      <c r="Y590" s="45"/>
      <c r="Z590" s="45"/>
      <c r="AA590" s="45"/>
      <c r="AB590" s="45"/>
      <c r="AC590" s="45"/>
      <c r="AD590" s="45"/>
      <c r="AE590" s="45"/>
      <c r="AF590" s="45"/>
      <c r="AG590" s="45"/>
      <c r="AH590" s="45"/>
      <c r="AI590" s="45"/>
      <c r="AJ590" s="45"/>
      <c r="AK590" s="45"/>
      <c r="AL590" s="45"/>
      <c r="AM590" s="45"/>
      <c r="AN590" s="45"/>
      <c r="AO590" s="45"/>
      <c r="AP590" s="45"/>
      <c r="AQ590" s="36"/>
      <c r="AR590" s="36"/>
      <c r="AS590" s="36"/>
      <c r="AT590" s="36"/>
      <c r="AU590" s="36"/>
      <c r="AV590" s="36"/>
      <c r="AW590" s="36"/>
      <c r="AX590" s="36"/>
      <c r="AY590" s="36"/>
      <c r="AZ590" s="36"/>
      <c r="BA590" s="36"/>
      <c r="BB590" s="36"/>
      <c r="BC590" s="36"/>
      <c r="BD590" s="36"/>
      <c r="BE590" s="36"/>
      <c r="BF590" s="36"/>
      <c r="BG590" s="36"/>
      <c r="BH590" s="36"/>
      <c r="BI590" s="36"/>
      <c r="BJ590" s="36"/>
      <c r="BK590" s="36"/>
      <c r="BL590" s="36"/>
      <c r="BM590" s="36"/>
      <c r="BN590" s="36"/>
      <c r="BO590" s="36"/>
      <c r="BP590" s="36"/>
      <c r="BQ590" s="36"/>
    </row>
    <row r="59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51"/>
      <c r="S591" s="51"/>
      <c r="T591" s="51"/>
      <c r="U591" s="51"/>
      <c r="V591" s="51"/>
      <c r="W591" s="51"/>
      <c r="X591" s="51"/>
      <c r="Y591" s="45"/>
      <c r="Z591" s="45"/>
      <c r="AA591" s="45"/>
      <c r="AB591" s="45"/>
      <c r="AC591" s="45"/>
      <c r="AD591" s="45"/>
      <c r="AE591" s="45"/>
      <c r="AF591" s="45"/>
      <c r="AG591" s="45"/>
      <c r="AH591" s="45"/>
      <c r="AI591" s="45"/>
      <c r="AJ591" s="45"/>
      <c r="AK591" s="45"/>
      <c r="AL591" s="45"/>
      <c r="AM591" s="45"/>
      <c r="AN591" s="45"/>
      <c r="AO591" s="45"/>
      <c r="AP591" s="45"/>
      <c r="AQ591" s="36"/>
      <c r="AR591" s="36"/>
      <c r="AS591" s="36"/>
      <c r="AT591" s="36"/>
      <c r="AU591" s="36"/>
      <c r="AV591" s="36"/>
      <c r="AW591" s="36"/>
      <c r="AX591" s="36"/>
      <c r="AY591" s="36"/>
      <c r="AZ591" s="36"/>
      <c r="BA591" s="36"/>
      <c r="BB591" s="36"/>
      <c r="BC591" s="36"/>
      <c r="BD591" s="36"/>
      <c r="BE591" s="36"/>
      <c r="BF591" s="36"/>
      <c r="BG591" s="36"/>
      <c r="BH591" s="36"/>
      <c r="BI591" s="36"/>
      <c r="BJ591" s="36"/>
      <c r="BK591" s="36"/>
      <c r="BL591" s="36"/>
      <c r="BM591" s="36"/>
      <c r="BN591" s="36"/>
      <c r="BO591" s="36"/>
      <c r="BP591" s="36"/>
      <c r="BQ591" s="36"/>
    </row>
    <row r="59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51"/>
      <c r="S592" s="51"/>
      <c r="T592" s="51"/>
      <c r="U592" s="51"/>
      <c r="V592" s="51"/>
      <c r="W592" s="51"/>
      <c r="X592" s="51"/>
      <c r="Y592" s="45"/>
      <c r="Z592" s="45"/>
      <c r="AA592" s="45"/>
      <c r="AB592" s="45"/>
      <c r="AC592" s="45"/>
      <c r="AD592" s="45"/>
      <c r="AE592" s="45"/>
      <c r="AF592" s="45"/>
      <c r="AG592" s="45"/>
      <c r="AH592" s="45"/>
      <c r="AI592" s="45"/>
      <c r="AJ592" s="45"/>
      <c r="AK592" s="45"/>
      <c r="AL592" s="45"/>
      <c r="AM592" s="45"/>
      <c r="AN592" s="45"/>
      <c r="AO592" s="45"/>
      <c r="AP592" s="45"/>
      <c r="AQ592" s="36"/>
      <c r="AR592" s="36"/>
      <c r="AS592" s="36"/>
      <c r="AT592" s="36"/>
      <c r="AU592" s="36"/>
      <c r="AV592" s="36"/>
      <c r="AW592" s="36"/>
      <c r="AX592" s="36"/>
      <c r="AY592" s="36"/>
      <c r="AZ592" s="36"/>
      <c r="BA592" s="36"/>
      <c r="BB592" s="36"/>
      <c r="BC592" s="36"/>
      <c r="BD592" s="36"/>
      <c r="BE592" s="36"/>
      <c r="BF592" s="36"/>
      <c r="BG592" s="36"/>
      <c r="BH592" s="36"/>
      <c r="BI592" s="36"/>
      <c r="BJ592" s="36"/>
      <c r="BK592" s="36"/>
      <c r="BL592" s="36"/>
      <c r="BM592" s="36"/>
      <c r="BN592" s="36"/>
      <c r="BO592" s="36"/>
      <c r="BP592" s="36"/>
      <c r="BQ592" s="36"/>
    </row>
    <row r="593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51"/>
      <c r="S593" s="51"/>
      <c r="T593" s="51"/>
      <c r="U593" s="51"/>
      <c r="V593" s="51"/>
      <c r="W593" s="51"/>
      <c r="X593" s="51"/>
      <c r="Y593" s="45"/>
      <c r="Z593" s="45"/>
      <c r="AA593" s="45"/>
      <c r="AB593" s="45"/>
      <c r="AC593" s="45"/>
      <c r="AD593" s="45"/>
      <c r="AE593" s="45"/>
      <c r="AF593" s="45"/>
      <c r="AG593" s="45"/>
      <c r="AH593" s="45"/>
      <c r="AI593" s="45"/>
      <c r="AJ593" s="45"/>
      <c r="AK593" s="45"/>
      <c r="AL593" s="45"/>
      <c r="AM593" s="45"/>
      <c r="AN593" s="45"/>
      <c r="AO593" s="45"/>
      <c r="AP593" s="45"/>
      <c r="AQ593" s="36"/>
      <c r="AR593" s="36"/>
      <c r="AS593" s="36"/>
      <c r="AT593" s="36"/>
      <c r="AU593" s="36"/>
      <c r="AV593" s="36"/>
      <c r="AW593" s="36"/>
      <c r="AX593" s="36"/>
      <c r="AY593" s="36"/>
      <c r="AZ593" s="36"/>
      <c r="BA593" s="36"/>
      <c r="BB593" s="36"/>
      <c r="BC593" s="36"/>
      <c r="BD593" s="36"/>
      <c r="BE593" s="36"/>
      <c r="BF593" s="36"/>
      <c r="BG593" s="36"/>
      <c r="BH593" s="36"/>
      <c r="BI593" s="36"/>
      <c r="BJ593" s="36"/>
      <c r="BK593" s="36"/>
      <c r="BL593" s="36"/>
      <c r="BM593" s="36"/>
      <c r="BN593" s="36"/>
      <c r="BO593" s="36"/>
      <c r="BP593" s="36"/>
      <c r="BQ593" s="36"/>
    </row>
    <row r="594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51"/>
      <c r="S594" s="51"/>
      <c r="T594" s="51"/>
      <c r="U594" s="51"/>
      <c r="V594" s="51"/>
      <c r="W594" s="51"/>
      <c r="X594" s="51"/>
      <c r="Y594" s="45"/>
      <c r="Z594" s="45"/>
      <c r="AA594" s="45"/>
      <c r="AB594" s="45"/>
      <c r="AC594" s="45"/>
      <c r="AD594" s="45"/>
      <c r="AE594" s="45"/>
      <c r="AF594" s="45"/>
      <c r="AG594" s="45"/>
      <c r="AH594" s="45"/>
      <c r="AI594" s="45"/>
      <c r="AJ594" s="45"/>
      <c r="AK594" s="45"/>
      <c r="AL594" s="45"/>
      <c r="AM594" s="45"/>
      <c r="AN594" s="45"/>
      <c r="AO594" s="45"/>
      <c r="AP594" s="45"/>
      <c r="AQ594" s="36"/>
      <c r="AR594" s="36"/>
      <c r="AS594" s="36"/>
      <c r="AT594" s="36"/>
      <c r="AU594" s="36"/>
      <c r="AV594" s="36"/>
      <c r="AW594" s="36"/>
      <c r="AX594" s="36"/>
      <c r="AY594" s="36"/>
      <c r="AZ594" s="36"/>
      <c r="BA594" s="36"/>
      <c r="BB594" s="36"/>
      <c r="BC594" s="36"/>
      <c r="BD594" s="36"/>
      <c r="BE594" s="36"/>
      <c r="BF594" s="36"/>
      <c r="BG594" s="36"/>
      <c r="BH594" s="36"/>
      <c r="BI594" s="36"/>
      <c r="BJ594" s="36"/>
      <c r="BK594" s="36"/>
      <c r="BL594" s="36"/>
      <c r="BM594" s="36"/>
      <c r="BN594" s="36"/>
      <c r="BO594" s="36"/>
      <c r="BP594" s="36"/>
      <c r="BQ594" s="36"/>
    </row>
    <row r="59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51"/>
      <c r="S595" s="51"/>
      <c r="T595" s="51"/>
      <c r="U595" s="51"/>
      <c r="V595" s="51"/>
      <c r="W595" s="51"/>
      <c r="X595" s="51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5"/>
      <c r="AM595" s="45"/>
      <c r="AN595" s="45"/>
      <c r="AO595" s="45"/>
      <c r="AP595" s="45"/>
      <c r="AQ595" s="36"/>
      <c r="AR595" s="36"/>
      <c r="AS595" s="36"/>
      <c r="AT595" s="36"/>
      <c r="AU595" s="36"/>
      <c r="AV595" s="36"/>
      <c r="AW595" s="36"/>
      <c r="AX595" s="36"/>
      <c r="AY595" s="36"/>
      <c r="AZ595" s="36"/>
      <c r="BA595" s="36"/>
      <c r="BB595" s="36"/>
      <c r="BC595" s="36"/>
      <c r="BD595" s="36"/>
      <c r="BE595" s="36"/>
      <c r="BF595" s="36"/>
      <c r="BG595" s="36"/>
      <c r="BH595" s="36"/>
      <c r="BI595" s="36"/>
      <c r="BJ595" s="36"/>
      <c r="BK595" s="36"/>
      <c r="BL595" s="36"/>
      <c r="BM595" s="36"/>
      <c r="BN595" s="36"/>
      <c r="BO595" s="36"/>
      <c r="BP595" s="36"/>
      <c r="BQ595" s="36"/>
    </row>
    <row r="596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51"/>
      <c r="S596" s="51"/>
      <c r="T596" s="51"/>
      <c r="U596" s="51"/>
      <c r="V596" s="51"/>
      <c r="W596" s="51"/>
      <c r="X596" s="51"/>
      <c r="Y596" s="45"/>
      <c r="Z596" s="45"/>
      <c r="AA596" s="45"/>
      <c r="AB596" s="45"/>
      <c r="AC596" s="45"/>
      <c r="AD596" s="45"/>
      <c r="AE596" s="45"/>
      <c r="AF596" s="45"/>
      <c r="AG596" s="45"/>
      <c r="AH596" s="45"/>
      <c r="AI596" s="45"/>
      <c r="AJ596" s="45"/>
      <c r="AK596" s="45"/>
      <c r="AL596" s="45"/>
      <c r="AM596" s="45"/>
      <c r="AN596" s="45"/>
      <c r="AO596" s="45"/>
      <c r="AP596" s="45"/>
      <c r="AQ596" s="36"/>
      <c r="AR596" s="36"/>
      <c r="AS596" s="36"/>
      <c r="AT596" s="36"/>
      <c r="AU596" s="36"/>
      <c r="AV596" s="36"/>
      <c r="AW596" s="36"/>
      <c r="AX596" s="36"/>
      <c r="AY596" s="36"/>
      <c r="AZ596" s="36"/>
      <c r="BA596" s="36"/>
      <c r="BB596" s="36"/>
      <c r="BC596" s="36"/>
      <c r="BD596" s="36"/>
      <c r="BE596" s="36"/>
      <c r="BF596" s="36"/>
      <c r="BG596" s="36"/>
      <c r="BH596" s="36"/>
      <c r="BI596" s="36"/>
      <c r="BJ596" s="36"/>
      <c r="BK596" s="36"/>
      <c r="BL596" s="36"/>
      <c r="BM596" s="36"/>
      <c r="BN596" s="36"/>
      <c r="BO596" s="36"/>
      <c r="BP596" s="36"/>
      <c r="BQ596" s="36"/>
    </row>
    <row r="597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51"/>
      <c r="S597" s="51"/>
      <c r="T597" s="51"/>
      <c r="U597" s="51"/>
      <c r="V597" s="51"/>
      <c r="W597" s="51"/>
      <c r="X597" s="51"/>
      <c r="Y597" s="45"/>
      <c r="Z597" s="45"/>
      <c r="AA597" s="45"/>
      <c r="AB597" s="45"/>
      <c r="AC597" s="45"/>
      <c r="AD597" s="45"/>
      <c r="AE597" s="45"/>
      <c r="AF597" s="45"/>
      <c r="AG597" s="45"/>
      <c r="AH597" s="45"/>
      <c r="AI597" s="45"/>
      <c r="AJ597" s="45"/>
      <c r="AK597" s="45"/>
      <c r="AL597" s="45"/>
      <c r="AM597" s="45"/>
      <c r="AN597" s="45"/>
      <c r="AO597" s="45"/>
      <c r="AP597" s="45"/>
      <c r="AQ597" s="36"/>
      <c r="AR597" s="36"/>
      <c r="AS597" s="36"/>
      <c r="AT597" s="36"/>
      <c r="AU597" s="36"/>
      <c r="AV597" s="36"/>
      <c r="AW597" s="36"/>
      <c r="AX597" s="36"/>
      <c r="AY597" s="36"/>
      <c r="AZ597" s="36"/>
      <c r="BA597" s="36"/>
      <c r="BB597" s="36"/>
      <c r="BC597" s="36"/>
      <c r="BD597" s="36"/>
      <c r="BE597" s="36"/>
      <c r="BF597" s="36"/>
      <c r="BG597" s="36"/>
      <c r="BH597" s="36"/>
      <c r="BI597" s="36"/>
      <c r="BJ597" s="36"/>
      <c r="BK597" s="36"/>
      <c r="BL597" s="36"/>
      <c r="BM597" s="36"/>
      <c r="BN597" s="36"/>
      <c r="BO597" s="36"/>
      <c r="BP597" s="36"/>
      <c r="BQ597" s="36"/>
    </row>
    <row r="598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51"/>
      <c r="S598" s="51"/>
      <c r="T598" s="51"/>
      <c r="U598" s="51"/>
      <c r="V598" s="51"/>
      <c r="W598" s="51"/>
      <c r="X598" s="51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5"/>
      <c r="AM598" s="45"/>
      <c r="AN598" s="45"/>
      <c r="AO598" s="45"/>
      <c r="AP598" s="45"/>
      <c r="AQ598" s="36"/>
      <c r="AR598" s="36"/>
      <c r="AS598" s="36"/>
      <c r="AT598" s="36"/>
      <c r="AU598" s="36"/>
      <c r="AV598" s="36"/>
      <c r="AW598" s="36"/>
      <c r="AX598" s="36"/>
      <c r="AY598" s="36"/>
      <c r="AZ598" s="36"/>
      <c r="BA598" s="36"/>
      <c r="BB598" s="36"/>
      <c r="BC598" s="36"/>
      <c r="BD598" s="36"/>
      <c r="BE598" s="36"/>
      <c r="BF598" s="36"/>
      <c r="BG598" s="36"/>
      <c r="BH598" s="36"/>
      <c r="BI598" s="36"/>
      <c r="BJ598" s="36"/>
      <c r="BK598" s="36"/>
      <c r="BL598" s="36"/>
      <c r="BM598" s="36"/>
      <c r="BN598" s="36"/>
      <c r="BO598" s="36"/>
      <c r="BP598" s="36"/>
      <c r="BQ598" s="36"/>
    </row>
    <row r="599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51"/>
      <c r="S599" s="51"/>
      <c r="T599" s="51"/>
      <c r="U599" s="51"/>
      <c r="V599" s="51"/>
      <c r="W599" s="51"/>
      <c r="X599" s="51"/>
      <c r="Y599" s="45"/>
      <c r="Z599" s="45"/>
      <c r="AA599" s="45"/>
      <c r="AB599" s="45"/>
      <c r="AC599" s="45"/>
      <c r="AD599" s="45"/>
      <c r="AE599" s="45"/>
      <c r="AF599" s="45"/>
      <c r="AG599" s="45"/>
      <c r="AH599" s="45"/>
      <c r="AI599" s="45"/>
      <c r="AJ599" s="45"/>
      <c r="AK599" s="45"/>
      <c r="AL599" s="45"/>
      <c r="AM599" s="45"/>
      <c r="AN599" s="45"/>
      <c r="AO599" s="45"/>
      <c r="AP599" s="45"/>
      <c r="AQ599" s="36"/>
      <c r="AR599" s="36"/>
      <c r="AS599" s="36"/>
      <c r="AT599" s="36"/>
      <c r="AU599" s="36"/>
      <c r="AV599" s="36"/>
      <c r="AW599" s="36"/>
      <c r="AX599" s="36"/>
      <c r="AY599" s="36"/>
      <c r="AZ599" s="36"/>
      <c r="BA599" s="36"/>
      <c r="BB599" s="36"/>
      <c r="BC599" s="36"/>
      <c r="BD599" s="36"/>
      <c r="BE599" s="36"/>
      <c r="BF599" s="36"/>
      <c r="BG599" s="36"/>
      <c r="BH599" s="36"/>
      <c r="BI599" s="36"/>
      <c r="BJ599" s="36"/>
      <c r="BK599" s="36"/>
      <c r="BL599" s="36"/>
      <c r="BM599" s="36"/>
      <c r="BN599" s="36"/>
      <c r="BO599" s="36"/>
      <c r="BP599" s="36"/>
      <c r="BQ599" s="36"/>
    </row>
    <row r="600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51"/>
      <c r="S600" s="51"/>
      <c r="T600" s="51"/>
      <c r="U600" s="51"/>
      <c r="V600" s="51"/>
      <c r="W600" s="51"/>
      <c r="X600" s="51"/>
      <c r="Y600" s="45"/>
      <c r="Z600" s="45"/>
      <c r="AA600" s="45"/>
      <c r="AB600" s="45"/>
      <c r="AC600" s="45"/>
      <c r="AD600" s="45"/>
      <c r="AE600" s="45"/>
      <c r="AF600" s="45"/>
      <c r="AG600" s="45"/>
      <c r="AH600" s="45"/>
      <c r="AI600" s="45"/>
      <c r="AJ600" s="45"/>
      <c r="AK600" s="45"/>
      <c r="AL600" s="45"/>
      <c r="AM600" s="45"/>
      <c r="AN600" s="45"/>
      <c r="AO600" s="45"/>
      <c r="AP600" s="45"/>
      <c r="AQ600" s="36"/>
      <c r="AR600" s="36"/>
      <c r="AS600" s="36"/>
      <c r="AT600" s="36"/>
      <c r="AU600" s="36"/>
      <c r="AV600" s="36"/>
      <c r="AW600" s="36"/>
      <c r="AX600" s="36"/>
      <c r="AY600" s="36"/>
      <c r="AZ600" s="36"/>
      <c r="BA600" s="36"/>
      <c r="BB600" s="36"/>
      <c r="BC600" s="36"/>
      <c r="BD600" s="36"/>
      <c r="BE600" s="36"/>
      <c r="BF600" s="36"/>
      <c r="BG600" s="36"/>
      <c r="BH600" s="36"/>
      <c r="BI600" s="36"/>
      <c r="BJ600" s="36"/>
      <c r="BK600" s="36"/>
      <c r="BL600" s="36"/>
      <c r="BM600" s="36"/>
      <c r="BN600" s="36"/>
      <c r="BO600" s="36"/>
      <c r="BP600" s="36"/>
      <c r="BQ600" s="36"/>
    </row>
    <row r="60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51"/>
      <c r="S601" s="51"/>
      <c r="T601" s="51"/>
      <c r="U601" s="51"/>
      <c r="V601" s="51"/>
      <c r="W601" s="51"/>
      <c r="X601" s="51"/>
      <c r="Y601" s="45"/>
      <c r="Z601" s="45"/>
      <c r="AA601" s="45"/>
      <c r="AB601" s="45"/>
      <c r="AC601" s="45"/>
      <c r="AD601" s="45"/>
      <c r="AE601" s="45"/>
      <c r="AF601" s="45"/>
      <c r="AG601" s="45"/>
      <c r="AH601" s="45"/>
      <c r="AI601" s="45"/>
      <c r="AJ601" s="45"/>
      <c r="AK601" s="45"/>
      <c r="AL601" s="45"/>
      <c r="AM601" s="45"/>
      <c r="AN601" s="45"/>
      <c r="AO601" s="45"/>
      <c r="AP601" s="45"/>
      <c r="AQ601" s="36"/>
      <c r="AR601" s="36"/>
      <c r="AS601" s="36"/>
      <c r="AT601" s="36"/>
      <c r="AU601" s="36"/>
      <c r="AV601" s="36"/>
      <c r="AW601" s="36"/>
      <c r="AX601" s="36"/>
      <c r="AY601" s="36"/>
      <c r="AZ601" s="36"/>
      <c r="BA601" s="36"/>
      <c r="BB601" s="36"/>
      <c r="BC601" s="36"/>
      <c r="BD601" s="36"/>
      <c r="BE601" s="36"/>
      <c r="BF601" s="36"/>
      <c r="BG601" s="36"/>
      <c r="BH601" s="36"/>
      <c r="BI601" s="36"/>
      <c r="BJ601" s="36"/>
      <c r="BK601" s="36"/>
      <c r="BL601" s="36"/>
      <c r="BM601" s="36"/>
      <c r="BN601" s="36"/>
      <c r="BO601" s="36"/>
      <c r="BP601" s="36"/>
      <c r="BQ601" s="36"/>
    </row>
    <row r="60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51"/>
      <c r="S602" s="51"/>
      <c r="T602" s="51"/>
      <c r="U602" s="51"/>
      <c r="V602" s="51"/>
      <c r="W602" s="51"/>
      <c r="X602" s="51"/>
      <c r="Y602" s="45"/>
      <c r="Z602" s="45"/>
      <c r="AA602" s="45"/>
      <c r="AB602" s="45"/>
      <c r="AC602" s="45"/>
      <c r="AD602" s="45"/>
      <c r="AE602" s="45"/>
      <c r="AF602" s="45"/>
      <c r="AG602" s="45"/>
      <c r="AH602" s="45"/>
      <c r="AI602" s="45"/>
      <c r="AJ602" s="45"/>
      <c r="AK602" s="45"/>
      <c r="AL602" s="45"/>
      <c r="AM602" s="45"/>
      <c r="AN602" s="45"/>
      <c r="AO602" s="45"/>
      <c r="AP602" s="45"/>
      <c r="AQ602" s="36"/>
      <c r="AR602" s="36"/>
      <c r="AS602" s="36"/>
      <c r="AT602" s="36"/>
      <c r="AU602" s="36"/>
      <c r="AV602" s="36"/>
      <c r="AW602" s="36"/>
      <c r="AX602" s="36"/>
      <c r="AY602" s="36"/>
      <c r="AZ602" s="36"/>
      <c r="BA602" s="36"/>
      <c r="BB602" s="36"/>
      <c r="BC602" s="36"/>
      <c r="BD602" s="36"/>
      <c r="BE602" s="36"/>
      <c r="BF602" s="36"/>
      <c r="BG602" s="36"/>
      <c r="BH602" s="36"/>
      <c r="BI602" s="36"/>
      <c r="BJ602" s="36"/>
      <c r="BK602" s="36"/>
      <c r="BL602" s="36"/>
      <c r="BM602" s="36"/>
      <c r="BN602" s="36"/>
      <c r="BO602" s="36"/>
      <c r="BP602" s="36"/>
      <c r="BQ602" s="36"/>
    </row>
    <row r="603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51"/>
      <c r="S603" s="51"/>
      <c r="T603" s="51"/>
      <c r="U603" s="51"/>
      <c r="V603" s="51"/>
      <c r="W603" s="51"/>
      <c r="X603" s="51"/>
      <c r="Y603" s="45"/>
      <c r="Z603" s="45"/>
      <c r="AA603" s="45"/>
      <c r="AB603" s="45"/>
      <c r="AC603" s="45"/>
      <c r="AD603" s="45"/>
      <c r="AE603" s="45"/>
      <c r="AF603" s="45"/>
      <c r="AG603" s="45"/>
      <c r="AH603" s="45"/>
      <c r="AI603" s="45"/>
      <c r="AJ603" s="45"/>
      <c r="AK603" s="45"/>
      <c r="AL603" s="45"/>
      <c r="AM603" s="45"/>
      <c r="AN603" s="45"/>
      <c r="AO603" s="45"/>
      <c r="AP603" s="45"/>
      <c r="AQ603" s="36"/>
      <c r="AR603" s="36"/>
      <c r="AS603" s="36"/>
      <c r="AT603" s="36"/>
      <c r="AU603" s="36"/>
      <c r="AV603" s="36"/>
      <c r="AW603" s="36"/>
      <c r="AX603" s="36"/>
      <c r="AY603" s="36"/>
      <c r="AZ603" s="36"/>
      <c r="BA603" s="36"/>
      <c r="BB603" s="36"/>
      <c r="BC603" s="36"/>
      <c r="BD603" s="36"/>
      <c r="BE603" s="36"/>
      <c r="BF603" s="36"/>
      <c r="BG603" s="36"/>
      <c r="BH603" s="36"/>
      <c r="BI603" s="36"/>
      <c r="BJ603" s="36"/>
      <c r="BK603" s="36"/>
      <c r="BL603" s="36"/>
      <c r="BM603" s="36"/>
      <c r="BN603" s="36"/>
      <c r="BO603" s="36"/>
      <c r="BP603" s="36"/>
      <c r="BQ603" s="36"/>
    </row>
    <row r="604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51"/>
      <c r="S604" s="51"/>
      <c r="T604" s="51"/>
      <c r="U604" s="51"/>
      <c r="V604" s="51"/>
      <c r="W604" s="51"/>
      <c r="X604" s="51"/>
      <c r="Y604" s="45"/>
      <c r="Z604" s="45"/>
      <c r="AA604" s="45"/>
      <c r="AB604" s="45"/>
      <c r="AC604" s="45"/>
      <c r="AD604" s="45"/>
      <c r="AE604" s="45"/>
      <c r="AF604" s="45"/>
      <c r="AG604" s="45"/>
      <c r="AH604" s="45"/>
      <c r="AI604" s="45"/>
      <c r="AJ604" s="45"/>
      <c r="AK604" s="45"/>
      <c r="AL604" s="45"/>
      <c r="AM604" s="45"/>
      <c r="AN604" s="45"/>
      <c r="AO604" s="45"/>
      <c r="AP604" s="45"/>
      <c r="AQ604" s="36"/>
      <c r="AR604" s="36"/>
      <c r="AS604" s="36"/>
      <c r="AT604" s="36"/>
      <c r="AU604" s="36"/>
      <c r="AV604" s="36"/>
      <c r="AW604" s="36"/>
      <c r="AX604" s="36"/>
      <c r="AY604" s="36"/>
      <c r="AZ604" s="36"/>
      <c r="BA604" s="36"/>
      <c r="BB604" s="36"/>
      <c r="BC604" s="36"/>
      <c r="BD604" s="36"/>
      <c r="BE604" s="36"/>
      <c r="BF604" s="36"/>
      <c r="BG604" s="36"/>
      <c r="BH604" s="36"/>
      <c r="BI604" s="36"/>
      <c r="BJ604" s="36"/>
      <c r="BK604" s="36"/>
      <c r="BL604" s="36"/>
      <c r="BM604" s="36"/>
      <c r="BN604" s="36"/>
      <c r="BO604" s="36"/>
      <c r="BP604" s="36"/>
      <c r="BQ604" s="36"/>
    </row>
    <row r="60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51"/>
      <c r="S605" s="51"/>
      <c r="T605" s="51"/>
      <c r="U605" s="51"/>
      <c r="V605" s="51"/>
      <c r="W605" s="51"/>
      <c r="X605" s="51"/>
      <c r="Y605" s="45"/>
      <c r="Z605" s="45"/>
      <c r="AA605" s="45"/>
      <c r="AB605" s="45"/>
      <c r="AC605" s="45"/>
      <c r="AD605" s="45"/>
      <c r="AE605" s="45"/>
      <c r="AF605" s="45"/>
      <c r="AG605" s="45"/>
      <c r="AH605" s="45"/>
      <c r="AI605" s="45"/>
      <c r="AJ605" s="45"/>
      <c r="AK605" s="45"/>
      <c r="AL605" s="45"/>
      <c r="AM605" s="45"/>
      <c r="AN605" s="45"/>
      <c r="AO605" s="45"/>
      <c r="AP605" s="45"/>
      <c r="AQ605" s="36"/>
      <c r="AR605" s="36"/>
      <c r="AS605" s="36"/>
      <c r="AT605" s="36"/>
      <c r="AU605" s="36"/>
      <c r="AV605" s="36"/>
      <c r="AW605" s="36"/>
      <c r="AX605" s="36"/>
      <c r="AY605" s="36"/>
      <c r="AZ605" s="36"/>
      <c r="BA605" s="36"/>
      <c r="BB605" s="36"/>
      <c r="BC605" s="36"/>
      <c r="BD605" s="36"/>
      <c r="BE605" s="36"/>
      <c r="BF605" s="36"/>
      <c r="BG605" s="36"/>
      <c r="BH605" s="36"/>
      <c r="BI605" s="36"/>
      <c r="BJ605" s="36"/>
      <c r="BK605" s="36"/>
      <c r="BL605" s="36"/>
      <c r="BM605" s="36"/>
      <c r="BN605" s="36"/>
      <c r="BO605" s="36"/>
      <c r="BP605" s="36"/>
      <c r="BQ605" s="36"/>
    </row>
    <row r="606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51"/>
      <c r="S606" s="51"/>
      <c r="T606" s="51"/>
      <c r="U606" s="51"/>
      <c r="V606" s="51"/>
      <c r="W606" s="51"/>
      <c r="X606" s="51"/>
      <c r="Y606" s="45"/>
      <c r="Z606" s="45"/>
      <c r="AA606" s="45"/>
      <c r="AB606" s="45"/>
      <c r="AC606" s="45"/>
      <c r="AD606" s="45"/>
      <c r="AE606" s="45"/>
      <c r="AF606" s="45"/>
      <c r="AG606" s="45"/>
      <c r="AH606" s="45"/>
      <c r="AI606" s="45"/>
      <c r="AJ606" s="45"/>
      <c r="AK606" s="45"/>
      <c r="AL606" s="45"/>
      <c r="AM606" s="45"/>
      <c r="AN606" s="45"/>
      <c r="AO606" s="45"/>
      <c r="AP606" s="45"/>
      <c r="AQ606" s="36"/>
      <c r="AR606" s="36"/>
      <c r="AS606" s="36"/>
      <c r="AT606" s="36"/>
      <c r="AU606" s="36"/>
      <c r="AV606" s="36"/>
      <c r="AW606" s="36"/>
      <c r="AX606" s="36"/>
      <c r="AY606" s="36"/>
      <c r="AZ606" s="36"/>
      <c r="BA606" s="36"/>
      <c r="BB606" s="36"/>
      <c r="BC606" s="36"/>
      <c r="BD606" s="36"/>
      <c r="BE606" s="36"/>
      <c r="BF606" s="36"/>
      <c r="BG606" s="36"/>
      <c r="BH606" s="36"/>
      <c r="BI606" s="36"/>
      <c r="BJ606" s="36"/>
      <c r="BK606" s="36"/>
      <c r="BL606" s="36"/>
      <c r="BM606" s="36"/>
      <c r="BN606" s="36"/>
      <c r="BO606" s="36"/>
      <c r="BP606" s="36"/>
      <c r="BQ606" s="36"/>
    </row>
    <row r="607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51"/>
      <c r="S607" s="51"/>
      <c r="T607" s="51"/>
      <c r="U607" s="51"/>
      <c r="V607" s="51"/>
      <c r="W607" s="51"/>
      <c r="X607" s="51"/>
      <c r="Y607" s="45"/>
      <c r="Z607" s="45"/>
      <c r="AA607" s="45"/>
      <c r="AB607" s="45"/>
      <c r="AC607" s="45"/>
      <c r="AD607" s="45"/>
      <c r="AE607" s="45"/>
      <c r="AF607" s="45"/>
      <c r="AG607" s="45"/>
      <c r="AH607" s="45"/>
      <c r="AI607" s="45"/>
      <c r="AJ607" s="45"/>
      <c r="AK607" s="45"/>
      <c r="AL607" s="45"/>
      <c r="AM607" s="45"/>
      <c r="AN607" s="45"/>
      <c r="AO607" s="45"/>
      <c r="AP607" s="45"/>
      <c r="AQ607" s="36"/>
      <c r="AR607" s="36"/>
      <c r="AS607" s="36"/>
      <c r="AT607" s="36"/>
      <c r="AU607" s="36"/>
      <c r="AV607" s="36"/>
      <c r="AW607" s="36"/>
      <c r="AX607" s="36"/>
      <c r="AY607" s="36"/>
      <c r="AZ607" s="36"/>
      <c r="BA607" s="36"/>
      <c r="BB607" s="36"/>
      <c r="BC607" s="36"/>
      <c r="BD607" s="36"/>
      <c r="BE607" s="36"/>
      <c r="BF607" s="36"/>
      <c r="BG607" s="36"/>
      <c r="BH607" s="36"/>
      <c r="BI607" s="36"/>
      <c r="BJ607" s="36"/>
      <c r="BK607" s="36"/>
      <c r="BL607" s="36"/>
      <c r="BM607" s="36"/>
      <c r="BN607" s="36"/>
      <c r="BO607" s="36"/>
      <c r="BP607" s="36"/>
      <c r="BQ607" s="36"/>
    </row>
    <row r="608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51"/>
      <c r="S608" s="51"/>
      <c r="T608" s="51"/>
      <c r="U608" s="51"/>
      <c r="V608" s="51"/>
      <c r="W608" s="51"/>
      <c r="X608" s="51"/>
      <c r="Y608" s="45"/>
      <c r="Z608" s="45"/>
      <c r="AA608" s="45"/>
      <c r="AB608" s="45"/>
      <c r="AC608" s="45"/>
      <c r="AD608" s="45"/>
      <c r="AE608" s="45"/>
      <c r="AF608" s="45"/>
      <c r="AG608" s="45"/>
      <c r="AH608" s="45"/>
      <c r="AI608" s="45"/>
      <c r="AJ608" s="45"/>
      <c r="AK608" s="45"/>
      <c r="AL608" s="45"/>
      <c r="AM608" s="45"/>
      <c r="AN608" s="45"/>
      <c r="AO608" s="45"/>
      <c r="AP608" s="45"/>
      <c r="AQ608" s="36"/>
      <c r="AR608" s="36"/>
      <c r="AS608" s="36"/>
      <c r="AT608" s="36"/>
      <c r="AU608" s="36"/>
      <c r="AV608" s="36"/>
      <c r="AW608" s="36"/>
      <c r="AX608" s="36"/>
      <c r="AY608" s="36"/>
      <c r="AZ608" s="36"/>
      <c r="BA608" s="36"/>
      <c r="BB608" s="36"/>
      <c r="BC608" s="36"/>
      <c r="BD608" s="36"/>
      <c r="BE608" s="36"/>
      <c r="BF608" s="36"/>
      <c r="BG608" s="36"/>
      <c r="BH608" s="36"/>
      <c r="BI608" s="36"/>
      <c r="BJ608" s="36"/>
      <c r="BK608" s="36"/>
      <c r="BL608" s="36"/>
      <c r="BM608" s="36"/>
      <c r="BN608" s="36"/>
      <c r="BO608" s="36"/>
      <c r="BP608" s="36"/>
      <c r="BQ608" s="36"/>
    </row>
    <row r="609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51"/>
      <c r="S609" s="51"/>
      <c r="T609" s="51"/>
      <c r="U609" s="51"/>
      <c r="V609" s="51"/>
      <c r="W609" s="51"/>
      <c r="X609" s="51"/>
      <c r="Y609" s="45"/>
      <c r="Z609" s="45"/>
      <c r="AA609" s="45"/>
      <c r="AB609" s="45"/>
      <c r="AC609" s="45"/>
      <c r="AD609" s="45"/>
      <c r="AE609" s="45"/>
      <c r="AF609" s="45"/>
      <c r="AG609" s="45"/>
      <c r="AH609" s="45"/>
      <c r="AI609" s="45"/>
      <c r="AJ609" s="45"/>
      <c r="AK609" s="45"/>
      <c r="AL609" s="45"/>
      <c r="AM609" s="45"/>
      <c r="AN609" s="45"/>
      <c r="AO609" s="45"/>
      <c r="AP609" s="45"/>
      <c r="AQ609" s="36"/>
      <c r="AR609" s="36"/>
      <c r="AS609" s="36"/>
      <c r="AT609" s="36"/>
      <c r="AU609" s="36"/>
      <c r="AV609" s="36"/>
      <c r="AW609" s="36"/>
      <c r="AX609" s="36"/>
      <c r="AY609" s="36"/>
      <c r="AZ609" s="36"/>
      <c r="BA609" s="36"/>
      <c r="BB609" s="36"/>
      <c r="BC609" s="36"/>
      <c r="BD609" s="36"/>
      <c r="BE609" s="36"/>
      <c r="BF609" s="36"/>
      <c r="BG609" s="36"/>
      <c r="BH609" s="36"/>
      <c r="BI609" s="36"/>
      <c r="BJ609" s="36"/>
      <c r="BK609" s="36"/>
      <c r="BL609" s="36"/>
      <c r="BM609" s="36"/>
      <c r="BN609" s="36"/>
      <c r="BO609" s="36"/>
      <c r="BP609" s="36"/>
      <c r="BQ609" s="36"/>
    </row>
    <row r="610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51"/>
      <c r="S610" s="51"/>
      <c r="T610" s="51"/>
      <c r="U610" s="51"/>
      <c r="V610" s="51"/>
      <c r="W610" s="51"/>
      <c r="X610" s="51"/>
      <c r="Y610" s="45"/>
      <c r="Z610" s="45"/>
      <c r="AA610" s="45"/>
      <c r="AB610" s="45"/>
      <c r="AC610" s="45"/>
      <c r="AD610" s="45"/>
      <c r="AE610" s="45"/>
      <c r="AF610" s="45"/>
      <c r="AG610" s="45"/>
      <c r="AH610" s="45"/>
      <c r="AI610" s="45"/>
      <c r="AJ610" s="45"/>
      <c r="AK610" s="45"/>
      <c r="AL610" s="45"/>
      <c r="AM610" s="45"/>
      <c r="AN610" s="45"/>
      <c r="AO610" s="45"/>
      <c r="AP610" s="45"/>
      <c r="AQ610" s="36"/>
      <c r="AR610" s="36"/>
      <c r="AS610" s="36"/>
      <c r="AT610" s="36"/>
      <c r="AU610" s="36"/>
      <c r="AV610" s="36"/>
      <c r="AW610" s="36"/>
      <c r="AX610" s="36"/>
      <c r="AY610" s="36"/>
      <c r="AZ610" s="36"/>
      <c r="BA610" s="36"/>
      <c r="BB610" s="36"/>
      <c r="BC610" s="36"/>
      <c r="BD610" s="36"/>
      <c r="BE610" s="36"/>
      <c r="BF610" s="36"/>
      <c r="BG610" s="36"/>
      <c r="BH610" s="36"/>
      <c r="BI610" s="36"/>
      <c r="BJ610" s="36"/>
      <c r="BK610" s="36"/>
      <c r="BL610" s="36"/>
      <c r="BM610" s="36"/>
      <c r="BN610" s="36"/>
      <c r="BO610" s="36"/>
      <c r="BP610" s="36"/>
      <c r="BQ610" s="36"/>
    </row>
    <row r="61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51"/>
      <c r="S611" s="51"/>
      <c r="T611" s="51"/>
      <c r="U611" s="51"/>
      <c r="V611" s="51"/>
      <c r="W611" s="51"/>
      <c r="X611" s="51"/>
      <c r="Y611" s="45"/>
      <c r="Z611" s="45"/>
      <c r="AA611" s="45"/>
      <c r="AB611" s="45"/>
      <c r="AC611" s="45"/>
      <c r="AD611" s="45"/>
      <c r="AE611" s="45"/>
      <c r="AF611" s="45"/>
      <c r="AG611" s="45"/>
      <c r="AH611" s="45"/>
      <c r="AI611" s="45"/>
      <c r="AJ611" s="45"/>
      <c r="AK611" s="45"/>
      <c r="AL611" s="45"/>
      <c r="AM611" s="45"/>
      <c r="AN611" s="45"/>
      <c r="AO611" s="45"/>
      <c r="AP611" s="45"/>
      <c r="AQ611" s="36"/>
      <c r="AR611" s="36"/>
      <c r="AS611" s="36"/>
      <c r="AT611" s="36"/>
      <c r="AU611" s="36"/>
      <c r="AV611" s="36"/>
      <c r="AW611" s="36"/>
      <c r="AX611" s="36"/>
      <c r="AY611" s="36"/>
      <c r="AZ611" s="36"/>
      <c r="BA611" s="36"/>
      <c r="BB611" s="36"/>
      <c r="BC611" s="36"/>
      <c r="BD611" s="36"/>
      <c r="BE611" s="36"/>
      <c r="BF611" s="36"/>
      <c r="BG611" s="36"/>
      <c r="BH611" s="36"/>
      <c r="BI611" s="36"/>
      <c r="BJ611" s="36"/>
      <c r="BK611" s="36"/>
      <c r="BL611" s="36"/>
      <c r="BM611" s="36"/>
      <c r="BN611" s="36"/>
      <c r="BO611" s="36"/>
      <c r="BP611" s="36"/>
      <c r="BQ611" s="36"/>
    </row>
    <row r="61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51"/>
      <c r="S612" s="51"/>
      <c r="T612" s="51"/>
      <c r="U612" s="51"/>
      <c r="V612" s="51"/>
      <c r="W612" s="51"/>
      <c r="X612" s="51"/>
      <c r="Y612" s="45"/>
      <c r="Z612" s="45"/>
      <c r="AA612" s="45"/>
      <c r="AB612" s="45"/>
      <c r="AC612" s="45"/>
      <c r="AD612" s="45"/>
      <c r="AE612" s="45"/>
      <c r="AF612" s="45"/>
      <c r="AG612" s="45"/>
      <c r="AH612" s="45"/>
      <c r="AI612" s="45"/>
      <c r="AJ612" s="45"/>
      <c r="AK612" s="45"/>
      <c r="AL612" s="45"/>
      <c r="AM612" s="45"/>
      <c r="AN612" s="45"/>
      <c r="AO612" s="45"/>
      <c r="AP612" s="45"/>
      <c r="AQ612" s="36"/>
      <c r="AR612" s="36"/>
      <c r="AS612" s="36"/>
      <c r="AT612" s="36"/>
      <c r="AU612" s="36"/>
      <c r="AV612" s="36"/>
      <c r="AW612" s="36"/>
      <c r="AX612" s="36"/>
      <c r="AY612" s="36"/>
      <c r="AZ612" s="36"/>
      <c r="BA612" s="36"/>
      <c r="BB612" s="36"/>
      <c r="BC612" s="36"/>
      <c r="BD612" s="36"/>
      <c r="BE612" s="36"/>
      <c r="BF612" s="36"/>
      <c r="BG612" s="36"/>
      <c r="BH612" s="36"/>
      <c r="BI612" s="36"/>
      <c r="BJ612" s="36"/>
      <c r="BK612" s="36"/>
      <c r="BL612" s="36"/>
      <c r="BM612" s="36"/>
      <c r="BN612" s="36"/>
      <c r="BO612" s="36"/>
      <c r="BP612" s="36"/>
      <c r="BQ612" s="36"/>
    </row>
    <row r="613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51"/>
      <c r="S613" s="51"/>
      <c r="T613" s="51"/>
      <c r="U613" s="51"/>
      <c r="V613" s="51"/>
      <c r="W613" s="51"/>
      <c r="X613" s="51"/>
      <c r="Y613" s="45"/>
      <c r="Z613" s="45"/>
      <c r="AA613" s="45"/>
      <c r="AB613" s="45"/>
      <c r="AC613" s="45"/>
      <c r="AD613" s="45"/>
      <c r="AE613" s="45"/>
      <c r="AF613" s="45"/>
      <c r="AG613" s="45"/>
      <c r="AH613" s="45"/>
      <c r="AI613" s="45"/>
      <c r="AJ613" s="45"/>
      <c r="AK613" s="45"/>
      <c r="AL613" s="45"/>
      <c r="AM613" s="45"/>
      <c r="AN613" s="45"/>
      <c r="AO613" s="45"/>
      <c r="AP613" s="45"/>
      <c r="AQ613" s="36"/>
      <c r="AR613" s="36"/>
      <c r="AS613" s="36"/>
      <c r="AT613" s="36"/>
      <c r="AU613" s="36"/>
      <c r="AV613" s="36"/>
      <c r="AW613" s="36"/>
      <c r="AX613" s="36"/>
      <c r="AY613" s="36"/>
      <c r="AZ613" s="36"/>
      <c r="BA613" s="36"/>
      <c r="BB613" s="36"/>
      <c r="BC613" s="36"/>
      <c r="BD613" s="36"/>
      <c r="BE613" s="36"/>
      <c r="BF613" s="36"/>
      <c r="BG613" s="36"/>
      <c r="BH613" s="36"/>
      <c r="BI613" s="36"/>
      <c r="BJ613" s="36"/>
      <c r="BK613" s="36"/>
      <c r="BL613" s="36"/>
      <c r="BM613" s="36"/>
      <c r="BN613" s="36"/>
      <c r="BO613" s="36"/>
      <c r="BP613" s="36"/>
      <c r="BQ613" s="36"/>
    </row>
    <row r="614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51"/>
      <c r="S614" s="51"/>
      <c r="T614" s="51"/>
      <c r="U614" s="51"/>
      <c r="V614" s="51"/>
      <c r="W614" s="51"/>
      <c r="X614" s="51"/>
      <c r="Y614" s="45"/>
      <c r="Z614" s="45"/>
      <c r="AA614" s="45"/>
      <c r="AB614" s="45"/>
      <c r="AC614" s="45"/>
      <c r="AD614" s="45"/>
      <c r="AE614" s="45"/>
      <c r="AF614" s="45"/>
      <c r="AG614" s="45"/>
      <c r="AH614" s="45"/>
      <c r="AI614" s="45"/>
      <c r="AJ614" s="45"/>
      <c r="AK614" s="45"/>
      <c r="AL614" s="45"/>
      <c r="AM614" s="45"/>
      <c r="AN614" s="45"/>
      <c r="AO614" s="45"/>
      <c r="AP614" s="45"/>
      <c r="AQ614" s="36"/>
      <c r="AR614" s="36"/>
      <c r="AS614" s="36"/>
      <c r="AT614" s="36"/>
      <c r="AU614" s="36"/>
      <c r="AV614" s="36"/>
      <c r="AW614" s="36"/>
      <c r="AX614" s="36"/>
      <c r="AY614" s="36"/>
      <c r="AZ614" s="36"/>
      <c r="BA614" s="36"/>
      <c r="BB614" s="36"/>
      <c r="BC614" s="36"/>
      <c r="BD614" s="36"/>
      <c r="BE614" s="36"/>
      <c r="BF614" s="36"/>
      <c r="BG614" s="36"/>
      <c r="BH614" s="36"/>
      <c r="BI614" s="36"/>
      <c r="BJ614" s="36"/>
      <c r="BK614" s="36"/>
      <c r="BL614" s="36"/>
      <c r="BM614" s="36"/>
      <c r="BN614" s="36"/>
      <c r="BO614" s="36"/>
      <c r="BP614" s="36"/>
      <c r="BQ614" s="36"/>
    </row>
    <row r="61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51"/>
      <c r="S615" s="51"/>
      <c r="T615" s="51"/>
      <c r="U615" s="51"/>
      <c r="V615" s="51"/>
      <c r="W615" s="51"/>
      <c r="X615" s="51"/>
      <c r="Y615" s="45"/>
      <c r="Z615" s="45"/>
      <c r="AA615" s="45"/>
      <c r="AB615" s="45"/>
      <c r="AC615" s="45"/>
      <c r="AD615" s="45"/>
      <c r="AE615" s="45"/>
      <c r="AF615" s="45"/>
      <c r="AG615" s="45"/>
      <c r="AH615" s="45"/>
      <c r="AI615" s="45"/>
      <c r="AJ615" s="45"/>
      <c r="AK615" s="45"/>
      <c r="AL615" s="45"/>
      <c r="AM615" s="45"/>
      <c r="AN615" s="45"/>
      <c r="AO615" s="45"/>
      <c r="AP615" s="45"/>
      <c r="AQ615" s="36"/>
      <c r="AR615" s="36"/>
      <c r="AS615" s="36"/>
      <c r="AT615" s="36"/>
      <c r="AU615" s="36"/>
      <c r="AV615" s="36"/>
      <c r="AW615" s="36"/>
      <c r="AX615" s="36"/>
      <c r="AY615" s="36"/>
      <c r="AZ615" s="36"/>
      <c r="BA615" s="36"/>
      <c r="BB615" s="36"/>
      <c r="BC615" s="36"/>
      <c r="BD615" s="36"/>
      <c r="BE615" s="36"/>
      <c r="BF615" s="36"/>
      <c r="BG615" s="36"/>
      <c r="BH615" s="36"/>
      <c r="BI615" s="36"/>
      <c r="BJ615" s="36"/>
      <c r="BK615" s="36"/>
      <c r="BL615" s="36"/>
      <c r="BM615" s="36"/>
      <c r="BN615" s="36"/>
      <c r="BO615" s="36"/>
      <c r="BP615" s="36"/>
      <c r="BQ615" s="36"/>
    </row>
    <row r="616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51"/>
      <c r="S616" s="51"/>
      <c r="T616" s="51"/>
      <c r="U616" s="51"/>
      <c r="V616" s="51"/>
      <c r="W616" s="51"/>
      <c r="X616" s="51"/>
      <c r="Y616" s="45"/>
      <c r="Z616" s="45"/>
      <c r="AA616" s="45"/>
      <c r="AB616" s="45"/>
      <c r="AC616" s="45"/>
      <c r="AD616" s="45"/>
      <c r="AE616" s="45"/>
      <c r="AF616" s="45"/>
      <c r="AG616" s="45"/>
      <c r="AH616" s="45"/>
      <c r="AI616" s="45"/>
      <c r="AJ616" s="45"/>
      <c r="AK616" s="45"/>
      <c r="AL616" s="45"/>
      <c r="AM616" s="45"/>
      <c r="AN616" s="45"/>
      <c r="AO616" s="45"/>
      <c r="AP616" s="45"/>
      <c r="AQ616" s="36"/>
      <c r="AR616" s="36"/>
      <c r="AS616" s="36"/>
      <c r="AT616" s="36"/>
      <c r="AU616" s="36"/>
      <c r="AV616" s="36"/>
      <c r="AW616" s="36"/>
      <c r="AX616" s="36"/>
      <c r="AY616" s="36"/>
      <c r="AZ616" s="36"/>
      <c r="BA616" s="36"/>
      <c r="BB616" s="36"/>
      <c r="BC616" s="36"/>
      <c r="BD616" s="36"/>
      <c r="BE616" s="36"/>
      <c r="BF616" s="36"/>
      <c r="BG616" s="36"/>
      <c r="BH616" s="36"/>
      <c r="BI616" s="36"/>
      <c r="BJ616" s="36"/>
      <c r="BK616" s="36"/>
      <c r="BL616" s="36"/>
      <c r="BM616" s="36"/>
      <c r="BN616" s="36"/>
      <c r="BO616" s="36"/>
      <c r="BP616" s="36"/>
      <c r="BQ616" s="36"/>
    </row>
    <row r="617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51"/>
      <c r="S617" s="51"/>
      <c r="T617" s="51"/>
      <c r="U617" s="51"/>
      <c r="V617" s="51"/>
      <c r="W617" s="51"/>
      <c r="X617" s="51"/>
      <c r="Y617" s="45"/>
      <c r="Z617" s="45"/>
      <c r="AA617" s="45"/>
      <c r="AB617" s="45"/>
      <c r="AC617" s="45"/>
      <c r="AD617" s="45"/>
      <c r="AE617" s="45"/>
      <c r="AF617" s="45"/>
      <c r="AG617" s="45"/>
      <c r="AH617" s="45"/>
      <c r="AI617" s="45"/>
      <c r="AJ617" s="45"/>
      <c r="AK617" s="45"/>
      <c r="AL617" s="45"/>
      <c r="AM617" s="45"/>
      <c r="AN617" s="45"/>
      <c r="AO617" s="45"/>
      <c r="AP617" s="45"/>
      <c r="AQ617" s="36"/>
      <c r="AR617" s="36"/>
      <c r="AS617" s="36"/>
      <c r="AT617" s="36"/>
      <c r="AU617" s="36"/>
      <c r="AV617" s="36"/>
      <c r="AW617" s="36"/>
      <c r="AX617" s="36"/>
      <c r="AY617" s="36"/>
      <c r="AZ617" s="36"/>
      <c r="BA617" s="36"/>
      <c r="BB617" s="36"/>
      <c r="BC617" s="36"/>
      <c r="BD617" s="36"/>
      <c r="BE617" s="36"/>
      <c r="BF617" s="36"/>
      <c r="BG617" s="36"/>
      <c r="BH617" s="36"/>
      <c r="BI617" s="36"/>
      <c r="BJ617" s="36"/>
      <c r="BK617" s="36"/>
      <c r="BL617" s="36"/>
      <c r="BM617" s="36"/>
      <c r="BN617" s="36"/>
      <c r="BO617" s="36"/>
      <c r="BP617" s="36"/>
      <c r="BQ617" s="36"/>
    </row>
    <row r="618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51"/>
      <c r="S618" s="51"/>
      <c r="T618" s="51"/>
      <c r="U618" s="51"/>
      <c r="V618" s="51"/>
      <c r="W618" s="51"/>
      <c r="X618" s="51"/>
      <c r="Y618" s="45"/>
      <c r="Z618" s="45"/>
      <c r="AA618" s="45"/>
      <c r="AB618" s="45"/>
      <c r="AC618" s="45"/>
      <c r="AD618" s="45"/>
      <c r="AE618" s="45"/>
      <c r="AF618" s="45"/>
      <c r="AG618" s="45"/>
      <c r="AH618" s="45"/>
      <c r="AI618" s="45"/>
      <c r="AJ618" s="45"/>
      <c r="AK618" s="45"/>
      <c r="AL618" s="45"/>
      <c r="AM618" s="45"/>
      <c r="AN618" s="45"/>
      <c r="AO618" s="45"/>
      <c r="AP618" s="45"/>
      <c r="AQ618" s="36"/>
      <c r="AR618" s="36"/>
      <c r="AS618" s="36"/>
      <c r="AT618" s="36"/>
      <c r="AU618" s="36"/>
      <c r="AV618" s="36"/>
      <c r="AW618" s="36"/>
      <c r="AX618" s="36"/>
      <c r="AY618" s="36"/>
      <c r="AZ618" s="36"/>
      <c r="BA618" s="36"/>
      <c r="BB618" s="36"/>
      <c r="BC618" s="36"/>
      <c r="BD618" s="36"/>
      <c r="BE618" s="36"/>
      <c r="BF618" s="36"/>
      <c r="BG618" s="36"/>
      <c r="BH618" s="36"/>
      <c r="BI618" s="36"/>
      <c r="BJ618" s="36"/>
      <c r="BK618" s="36"/>
      <c r="BL618" s="36"/>
      <c r="BM618" s="36"/>
      <c r="BN618" s="36"/>
      <c r="BO618" s="36"/>
      <c r="BP618" s="36"/>
      <c r="BQ618" s="36"/>
    </row>
    <row r="619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51"/>
      <c r="S619" s="51"/>
      <c r="T619" s="51"/>
      <c r="U619" s="51"/>
      <c r="V619" s="51"/>
      <c r="W619" s="51"/>
      <c r="X619" s="51"/>
      <c r="Y619" s="45"/>
      <c r="Z619" s="45"/>
      <c r="AA619" s="45"/>
      <c r="AB619" s="45"/>
      <c r="AC619" s="45"/>
      <c r="AD619" s="45"/>
      <c r="AE619" s="45"/>
      <c r="AF619" s="45"/>
      <c r="AG619" s="45"/>
      <c r="AH619" s="45"/>
      <c r="AI619" s="45"/>
      <c r="AJ619" s="45"/>
      <c r="AK619" s="45"/>
      <c r="AL619" s="45"/>
      <c r="AM619" s="45"/>
      <c r="AN619" s="45"/>
      <c r="AO619" s="45"/>
      <c r="AP619" s="45"/>
      <c r="AQ619" s="36"/>
      <c r="AR619" s="36"/>
      <c r="AS619" s="36"/>
      <c r="AT619" s="36"/>
      <c r="AU619" s="36"/>
      <c r="AV619" s="36"/>
      <c r="AW619" s="36"/>
      <c r="AX619" s="36"/>
      <c r="AY619" s="36"/>
      <c r="AZ619" s="36"/>
      <c r="BA619" s="36"/>
      <c r="BB619" s="36"/>
      <c r="BC619" s="36"/>
      <c r="BD619" s="36"/>
      <c r="BE619" s="36"/>
      <c r="BF619" s="36"/>
      <c r="BG619" s="36"/>
      <c r="BH619" s="36"/>
      <c r="BI619" s="36"/>
      <c r="BJ619" s="36"/>
      <c r="BK619" s="36"/>
      <c r="BL619" s="36"/>
      <c r="BM619" s="36"/>
      <c r="BN619" s="36"/>
      <c r="BO619" s="36"/>
      <c r="BP619" s="36"/>
      <c r="BQ619" s="36"/>
    </row>
    <row r="620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51"/>
      <c r="S620" s="51"/>
      <c r="T620" s="51"/>
      <c r="U620" s="51"/>
      <c r="V620" s="51"/>
      <c r="W620" s="51"/>
      <c r="X620" s="51"/>
      <c r="Y620" s="45"/>
      <c r="Z620" s="45"/>
      <c r="AA620" s="45"/>
      <c r="AB620" s="45"/>
      <c r="AC620" s="45"/>
      <c r="AD620" s="45"/>
      <c r="AE620" s="45"/>
      <c r="AF620" s="45"/>
      <c r="AG620" s="45"/>
      <c r="AH620" s="45"/>
      <c r="AI620" s="45"/>
      <c r="AJ620" s="45"/>
      <c r="AK620" s="45"/>
      <c r="AL620" s="45"/>
      <c r="AM620" s="45"/>
      <c r="AN620" s="45"/>
      <c r="AO620" s="45"/>
      <c r="AP620" s="45"/>
      <c r="AQ620" s="36"/>
      <c r="AR620" s="36"/>
      <c r="AS620" s="36"/>
      <c r="AT620" s="36"/>
      <c r="AU620" s="36"/>
      <c r="AV620" s="36"/>
      <c r="AW620" s="36"/>
      <c r="AX620" s="36"/>
      <c r="AY620" s="36"/>
      <c r="AZ620" s="36"/>
      <c r="BA620" s="36"/>
      <c r="BB620" s="36"/>
      <c r="BC620" s="36"/>
      <c r="BD620" s="36"/>
      <c r="BE620" s="36"/>
      <c r="BF620" s="36"/>
      <c r="BG620" s="36"/>
      <c r="BH620" s="36"/>
      <c r="BI620" s="36"/>
      <c r="BJ620" s="36"/>
      <c r="BK620" s="36"/>
      <c r="BL620" s="36"/>
      <c r="BM620" s="36"/>
      <c r="BN620" s="36"/>
      <c r="BO620" s="36"/>
      <c r="BP620" s="36"/>
      <c r="BQ620" s="36"/>
    </row>
    <row r="62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51"/>
      <c r="S621" s="51"/>
      <c r="T621" s="51"/>
      <c r="U621" s="51"/>
      <c r="V621" s="51"/>
      <c r="W621" s="51"/>
      <c r="X621" s="51"/>
      <c r="Y621" s="45"/>
      <c r="Z621" s="45"/>
      <c r="AA621" s="45"/>
      <c r="AB621" s="45"/>
      <c r="AC621" s="45"/>
      <c r="AD621" s="45"/>
      <c r="AE621" s="45"/>
      <c r="AF621" s="45"/>
      <c r="AG621" s="45"/>
      <c r="AH621" s="45"/>
      <c r="AI621" s="45"/>
      <c r="AJ621" s="45"/>
      <c r="AK621" s="45"/>
      <c r="AL621" s="45"/>
      <c r="AM621" s="45"/>
      <c r="AN621" s="45"/>
      <c r="AO621" s="45"/>
      <c r="AP621" s="45"/>
      <c r="AQ621" s="36"/>
      <c r="AR621" s="36"/>
      <c r="AS621" s="36"/>
      <c r="AT621" s="36"/>
      <c r="AU621" s="36"/>
      <c r="AV621" s="36"/>
      <c r="AW621" s="36"/>
      <c r="AX621" s="36"/>
      <c r="AY621" s="36"/>
      <c r="AZ621" s="36"/>
      <c r="BA621" s="36"/>
      <c r="BB621" s="36"/>
      <c r="BC621" s="36"/>
      <c r="BD621" s="36"/>
      <c r="BE621" s="36"/>
      <c r="BF621" s="36"/>
      <c r="BG621" s="36"/>
      <c r="BH621" s="36"/>
      <c r="BI621" s="36"/>
      <c r="BJ621" s="36"/>
      <c r="BK621" s="36"/>
      <c r="BL621" s="36"/>
      <c r="BM621" s="36"/>
      <c r="BN621" s="36"/>
      <c r="BO621" s="36"/>
      <c r="BP621" s="36"/>
      <c r="BQ621" s="36"/>
    </row>
    <row r="62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51"/>
      <c r="S622" s="51"/>
      <c r="T622" s="51"/>
      <c r="U622" s="51"/>
      <c r="V622" s="51"/>
      <c r="W622" s="51"/>
      <c r="X622" s="51"/>
      <c r="Y622" s="45"/>
      <c r="Z622" s="45"/>
      <c r="AA622" s="45"/>
      <c r="AB622" s="45"/>
      <c r="AC622" s="45"/>
      <c r="AD622" s="45"/>
      <c r="AE622" s="45"/>
      <c r="AF622" s="45"/>
      <c r="AG622" s="45"/>
      <c r="AH622" s="45"/>
      <c r="AI622" s="45"/>
      <c r="AJ622" s="45"/>
      <c r="AK622" s="45"/>
      <c r="AL622" s="45"/>
      <c r="AM622" s="45"/>
      <c r="AN622" s="45"/>
      <c r="AO622" s="45"/>
      <c r="AP622" s="45"/>
      <c r="AQ622" s="36"/>
      <c r="AR622" s="36"/>
      <c r="AS622" s="36"/>
      <c r="AT622" s="36"/>
      <c r="AU622" s="36"/>
      <c r="AV622" s="36"/>
      <c r="AW622" s="36"/>
      <c r="AX622" s="36"/>
      <c r="AY622" s="36"/>
      <c r="AZ622" s="36"/>
      <c r="BA622" s="36"/>
      <c r="BB622" s="36"/>
      <c r="BC622" s="36"/>
      <c r="BD622" s="36"/>
      <c r="BE622" s="36"/>
      <c r="BF622" s="36"/>
      <c r="BG622" s="36"/>
      <c r="BH622" s="36"/>
      <c r="BI622" s="36"/>
      <c r="BJ622" s="36"/>
      <c r="BK622" s="36"/>
      <c r="BL622" s="36"/>
      <c r="BM622" s="36"/>
      <c r="BN622" s="36"/>
      <c r="BO622" s="36"/>
      <c r="BP622" s="36"/>
      <c r="BQ622" s="36"/>
    </row>
    <row r="623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51"/>
      <c r="S623" s="51"/>
      <c r="T623" s="51"/>
      <c r="U623" s="51"/>
      <c r="V623" s="51"/>
      <c r="W623" s="51"/>
      <c r="X623" s="51"/>
      <c r="Y623" s="45"/>
      <c r="Z623" s="45"/>
      <c r="AA623" s="45"/>
      <c r="AB623" s="45"/>
      <c r="AC623" s="45"/>
      <c r="AD623" s="45"/>
      <c r="AE623" s="45"/>
      <c r="AF623" s="45"/>
      <c r="AG623" s="45"/>
      <c r="AH623" s="45"/>
      <c r="AI623" s="45"/>
      <c r="AJ623" s="45"/>
      <c r="AK623" s="45"/>
      <c r="AL623" s="45"/>
      <c r="AM623" s="45"/>
      <c r="AN623" s="45"/>
      <c r="AO623" s="45"/>
      <c r="AP623" s="45"/>
      <c r="AQ623" s="36"/>
      <c r="AR623" s="36"/>
      <c r="AS623" s="36"/>
      <c r="AT623" s="36"/>
      <c r="AU623" s="36"/>
      <c r="AV623" s="36"/>
      <c r="AW623" s="36"/>
      <c r="AX623" s="36"/>
      <c r="AY623" s="36"/>
      <c r="AZ623" s="36"/>
      <c r="BA623" s="36"/>
      <c r="BB623" s="36"/>
      <c r="BC623" s="36"/>
      <c r="BD623" s="36"/>
      <c r="BE623" s="36"/>
      <c r="BF623" s="36"/>
      <c r="BG623" s="36"/>
      <c r="BH623" s="36"/>
      <c r="BI623" s="36"/>
      <c r="BJ623" s="36"/>
      <c r="BK623" s="36"/>
      <c r="BL623" s="36"/>
      <c r="BM623" s="36"/>
      <c r="BN623" s="36"/>
      <c r="BO623" s="36"/>
      <c r="BP623" s="36"/>
      <c r="BQ623" s="36"/>
    </row>
    <row r="624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51"/>
      <c r="S624" s="51"/>
      <c r="T624" s="51"/>
      <c r="U624" s="51"/>
      <c r="V624" s="51"/>
      <c r="W624" s="51"/>
      <c r="X624" s="51"/>
      <c r="Y624" s="45"/>
      <c r="Z624" s="45"/>
      <c r="AA624" s="45"/>
      <c r="AB624" s="45"/>
      <c r="AC624" s="45"/>
      <c r="AD624" s="45"/>
      <c r="AE624" s="45"/>
      <c r="AF624" s="45"/>
      <c r="AG624" s="45"/>
      <c r="AH624" s="45"/>
      <c r="AI624" s="45"/>
      <c r="AJ624" s="45"/>
      <c r="AK624" s="45"/>
      <c r="AL624" s="45"/>
      <c r="AM624" s="45"/>
      <c r="AN624" s="45"/>
      <c r="AO624" s="45"/>
      <c r="AP624" s="45"/>
      <c r="AQ624" s="36"/>
      <c r="AR624" s="36"/>
      <c r="AS624" s="36"/>
      <c r="AT624" s="36"/>
      <c r="AU624" s="36"/>
      <c r="AV624" s="36"/>
      <c r="AW624" s="36"/>
      <c r="AX624" s="36"/>
      <c r="AY624" s="36"/>
      <c r="AZ624" s="36"/>
      <c r="BA624" s="36"/>
      <c r="BB624" s="36"/>
      <c r="BC624" s="36"/>
      <c r="BD624" s="36"/>
      <c r="BE624" s="36"/>
      <c r="BF624" s="36"/>
      <c r="BG624" s="36"/>
      <c r="BH624" s="36"/>
      <c r="BI624" s="36"/>
      <c r="BJ624" s="36"/>
      <c r="BK624" s="36"/>
      <c r="BL624" s="36"/>
      <c r="BM624" s="36"/>
      <c r="BN624" s="36"/>
      <c r="BO624" s="36"/>
      <c r="BP624" s="36"/>
      <c r="BQ624" s="36"/>
    </row>
    <row r="6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51"/>
      <c r="S625" s="51"/>
      <c r="T625" s="51"/>
      <c r="U625" s="51"/>
      <c r="V625" s="51"/>
      <c r="W625" s="51"/>
      <c r="X625" s="51"/>
      <c r="Y625" s="45"/>
      <c r="Z625" s="45"/>
      <c r="AA625" s="45"/>
      <c r="AB625" s="45"/>
      <c r="AC625" s="45"/>
      <c r="AD625" s="45"/>
      <c r="AE625" s="45"/>
      <c r="AF625" s="45"/>
      <c r="AG625" s="45"/>
      <c r="AH625" s="45"/>
      <c r="AI625" s="45"/>
      <c r="AJ625" s="45"/>
      <c r="AK625" s="45"/>
      <c r="AL625" s="45"/>
      <c r="AM625" s="45"/>
      <c r="AN625" s="45"/>
      <c r="AO625" s="45"/>
      <c r="AP625" s="45"/>
      <c r="AQ625" s="36"/>
      <c r="AR625" s="36"/>
      <c r="AS625" s="36"/>
      <c r="AT625" s="36"/>
      <c r="AU625" s="36"/>
      <c r="AV625" s="36"/>
      <c r="AW625" s="36"/>
      <c r="AX625" s="36"/>
      <c r="AY625" s="36"/>
      <c r="AZ625" s="36"/>
      <c r="BA625" s="36"/>
      <c r="BB625" s="36"/>
      <c r="BC625" s="36"/>
      <c r="BD625" s="36"/>
      <c r="BE625" s="36"/>
      <c r="BF625" s="36"/>
      <c r="BG625" s="36"/>
      <c r="BH625" s="36"/>
      <c r="BI625" s="36"/>
      <c r="BJ625" s="36"/>
      <c r="BK625" s="36"/>
      <c r="BL625" s="36"/>
      <c r="BM625" s="36"/>
      <c r="BN625" s="36"/>
      <c r="BO625" s="36"/>
      <c r="BP625" s="36"/>
      <c r="BQ625" s="36"/>
    </row>
    <row r="626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51"/>
      <c r="S626" s="51"/>
      <c r="T626" s="51"/>
      <c r="U626" s="51"/>
      <c r="V626" s="51"/>
      <c r="W626" s="51"/>
      <c r="X626" s="51"/>
      <c r="Y626" s="45"/>
      <c r="Z626" s="45"/>
      <c r="AA626" s="45"/>
      <c r="AB626" s="45"/>
      <c r="AC626" s="45"/>
      <c r="AD626" s="45"/>
      <c r="AE626" s="45"/>
      <c r="AF626" s="45"/>
      <c r="AG626" s="45"/>
      <c r="AH626" s="45"/>
      <c r="AI626" s="45"/>
      <c r="AJ626" s="45"/>
      <c r="AK626" s="45"/>
      <c r="AL626" s="45"/>
      <c r="AM626" s="45"/>
      <c r="AN626" s="45"/>
      <c r="AO626" s="45"/>
      <c r="AP626" s="45"/>
      <c r="AQ626" s="36"/>
      <c r="AR626" s="36"/>
      <c r="AS626" s="36"/>
      <c r="AT626" s="36"/>
      <c r="AU626" s="36"/>
      <c r="AV626" s="36"/>
      <c r="AW626" s="36"/>
      <c r="AX626" s="36"/>
      <c r="AY626" s="36"/>
      <c r="AZ626" s="36"/>
      <c r="BA626" s="36"/>
      <c r="BB626" s="36"/>
      <c r="BC626" s="36"/>
      <c r="BD626" s="36"/>
      <c r="BE626" s="36"/>
      <c r="BF626" s="36"/>
      <c r="BG626" s="36"/>
      <c r="BH626" s="36"/>
      <c r="BI626" s="36"/>
      <c r="BJ626" s="36"/>
      <c r="BK626" s="36"/>
      <c r="BL626" s="36"/>
      <c r="BM626" s="36"/>
      <c r="BN626" s="36"/>
      <c r="BO626" s="36"/>
      <c r="BP626" s="36"/>
      <c r="BQ626" s="36"/>
    </row>
    <row r="627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51"/>
      <c r="S627" s="51"/>
      <c r="T627" s="51"/>
      <c r="U627" s="51"/>
      <c r="V627" s="51"/>
      <c r="W627" s="51"/>
      <c r="X627" s="51"/>
      <c r="Y627" s="45"/>
      <c r="Z627" s="45"/>
      <c r="AA627" s="45"/>
      <c r="AB627" s="45"/>
      <c r="AC627" s="45"/>
      <c r="AD627" s="45"/>
      <c r="AE627" s="45"/>
      <c r="AF627" s="45"/>
      <c r="AG627" s="45"/>
      <c r="AH627" s="45"/>
      <c r="AI627" s="45"/>
      <c r="AJ627" s="45"/>
      <c r="AK627" s="45"/>
      <c r="AL627" s="45"/>
      <c r="AM627" s="45"/>
      <c r="AN627" s="45"/>
      <c r="AO627" s="45"/>
      <c r="AP627" s="45"/>
      <c r="AQ627" s="36"/>
      <c r="AR627" s="36"/>
      <c r="AS627" s="36"/>
      <c r="AT627" s="36"/>
      <c r="AU627" s="36"/>
      <c r="AV627" s="36"/>
      <c r="AW627" s="36"/>
      <c r="AX627" s="36"/>
      <c r="AY627" s="36"/>
      <c r="AZ627" s="36"/>
      <c r="BA627" s="36"/>
      <c r="BB627" s="36"/>
      <c r="BC627" s="36"/>
      <c r="BD627" s="36"/>
      <c r="BE627" s="36"/>
      <c r="BF627" s="36"/>
      <c r="BG627" s="36"/>
      <c r="BH627" s="36"/>
      <c r="BI627" s="36"/>
      <c r="BJ627" s="36"/>
      <c r="BK627" s="36"/>
      <c r="BL627" s="36"/>
      <c r="BM627" s="36"/>
      <c r="BN627" s="36"/>
      <c r="BO627" s="36"/>
      <c r="BP627" s="36"/>
      <c r="BQ627" s="36"/>
    </row>
    <row r="628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51"/>
      <c r="S628" s="51"/>
      <c r="T628" s="51"/>
      <c r="U628" s="51"/>
      <c r="V628" s="51"/>
      <c r="W628" s="51"/>
      <c r="X628" s="51"/>
      <c r="Y628" s="45"/>
      <c r="Z628" s="45"/>
      <c r="AA628" s="45"/>
      <c r="AB628" s="45"/>
      <c r="AC628" s="45"/>
      <c r="AD628" s="45"/>
      <c r="AE628" s="45"/>
      <c r="AF628" s="45"/>
      <c r="AG628" s="45"/>
      <c r="AH628" s="45"/>
      <c r="AI628" s="45"/>
      <c r="AJ628" s="45"/>
      <c r="AK628" s="45"/>
      <c r="AL628" s="45"/>
      <c r="AM628" s="45"/>
      <c r="AN628" s="45"/>
      <c r="AO628" s="45"/>
      <c r="AP628" s="45"/>
      <c r="AQ628" s="36"/>
      <c r="AR628" s="36"/>
      <c r="AS628" s="36"/>
      <c r="AT628" s="36"/>
      <c r="AU628" s="36"/>
      <c r="AV628" s="36"/>
      <c r="AW628" s="36"/>
      <c r="AX628" s="36"/>
      <c r="AY628" s="36"/>
      <c r="AZ628" s="36"/>
      <c r="BA628" s="36"/>
      <c r="BB628" s="36"/>
      <c r="BC628" s="36"/>
      <c r="BD628" s="36"/>
      <c r="BE628" s="36"/>
      <c r="BF628" s="36"/>
      <c r="BG628" s="36"/>
      <c r="BH628" s="36"/>
      <c r="BI628" s="36"/>
      <c r="BJ628" s="36"/>
      <c r="BK628" s="36"/>
      <c r="BL628" s="36"/>
      <c r="BM628" s="36"/>
      <c r="BN628" s="36"/>
      <c r="BO628" s="36"/>
      <c r="BP628" s="36"/>
      <c r="BQ628" s="36"/>
    </row>
    <row r="629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51"/>
      <c r="S629" s="51"/>
      <c r="T629" s="51"/>
      <c r="U629" s="51"/>
      <c r="V629" s="51"/>
      <c r="W629" s="51"/>
      <c r="X629" s="51"/>
      <c r="Y629" s="45"/>
      <c r="Z629" s="45"/>
      <c r="AA629" s="45"/>
      <c r="AB629" s="45"/>
      <c r="AC629" s="45"/>
      <c r="AD629" s="45"/>
      <c r="AE629" s="45"/>
      <c r="AF629" s="45"/>
      <c r="AG629" s="45"/>
      <c r="AH629" s="45"/>
      <c r="AI629" s="45"/>
      <c r="AJ629" s="45"/>
      <c r="AK629" s="45"/>
      <c r="AL629" s="45"/>
      <c r="AM629" s="45"/>
      <c r="AN629" s="45"/>
      <c r="AO629" s="45"/>
      <c r="AP629" s="45"/>
      <c r="AQ629" s="36"/>
      <c r="AR629" s="36"/>
      <c r="AS629" s="36"/>
      <c r="AT629" s="36"/>
      <c r="AU629" s="36"/>
      <c r="AV629" s="36"/>
      <c r="AW629" s="36"/>
      <c r="AX629" s="36"/>
      <c r="AY629" s="36"/>
      <c r="AZ629" s="36"/>
      <c r="BA629" s="36"/>
      <c r="BB629" s="36"/>
      <c r="BC629" s="36"/>
      <c r="BD629" s="36"/>
      <c r="BE629" s="36"/>
      <c r="BF629" s="36"/>
      <c r="BG629" s="36"/>
      <c r="BH629" s="36"/>
      <c r="BI629" s="36"/>
      <c r="BJ629" s="36"/>
      <c r="BK629" s="36"/>
      <c r="BL629" s="36"/>
      <c r="BM629" s="36"/>
      <c r="BN629" s="36"/>
      <c r="BO629" s="36"/>
      <c r="BP629" s="36"/>
      <c r="BQ629" s="36"/>
    </row>
    <row r="630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51"/>
      <c r="S630" s="51"/>
      <c r="T630" s="51"/>
      <c r="U630" s="51"/>
      <c r="V630" s="51"/>
      <c r="W630" s="51"/>
      <c r="X630" s="51"/>
      <c r="Y630" s="45"/>
      <c r="Z630" s="45"/>
      <c r="AA630" s="45"/>
      <c r="AB630" s="45"/>
      <c r="AC630" s="45"/>
      <c r="AD630" s="45"/>
      <c r="AE630" s="45"/>
      <c r="AF630" s="45"/>
      <c r="AG630" s="45"/>
      <c r="AH630" s="45"/>
      <c r="AI630" s="45"/>
      <c r="AJ630" s="45"/>
      <c r="AK630" s="45"/>
      <c r="AL630" s="45"/>
      <c r="AM630" s="45"/>
      <c r="AN630" s="45"/>
      <c r="AO630" s="45"/>
      <c r="AP630" s="45"/>
      <c r="AQ630" s="36"/>
      <c r="AR630" s="36"/>
      <c r="AS630" s="36"/>
      <c r="AT630" s="36"/>
      <c r="AU630" s="36"/>
      <c r="AV630" s="36"/>
      <c r="AW630" s="36"/>
      <c r="AX630" s="36"/>
      <c r="AY630" s="36"/>
      <c r="AZ630" s="36"/>
      <c r="BA630" s="36"/>
      <c r="BB630" s="36"/>
      <c r="BC630" s="36"/>
      <c r="BD630" s="36"/>
      <c r="BE630" s="36"/>
      <c r="BF630" s="36"/>
      <c r="BG630" s="36"/>
      <c r="BH630" s="36"/>
      <c r="BI630" s="36"/>
      <c r="BJ630" s="36"/>
      <c r="BK630" s="36"/>
      <c r="BL630" s="36"/>
      <c r="BM630" s="36"/>
      <c r="BN630" s="36"/>
      <c r="BO630" s="36"/>
      <c r="BP630" s="36"/>
      <c r="BQ630" s="36"/>
    </row>
    <row r="63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51"/>
      <c r="S631" s="51"/>
      <c r="T631" s="51"/>
      <c r="U631" s="51"/>
      <c r="V631" s="51"/>
      <c r="W631" s="51"/>
      <c r="X631" s="51"/>
      <c r="Y631" s="45"/>
      <c r="Z631" s="45"/>
      <c r="AA631" s="45"/>
      <c r="AB631" s="45"/>
      <c r="AC631" s="45"/>
      <c r="AD631" s="45"/>
      <c r="AE631" s="45"/>
      <c r="AF631" s="45"/>
      <c r="AG631" s="45"/>
      <c r="AH631" s="45"/>
      <c r="AI631" s="45"/>
      <c r="AJ631" s="45"/>
      <c r="AK631" s="45"/>
      <c r="AL631" s="45"/>
      <c r="AM631" s="45"/>
      <c r="AN631" s="45"/>
      <c r="AO631" s="45"/>
      <c r="AP631" s="45"/>
      <c r="AQ631" s="36"/>
      <c r="AR631" s="36"/>
      <c r="AS631" s="36"/>
      <c r="AT631" s="36"/>
      <c r="AU631" s="36"/>
      <c r="AV631" s="36"/>
      <c r="AW631" s="36"/>
      <c r="AX631" s="36"/>
      <c r="AY631" s="36"/>
      <c r="AZ631" s="36"/>
      <c r="BA631" s="36"/>
      <c r="BB631" s="36"/>
      <c r="BC631" s="36"/>
      <c r="BD631" s="36"/>
      <c r="BE631" s="36"/>
      <c r="BF631" s="36"/>
      <c r="BG631" s="36"/>
      <c r="BH631" s="36"/>
      <c r="BI631" s="36"/>
      <c r="BJ631" s="36"/>
      <c r="BK631" s="36"/>
      <c r="BL631" s="36"/>
      <c r="BM631" s="36"/>
      <c r="BN631" s="36"/>
      <c r="BO631" s="36"/>
      <c r="BP631" s="36"/>
      <c r="BQ631" s="36"/>
    </row>
    <row r="632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51"/>
      <c r="S632" s="51"/>
      <c r="T632" s="51"/>
      <c r="U632" s="51"/>
      <c r="V632" s="51"/>
      <c r="W632" s="51"/>
      <c r="X632" s="51"/>
      <c r="Y632" s="45"/>
      <c r="Z632" s="45"/>
      <c r="AA632" s="45"/>
      <c r="AB632" s="45"/>
      <c r="AC632" s="45"/>
      <c r="AD632" s="45"/>
      <c r="AE632" s="45"/>
      <c r="AF632" s="45"/>
      <c r="AG632" s="45"/>
      <c r="AH632" s="45"/>
      <c r="AI632" s="45"/>
      <c r="AJ632" s="45"/>
      <c r="AK632" s="45"/>
      <c r="AL632" s="45"/>
      <c r="AM632" s="45"/>
      <c r="AN632" s="45"/>
      <c r="AO632" s="45"/>
      <c r="AP632" s="45"/>
      <c r="AQ632" s="36"/>
      <c r="AR632" s="36"/>
      <c r="AS632" s="36"/>
      <c r="AT632" s="36"/>
      <c r="AU632" s="36"/>
      <c r="AV632" s="36"/>
      <c r="AW632" s="36"/>
      <c r="AX632" s="36"/>
      <c r="AY632" s="36"/>
      <c r="AZ632" s="36"/>
      <c r="BA632" s="36"/>
      <c r="BB632" s="36"/>
      <c r="BC632" s="36"/>
      <c r="BD632" s="36"/>
      <c r="BE632" s="36"/>
      <c r="BF632" s="36"/>
      <c r="BG632" s="36"/>
      <c r="BH632" s="36"/>
      <c r="BI632" s="36"/>
      <c r="BJ632" s="36"/>
      <c r="BK632" s="36"/>
      <c r="BL632" s="36"/>
      <c r="BM632" s="36"/>
      <c r="BN632" s="36"/>
      <c r="BO632" s="36"/>
      <c r="BP632" s="36"/>
      <c r="BQ632" s="36"/>
    </row>
    <row r="633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51"/>
      <c r="S633" s="51"/>
      <c r="T633" s="51"/>
      <c r="U633" s="51"/>
      <c r="V633" s="51"/>
      <c r="W633" s="51"/>
      <c r="X633" s="51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5"/>
      <c r="AM633" s="45"/>
      <c r="AN633" s="45"/>
      <c r="AO633" s="45"/>
      <c r="AP633" s="45"/>
      <c r="AQ633" s="36"/>
      <c r="AR633" s="36"/>
      <c r="AS633" s="36"/>
      <c r="AT633" s="36"/>
      <c r="AU633" s="36"/>
      <c r="AV633" s="36"/>
      <c r="AW633" s="36"/>
      <c r="AX633" s="36"/>
      <c r="AY633" s="36"/>
      <c r="AZ633" s="36"/>
      <c r="BA633" s="36"/>
      <c r="BB633" s="36"/>
      <c r="BC633" s="36"/>
      <c r="BD633" s="36"/>
      <c r="BE633" s="36"/>
      <c r="BF633" s="36"/>
      <c r="BG633" s="36"/>
      <c r="BH633" s="36"/>
      <c r="BI633" s="36"/>
      <c r="BJ633" s="36"/>
      <c r="BK633" s="36"/>
      <c r="BL633" s="36"/>
      <c r="BM633" s="36"/>
      <c r="BN633" s="36"/>
      <c r="BO633" s="36"/>
      <c r="BP633" s="36"/>
      <c r="BQ633" s="36"/>
    </row>
    <row r="634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51"/>
      <c r="S634" s="51"/>
      <c r="T634" s="51"/>
      <c r="U634" s="51"/>
      <c r="V634" s="51"/>
      <c r="W634" s="51"/>
      <c r="X634" s="51"/>
      <c r="Y634" s="45"/>
      <c r="Z634" s="45"/>
      <c r="AA634" s="45"/>
      <c r="AB634" s="45"/>
      <c r="AC634" s="45"/>
      <c r="AD634" s="45"/>
      <c r="AE634" s="45"/>
      <c r="AF634" s="45"/>
      <c r="AG634" s="45"/>
      <c r="AH634" s="45"/>
      <c r="AI634" s="45"/>
      <c r="AJ634" s="45"/>
      <c r="AK634" s="45"/>
      <c r="AL634" s="45"/>
      <c r="AM634" s="45"/>
      <c r="AN634" s="45"/>
      <c r="AO634" s="45"/>
      <c r="AP634" s="45"/>
      <c r="AQ634" s="36"/>
      <c r="AR634" s="36"/>
      <c r="AS634" s="36"/>
      <c r="AT634" s="36"/>
      <c r="AU634" s="36"/>
      <c r="AV634" s="36"/>
      <c r="AW634" s="36"/>
      <c r="AX634" s="36"/>
      <c r="AY634" s="36"/>
      <c r="AZ634" s="36"/>
      <c r="BA634" s="36"/>
      <c r="BB634" s="36"/>
      <c r="BC634" s="36"/>
      <c r="BD634" s="36"/>
      <c r="BE634" s="36"/>
      <c r="BF634" s="36"/>
      <c r="BG634" s="36"/>
      <c r="BH634" s="36"/>
      <c r="BI634" s="36"/>
      <c r="BJ634" s="36"/>
      <c r="BK634" s="36"/>
      <c r="BL634" s="36"/>
      <c r="BM634" s="36"/>
      <c r="BN634" s="36"/>
      <c r="BO634" s="36"/>
      <c r="BP634" s="36"/>
      <c r="BQ634" s="36"/>
    </row>
    <row r="6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51"/>
      <c r="S635" s="51"/>
      <c r="T635" s="51"/>
      <c r="U635" s="51"/>
      <c r="V635" s="51"/>
      <c r="W635" s="51"/>
      <c r="X635" s="51"/>
      <c r="Y635" s="45"/>
      <c r="Z635" s="45"/>
      <c r="AA635" s="45"/>
      <c r="AB635" s="45"/>
      <c r="AC635" s="45"/>
      <c r="AD635" s="45"/>
      <c r="AE635" s="45"/>
      <c r="AF635" s="45"/>
      <c r="AG635" s="45"/>
      <c r="AH635" s="45"/>
      <c r="AI635" s="45"/>
      <c r="AJ635" s="45"/>
      <c r="AK635" s="45"/>
      <c r="AL635" s="45"/>
      <c r="AM635" s="45"/>
      <c r="AN635" s="45"/>
      <c r="AO635" s="45"/>
      <c r="AP635" s="45"/>
      <c r="AQ635" s="36"/>
      <c r="AR635" s="36"/>
      <c r="AS635" s="36"/>
      <c r="AT635" s="36"/>
      <c r="AU635" s="36"/>
      <c r="AV635" s="36"/>
      <c r="AW635" s="36"/>
      <c r="AX635" s="36"/>
      <c r="AY635" s="36"/>
      <c r="AZ635" s="36"/>
      <c r="BA635" s="36"/>
      <c r="BB635" s="36"/>
      <c r="BC635" s="36"/>
      <c r="BD635" s="36"/>
      <c r="BE635" s="36"/>
      <c r="BF635" s="36"/>
      <c r="BG635" s="36"/>
      <c r="BH635" s="36"/>
      <c r="BI635" s="36"/>
      <c r="BJ635" s="36"/>
      <c r="BK635" s="36"/>
      <c r="BL635" s="36"/>
      <c r="BM635" s="36"/>
      <c r="BN635" s="36"/>
      <c r="BO635" s="36"/>
      <c r="BP635" s="36"/>
      <c r="BQ635" s="36"/>
    </row>
    <row r="636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51"/>
      <c r="S636" s="51"/>
      <c r="T636" s="51"/>
      <c r="U636" s="51"/>
      <c r="V636" s="51"/>
      <c r="W636" s="51"/>
      <c r="X636" s="51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5"/>
      <c r="AM636" s="45"/>
      <c r="AN636" s="45"/>
      <c r="AO636" s="45"/>
      <c r="AP636" s="45"/>
      <c r="AQ636" s="36"/>
      <c r="AR636" s="36"/>
      <c r="AS636" s="36"/>
      <c r="AT636" s="36"/>
      <c r="AU636" s="36"/>
      <c r="AV636" s="36"/>
      <c r="AW636" s="36"/>
      <c r="AX636" s="36"/>
      <c r="AY636" s="36"/>
      <c r="AZ636" s="36"/>
      <c r="BA636" s="36"/>
      <c r="BB636" s="36"/>
      <c r="BC636" s="36"/>
      <c r="BD636" s="36"/>
      <c r="BE636" s="36"/>
      <c r="BF636" s="36"/>
      <c r="BG636" s="36"/>
      <c r="BH636" s="36"/>
      <c r="BI636" s="36"/>
      <c r="BJ636" s="36"/>
      <c r="BK636" s="36"/>
      <c r="BL636" s="36"/>
      <c r="BM636" s="36"/>
      <c r="BN636" s="36"/>
      <c r="BO636" s="36"/>
      <c r="BP636" s="36"/>
      <c r="BQ636" s="36"/>
    </row>
    <row r="637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51"/>
      <c r="S637" s="51"/>
      <c r="T637" s="51"/>
      <c r="U637" s="51"/>
      <c r="V637" s="51"/>
      <c r="W637" s="51"/>
      <c r="X637" s="51"/>
      <c r="Y637" s="45"/>
      <c r="Z637" s="45"/>
      <c r="AA637" s="45"/>
      <c r="AB637" s="45"/>
      <c r="AC637" s="45"/>
      <c r="AD637" s="45"/>
      <c r="AE637" s="45"/>
      <c r="AF637" s="45"/>
      <c r="AG637" s="45"/>
      <c r="AH637" s="45"/>
      <c r="AI637" s="45"/>
      <c r="AJ637" s="45"/>
      <c r="AK637" s="45"/>
      <c r="AL637" s="45"/>
      <c r="AM637" s="45"/>
      <c r="AN637" s="45"/>
      <c r="AO637" s="45"/>
      <c r="AP637" s="45"/>
      <c r="AQ637" s="36"/>
      <c r="AR637" s="36"/>
      <c r="AS637" s="36"/>
      <c r="AT637" s="36"/>
      <c r="AU637" s="36"/>
      <c r="AV637" s="36"/>
      <c r="AW637" s="36"/>
      <c r="AX637" s="36"/>
      <c r="AY637" s="36"/>
      <c r="AZ637" s="36"/>
      <c r="BA637" s="36"/>
      <c r="BB637" s="36"/>
      <c r="BC637" s="36"/>
      <c r="BD637" s="36"/>
      <c r="BE637" s="36"/>
      <c r="BF637" s="36"/>
      <c r="BG637" s="36"/>
      <c r="BH637" s="36"/>
      <c r="BI637" s="36"/>
      <c r="BJ637" s="36"/>
      <c r="BK637" s="36"/>
      <c r="BL637" s="36"/>
      <c r="BM637" s="36"/>
      <c r="BN637" s="36"/>
      <c r="BO637" s="36"/>
      <c r="BP637" s="36"/>
      <c r="BQ637" s="36"/>
    </row>
    <row r="638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51"/>
      <c r="S638" s="51"/>
      <c r="T638" s="51"/>
      <c r="U638" s="51"/>
      <c r="V638" s="51"/>
      <c r="W638" s="51"/>
      <c r="X638" s="51"/>
      <c r="Y638" s="45"/>
      <c r="Z638" s="45"/>
      <c r="AA638" s="45"/>
      <c r="AB638" s="45"/>
      <c r="AC638" s="45"/>
      <c r="AD638" s="45"/>
      <c r="AE638" s="45"/>
      <c r="AF638" s="45"/>
      <c r="AG638" s="45"/>
      <c r="AH638" s="45"/>
      <c r="AI638" s="45"/>
      <c r="AJ638" s="45"/>
      <c r="AK638" s="45"/>
      <c r="AL638" s="45"/>
      <c r="AM638" s="45"/>
      <c r="AN638" s="45"/>
      <c r="AO638" s="45"/>
      <c r="AP638" s="45"/>
      <c r="AQ638" s="36"/>
      <c r="AR638" s="36"/>
      <c r="AS638" s="36"/>
      <c r="AT638" s="36"/>
      <c r="AU638" s="36"/>
      <c r="AV638" s="36"/>
      <c r="AW638" s="36"/>
      <c r="AX638" s="36"/>
      <c r="AY638" s="36"/>
      <c r="AZ638" s="36"/>
      <c r="BA638" s="36"/>
      <c r="BB638" s="36"/>
      <c r="BC638" s="36"/>
      <c r="BD638" s="36"/>
      <c r="BE638" s="36"/>
      <c r="BF638" s="36"/>
      <c r="BG638" s="36"/>
      <c r="BH638" s="36"/>
      <c r="BI638" s="36"/>
      <c r="BJ638" s="36"/>
      <c r="BK638" s="36"/>
      <c r="BL638" s="36"/>
      <c r="BM638" s="36"/>
      <c r="BN638" s="36"/>
      <c r="BO638" s="36"/>
      <c r="BP638" s="36"/>
      <c r="BQ638" s="36"/>
    </row>
    <row r="639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51"/>
      <c r="S639" s="51"/>
      <c r="T639" s="51"/>
      <c r="U639" s="51"/>
      <c r="V639" s="51"/>
      <c r="W639" s="51"/>
      <c r="X639" s="51"/>
      <c r="Y639" s="45"/>
      <c r="Z639" s="45"/>
      <c r="AA639" s="45"/>
      <c r="AB639" s="45"/>
      <c r="AC639" s="45"/>
      <c r="AD639" s="45"/>
      <c r="AE639" s="45"/>
      <c r="AF639" s="45"/>
      <c r="AG639" s="45"/>
      <c r="AH639" s="45"/>
      <c r="AI639" s="45"/>
      <c r="AJ639" s="45"/>
      <c r="AK639" s="45"/>
      <c r="AL639" s="45"/>
      <c r="AM639" s="45"/>
      <c r="AN639" s="45"/>
      <c r="AO639" s="45"/>
      <c r="AP639" s="45"/>
      <c r="AQ639" s="36"/>
      <c r="AR639" s="36"/>
      <c r="AS639" s="36"/>
      <c r="AT639" s="36"/>
      <c r="AU639" s="36"/>
      <c r="AV639" s="36"/>
      <c r="AW639" s="36"/>
      <c r="AX639" s="36"/>
      <c r="AY639" s="36"/>
      <c r="AZ639" s="36"/>
      <c r="BA639" s="36"/>
      <c r="BB639" s="36"/>
      <c r="BC639" s="36"/>
      <c r="BD639" s="36"/>
      <c r="BE639" s="36"/>
      <c r="BF639" s="36"/>
      <c r="BG639" s="36"/>
      <c r="BH639" s="36"/>
      <c r="BI639" s="36"/>
      <c r="BJ639" s="36"/>
      <c r="BK639" s="36"/>
      <c r="BL639" s="36"/>
      <c r="BM639" s="36"/>
      <c r="BN639" s="36"/>
      <c r="BO639" s="36"/>
      <c r="BP639" s="36"/>
      <c r="BQ639" s="36"/>
    </row>
    <row r="640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51"/>
      <c r="S640" s="51"/>
      <c r="T640" s="51"/>
      <c r="U640" s="51"/>
      <c r="V640" s="51"/>
      <c r="W640" s="51"/>
      <c r="X640" s="51"/>
      <c r="Y640" s="45"/>
      <c r="Z640" s="45"/>
      <c r="AA640" s="45"/>
      <c r="AB640" s="45"/>
      <c r="AC640" s="45"/>
      <c r="AD640" s="45"/>
      <c r="AE640" s="45"/>
      <c r="AF640" s="45"/>
      <c r="AG640" s="45"/>
      <c r="AH640" s="45"/>
      <c r="AI640" s="45"/>
      <c r="AJ640" s="45"/>
      <c r="AK640" s="45"/>
      <c r="AL640" s="45"/>
      <c r="AM640" s="45"/>
      <c r="AN640" s="45"/>
      <c r="AO640" s="45"/>
      <c r="AP640" s="45"/>
      <c r="AQ640" s="36"/>
      <c r="AR640" s="36"/>
      <c r="AS640" s="36"/>
      <c r="AT640" s="36"/>
      <c r="AU640" s="36"/>
      <c r="AV640" s="36"/>
      <c r="AW640" s="36"/>
      <c r="AX640" s="36"/>
      <c r="AY640" s="36"/>
      <c r="AZ640" s="36"/>
      <c r="BA640" s="36"/>
      <c r="BB640" s="36"/>
      <c r="BC640" s="36"/>
      <c r="BD640" s="36"/>
      <c r="BE640" s="36"/>
      <c r="BF640" s="36"/>
      <c r="BG640" s="36"/>
      <c r="BH640" s="36"/>
      <c r="BI640" s="36"/>
      <c r="BJ640" s="36"/>
      <c r="BK640" s="36"/>
      <c r="BL640" s="36"/>
      <c r="BM640" s="36"/>
      <c r="BN640" s="36"/>
      <c r="BO640" s="36"/>
      <c r="BP640" s="36"/>
      <c r="BQ640" s="36"/>
    </row>
    <row r="64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51"/>
      <c r="S641" s="51"/>
      <c r="T641" s="51"/>
      <c r="U641" s="51"/>
      <c r="V641" s="51"/>
      <c r="W641" s="51"/>
      <c r="X641" s="51"/>
      <c r="Y641" s="45"/>
      <c r="Z641" s="45"/>
      <c r="AA641" s="45"/>
      <c r="AB641" s="45"/>
      <c r="AC641" s="45"/>
      <c r="AD641" s="45"/>
      <c r="AE641" s="45"/>
      <c r="AF641" s="45"/>
      <c r="AG641" s="45"/>
      <c r="AH641" s="45"/>
      <c r="AI641" s="45"/>
      <c r="AJ641" s="45"/>
      <c r="AK641" s="45"/>
      <c r="AL641" s="45"/>
      <c r="AM641" s="45"/>
      <c r="AN641" s="45"/>
      <c r="AO641" s="45"/>
      <c r="AP641" s="45"/>
      <c r="AQ641" s="36"/>
      <c r="AR641" s="36"/>
      <c r="AS641" s="36"/>
      <c r="AT641" s="36"/>
      <c r="AU641" s="36"/>
      <c r="AV641" s="36"/>
      <c r="AW641" s="36"/>
      <c r="AX641" s="36"/>
      <c r="AY641" s="36"/>
      <c r="AZ641" s="36"/>
      <c r="BA641" s="36"/>
      <c r="BB641" s="36"/>
      <c r="BC641" s="36"/>
      <c r="BD641" s="36"/>
      <c r="BE641" s="36"/>
      <c r="BF641" s="36"/>
      <c r="BG641" s="36"/>
      <c r="BH641" s="36"/>
      <c r="BI641" s="36"/>
      <c r="BJ641" s="36"/>
      <c r="BK641" s="36"/>
      <c r="BL641" s="36"/>
      <c r="BM641" s="36"/>
      <c r="BN641" s="36"/>
      <c r="BO641" s="36"/>
      <c r="BP641" s="36"/>
      <c r="BQ641" s="36"/>
    </row>
    <row r="64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51"/>
      <c r="S642" s="51"/>
      <c r="T642" s="51"/>
      <c r="U642" s="51"/>
      <c r="V642" s="51"/>
      <c r="W642" s="51"/>
      <c r="X642" s="51"/>
      <c r="Y642" s="45"/>
      <c r="Z642" s="45"/>
      <c r="AA642" s="45"/>
      <c r="AB642" s="45"/>
      <c r="AC642" s="45"/>
      <c r="AD642" s="45"/>
      <c r="AE642" s="45"/>
      <c r="AF642" s="45"/>
      <c r="AG642" s="45"/>
      <c r="AH642" s="45"/>
      <c r="AI642" s="45"/>
      <c r="AJ642" s="45"/>
      <c r="AK642" s="45"/>
      <c r="AL642" s="45"/>
      <c r="AM642" s="45"/>
      <c r="AN642" s="45"/>
      <c r="AO642" s="45"/>
      <c r="AP642" s="45"/>
      <c r="AQ642" s="36"/>
      <c r="AR642" s="36"/>
      <c r="AS642" s="36"/>
      <c r="AT642" s="36"/>
      <c r="AU642" s="36"/>
      <c r="AV642" s="36"/>
      <c r="AW642" s="36"/>
      <c r="AX642" s="36"/>
      <c r="AY642" s="36"/>
      <c r="AZ642" s="36"/>
      <c r="BA642" s="36"/>
      <c r="BB642" s="36"/>
      <c r="BC642" s="36"/>
      <c r="BD642" s="36"/>
      <c r="BE642" s="36"/>
      <c r="BF642" s="36"/>
      <c r="BG642" s="36"/>
      <c r="BH642" s="36"/>
      <c r="BI642" s="36"/>
      <c r="BJ642" s="36"/>
      <c r="BK642" s="36"/>
      <c r="BL642" s="36"/>
      <c r="BM642" s="36"/>
      <c r="BN642" s="36"/>
      <c r="BO642" s="36"/>
      <c r="BP642" s="36"/>
      <c r="BQ642" s="36"/>
    </row>
    <row r="643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51"/>
      <c r="S643" s="51"/>
      <c r="T643" s="51"/>
      <c r="U643" s="51"/>
      <c r="V643" s="51"/>
      <c r="W643" s="51"/>
      <c r="X643" s="51"/>
      <c r="Y643" s="45"/>
      <c r="Z643" s="45"/>
      <c r="AA643" s="45"/>
      <c r="AB643" s="45"/>
      <c r="AC643" s="45"/>
      <c r="AD643" s="45"/>
      <c r="AE643" s="45"/>
      <c r="AF643" s="45"/>
      <c r="AG643" s="45"/>
      <c r="AH643" s="45"/>
      <c r="AI643" s="45"/>
      <c r="AJ643" s="45"/>
      <c r="AK643" s="45"/>
      <c r="AL643" s="45"/>
      <c r="AM643" s="45"/>
      <c r="AN643" s="45"/>
      <c r="AO643" s="45"/>
      <c r="AP643" s="45"/>
      <c r="AQ643" s="36"/>
      <c r="AR643" s="36"/>
      <c r="AS643" s="36"/>
      <c r="AT643" s="36"/>
      <c r="AU643" s="36"/>
      <c r="AV643" s="36"/>
      <c r="AW643" s="36"/>
      <c r="AX643" s="36"/>
      <c r="AY643" s="36"/>
      <c r="AZ643" s="36"/>
      <c r="BA643" s="36"/>
      <c r="BB643" s="36"/>
      <c r="BC643" s="36"/>
      <c r="BD643" s="36"/>
      <c r="BE643" s="36"/>
      <c r="BF643" s="36"/>
      <c r="BG643" s="36"/>
      <c r="BH643" s="36"/>
      <c r="BI643" s="36"/>
      <c r="BJ643" s="36"/>
      <c r="BK643" s="36"/>
      <c r="BL643" s="36"/>
      <c r="BM643" s="36"/>
      <c r="BN643" s="36"/>
      <c r="BO643" s="36"/>
      <c r="BP643" s="36"/>
      <c r="BQ643" s="36"/>
    </row>
    <row r="644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51"/>
      <c r="S644" s="51"/>
      <c r="T644" s="51"/>
      <c r="U644" s="51"/>
      <c r="V644" s="51"/>
      <c r="W644" s="51"/>
      <c r="X644" s="51"/>
      <c r="Y644" s="45"/>
      <c r="Z644" s="45"/>
      <c r="AA644" s="45"/>
      <c r="AB644" s="45"/>
      <c r="AC644" s="45"/>
      <c r="AD644" s="45"/>
      <c r="AE644" s="45"/>
      <c r="AF644" s="45"/>
      <c r="AG644" s="45"/>
      <c r="AH644" s="45"/>
      <c r="AI644" s="45"/>
      <c r="AJ644" s="45"/>
      <c r="AK644" s="45"/>
      <c r="AL644" s="45"/>
      <c r="AM644" s="45"/>
      <c r="AN644" s="45"/>
      <c r="AO644" s="45"/>
      <c r="AP644" s="45"/>
      <c r="AQ644" s="36"/>
      <c r="AR644" s="36"/>
      <c r="AS644" s="36"/>
      <c r="AT644" s="36"/>
      <c r="AU644" s="36"/>
      <c r="AV644" s="36"/>
      <c r="AW644" s="36"/>
      <c r="AX644" s="36"/>
      <c r="AY644" s="36"/>
      <c r="AZ644" s="36"/>
      <c r="BA644" s="36"/>
      <c r="BB644" s="36"/>
      <c r="BC644" s="36"/>
      <c r="BD644" s="36"/>
      <c r="BE644" s="36"/>
      <c r="BF644" s="36"/>
      <c r="BG644" s="36"/>
      <c r="BH644" s="36"/>
      <c r="BI644" s="36"/>
      <c r="BJ644" s="36"/>
      <c r="BK644" s="36"/>
      <c r="BL644" s="36"/>
      <c r="BM644" s="36"/>
      <c r="BN644" s="36"/>
      <c r="BO644" s="36"/>
      <c r="BP644" s="36"/>
      <c r="BQ644" s="36"/>
    </row>
    <row r="64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51"/>
      <c r="S645" s="51"/>
      <c r="T645" s="51"/>
      <c r="U645" s="51"/>
      <c r="V645" s="51"/>
      <c r="W645" s="51"/>
      <c r="X645" s="51"/>
      <c r="Y645" s="45"/>
      <c r="Z645" s="45"/>
      <c r="AA645" s="45"/>
      <c r="AB645" s="45"/>
      <c r="AC645" s="45"/>
      <c r="AD645" s="45"/>
      <c r="AE645" s="45"/>
      <c r="AF645" s="45"/>
      <c r="AG645" s="45"/>
      <c r="AH645" s="45"/>
      <c r="AI645" s="45"/>
      <c r="AJ645" s="45"/>
      <c r="AK645" s="45"/>
      <c r="AL645" s="45"/>
      <c r="AM645" s="45"/>
      <c r="AN645" s="45"/>
      <c r="AO645" s="45"/>
      <c r="AP645" s="45"/>
      <c r="AQ645" s="36"/>
      <c r="AR645" s="36"/>
      <c r="AS645" s="36"/>
      <c r="AT645" s="36"/>
      <c r="AU645" s="36"/>
      <c r="AV645" s="36"/>
      <c r="AW645" s="36"/>
      <c r="AX645" s="36"/>
      <c r="AY645" s="36"/>
      <c r="AZ645" s="36"/>
      <c r="BA645" s="36"/>
      <c r="BB645" s="36"/>
      <c r="BC645" s="36"/>
      <c r="BD645" s="36"/>
      <c r="BE645" s="36"/>
      <c r="BF645" s="36"/>
      <c r="BG645" s="36"/>
      <c r="BH645" s="36"/>
      <c r="BI645" s="36"/>
      <c r="BJ645" s="36"/>
      <c r="BK645" s="36"/>
      <c r="BL645" s="36"/>
      <c r="BM645" s="36"/>
      <c r="BN645" s="36"/>
      <c r="BO645" s="36"/>
      <c r="BP645" s="36"/>
      <c r="BQ645" s="36"/>
    </row>
    <row r="646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51"/>
      <c r="S646" s="51"/>
      <c r="T646" s="51"/>
      <c r="U646" s="51"/>
      <c r="V646" s="51"/>
      <c r="W646" s="51"/>
      <c r="X646" s="51"/>
      <c r="Y646" s="45"/>
      <c r="Z646" s="45"/>
      <c r="AA646" s="45"/>
      <c r="AB646" s="45"/>
      <c r="AC646" s="45"/>
      <c r="AD646" s="45"/>
      <c r="AE646" s="45"/>
      <c r="AF646" s="45"/>
      <c r="AG646" s="45"/>
      <c r="AH646" s="45"/>
      <c r="AI646" s="45"/>
      <c r="AJ646" s="45"/>
      <c r="AK646" s="45"/>
      <c r="AL646" s="45"/>
      <c r="AM646" s="45"/>
      <c r="AN646" s="45"/>
      <c r="AO646" s="45"/>
      <c r="AP646" s="45"/>
      <c r="AQ646" s="36"/>
      <c r="AR646" s="36"/>
      <c r="AS646" s="36"/>
      <c r="AT646" s="36"/>
      <c r="AU646" s="36"/>
      <c r="AV646" s="36"/>
      <c r="AW646" s="36"/>
      <c r="AX646" s="36"/>
      <c r="AY646" s="36"/>
      <c r="AZ646" s="36"/>
      <c r="BA646" s="36"/>
      <c r="BB646" s="36"/>
      <c r="BC646" s="36"/>
      <c r="BD646" s="36"/>
      <c r="BE646" s="36"/>
      <c r="BF646" s="36"/>
      <c r="BG646" s="36"/>
      <c r="BH646" s="36"/>
      <c r="BI646" s="36"/>
      <c r="BJ646" s="36"/>
      <c r="BK646" s="36"/>
      <c r="BL646" s="36"/>
      <c r="BM646" s="36"/>
      <c r="BN646" s="36"/>
      <c r="BO646" s="36"/>
      <c r="BP646" s="36"/>
      <c r="BQ646" s="36"/>
    </row>
    <row r="647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51"/>
      <c r="S647" s="51"/>
      <c r="T647" s="51"/>
      <c r="U647" s="51"/>
      <c r="V647" s="51"/>
      <c r="W647" s="51"/>
      <c r="X647" s="51"/>
      <c r="Y647" s="45"/>
      <c r="Z647" s="45"/>
      <c r="AA647" s="45"/>
      <c r="AB647" s="45"/>
      <c r="AC647" s="45"/>
      <c r="AD647" s="45"/>
      <c r="AE647" s="45"/>
      <c r="AF647" s="45"/>
      <c r="AG647" s="45"/>
      <c r="AH647" s="45"/>
      <c r="AI647" s="45"/>
      <c r="AJ647" s="45"/>
      <c r="AK647" s="45"/>
      <c r="AL647" s="45"/>
      <c r="AM647" s="45"/>
      <c r="AN647" s="45"/>
      <c r="AO647" s="45"/>
      <c r="AP647" s="45"/>
      <c r="AQ647" s="36"/>
      <c r="AR647" s="36"/>
      <c r="AS647" s="36"/>
      <c r="AT647" s="36"/>
      <c r="AU647" s="36"/>
      <c r="AV647" s="36"/>
      <c r="AW647" s="36"/>
      <c r="AX647" s="36"/>
      <c r="AY647" s="36"/>
      <c r="AZ647" s="36"/>
      <c r="BA647" s="36"/>
      <c r="BB647" s="36"/>
      <c r="BC647" s="36"/>
      <c r="BD647" s="36"/>
      <c r="BE647" s="36"/>
      <c r="BF647" s="36"/>
      <c r="BG647" s="36"/>
      <c r="BH647" s="36"/>
      <c r="BI647" s="36"/>
      <c r="BJ647" s="36"/>
      <c r="BK647" s="36"/>
      <c r="BL647" s="36"/>
      <c r="BM647" s="36"/>
      <c r="BN647" s="36"/>
      <c r="BO647" s="36"/>
      <c r="BP647" s="36"/>
      <c r="BQ647" s="36"/>
    </row>
    <row r="648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51"/>
      <c r="S648" s="51"/>
      <c r="T648" s="51"/>
      <c r="U648" s="51"/>
      <c r="V648" s="51"/>
      <c r="W648" s="51"/>
      <c r="X648" s="51"/>
      <c r="Y648" s="45"/>
      <c r="Z648" s="45"/>
      <c r="AA648" s="45"/>
      <c r="AB648" s="45"/>
      <c r="AC648" s="45"/>
      <c r="AD648" s="45"/>
      <c r="AE648" s="45"/>
      <c r="AF648" s="45"/>
      <c r="AG648" s="45"/>
      <c r="AH648" s="45"/>
      <c r="AI648" s="45"/>
      <c r="AJ648" s="45"/>
      <c r="AK648" s="45"/>
      <c r="AL648" s="45"/>
      <c r="AM648" s="45"/>
      <c r="AN648" s="45"/>
      <c r="AO648" s="45"/>
      <c r="AP648" s="45"/>
      <c r="AQ648" s="36"/>
      <c r="AR648" s="36"/>
      <c r="AS648" s="36"/>
      <c r="AT648" s="36"/>
      <c r="AU648" s="36"/>
      <c r="AV648" s="36"/>
      <c r="AW648" s="36"/>
      <c r="AX648" s="36"/>
      <c r="AY648" s="36"/>
      <c r="AZ648" s="36"/>
      <c r="BA648" s="36"/>
      <c r="BB648" s="36"/>
      <c r="BC648" s="36"/>
      <c r="BD648" s="36"/>
      <c r="BE648" s="36"/>
      <c r="BF648" s="36"/>
      <c r="BG648" s="36"/>
      <c r="BH648" s="36"/>
      <c r="BI648" s="36"/>
      <c r="BJ648" s="36"/>
      <c r="BK648" s="36"/>
      <c r="BL648" s="36"/>
      <c r="BM648" s="36"/>
      <c r="BN648" s="36"/>
      <c r="BO648" s="36"/>
      <c r="BP648" s="36"/>
      <c r="BQ648" s="36"/>
    </row>
    <row r="649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51"/>
      <c r="S649" s="51"/>
      <c r="T649" s="51"/>
      <c r="U649" s="51"/>
      <c r="V649" s="51"/>
      <c r="W649" s="51"/>
      <c r="X649" s="51"/>
      <c r="Y649" s="45"/>
      <c r="Z649" s="45"/>
      <c r="AA649" s="45"/>
      <c r="AB649" s="45"/>
      <c r="AC649" s="45"/>
      <c r="AD649" s="45"/>
      <c r="AE649" s="45"/>
      <c r="AF649" s="45"/>
      <c r="AG649" s="45"/>
      <c r="AH649" s="45"/>
      <c r="AI649" s="45"/>
      <c r="AJ649" s="45"/>
      <c r="AK649" s="45"/>
      <c r="AL649" s="45"/>
      <c r="AM649" s="45"/>
      <c r="AN649" s="45"/>
      <c r="AO649" s="45"/>
      <c r="AP649" s="45"/>
      <c r="AQ649" s="36"/>
      <c r="AR649" s="36"/>
      <c r="AS649" s="36"/>
      <c r="AT649" s="36"/>
      <c r="AU649" s="36"/>
      <c r="AV649" s="36"/>
      <c r="AW649" s="36"/>
      <c r="AX649" s="36"/>
      <c r="AY649" s="36"/>
      <c r="AZ649" s="36"/>
      <c r="BA649" s="36"/>
      <c r="BB649" s="36"/>
      <c r="BC649" s="36"/>
      <c r="BD649" s="36"/>
      <c r="BE649" s="36"/>
      <c r="BF649" s="36"/>
      <c r="BG649" s="36"/>
      <c r="BH649" s="36"/>
      <c r="BI649" s="36"/>
      <c r="BJ649" s="36"/>
      <c r="BK649" s="36"/>
      <c r="BL649" s="36"/>
      <c r="BM649" s="36"/>
      <c r="BN649" s="36"/>
      <c r="BO649" s="36"/>
      <c r="BP649" s="36"/>
      <c r="BQ649" s="36"/>
    </row>
    <row r="650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51"/>
      <c r="S650" s="51"/>
      <c r="T650" s="51"/>
      <c r="U650" s="51"/>
      <c r="V650" s="51"/>
      <c r="W650" s="51"/>
      <c r="X650" s="51"/>
      <c r="Y650" s="45"/>
      <c r="Z650" s="45"/>
      <c r="AA650" s="45"/>
      <c r="AB650" s="45"/>
      <c r="AC650" s="45"/>
      <c r="AD650" s="45"/>
      <c r="AE650" s="45"/>
      <c r="AF650" s="45"/>
      <c r="AG650" s="45"/>
      <c r="AH650" s="45"/>
      <c r="AI650" s="45"/>
      <c r="AJ650" s="45"/>
      <c r="AK650" s="45"/>
      <c r="AL650" s="45"/>
      <c r="AM650" s="45"/>
      <c r="AN650" s="45"/>
      <c r="AO650" s="45"/>
      <c r="AP650" s="45"/>
      <c r="AQ650" s="36"/>
      <c r="AR650" s="36"/>
      <c r="AS650" s="36"/>
      <c r="AT650" s="36"/>
      <c r="AU650" s="36"/>
      <c r="AV650" s="36"/>
      <c r="AW650" s="36"/>
      <c r="AX650" s="36"/>
      <c r="AY650" s="36"/>
      <c r="AZ650" s="36"/>
      <c r="BA650" s="36"/>
      <c r="BB650" s="36"/>
      <c r="BC650" s="36"/>
      <c r="BD650" s="36"/>
      <c r="BE650" s="36"/>
      <c r="BF650" s="36"/>
      <c r="BG650" s="36"/>
      <c r="BH650" s="36"/>
      <c r="BI650" s="36"/>
      <c r="BJ650" s="36"/>
      <c r="BK650" s="36"/>
      <c r="BL650" s="36"/>
      <c r="BM650" s="36"/>
      <c r="BN650" s="36"/>
      <c r="BO650" s="36"/>
      <c r="BP650" s="36"/>
      <c r="BQ650" s="36"/>
    </row>
    <row r="65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51"/>
      <c r="S651" s="51"/>
      <c r="T651" s="51"/>
      <c r="U651" s="51"/>
      <c r="V651" s="51"/>
      <c r="W651" s="51"/>
      <c r="X651" s="51"/>
      <c r="Y651" s="45"/>
      <c r="Z651" s="45"/>
      <c r="AA651" s="45"/>
      <c r="AB651" s="45"/>
      <c r="AC651" s="45"/>
      <c r="AD651" s="45"/>
      <c r="AE651" s="45"/>
      <c r="AF651" s="45"/>
      <c r="AG651" s="45"/>
      <c r="AH651" s="45"/>
      <c r="AI651" s="45"/>
      <c r="AJ651" s="45"/>
      <c r="AK651" s="45"/>
      <c r="AL651" s="45"/>
      <c r="AM651" s="45"/>
      <c r="AN651" s="45"/>
      <c r="AO651" s="45"/>
      <c r="AP651" s="45"/>
      <c r="AQ651" s="36"/>
      <c r="AR651" s="36"/>
      <c r="AS651" s="36"/>
      <c r="AT651" s="36"/>
      <c r="AU651" s="36"/>
      <c r="AV651" s="36"/>
      <c r="AW651" s="36"/>
      <c r="AX651" s="36"/>
      <c r="AY651" s="36"/>
      <c r="AZ651" s="36"/>
      <c r="BA651" s="36"/>
      <c r="BB651" s="36"/>
      <c r="BC651" s="36"/>
      <c r="BD651" s="36"/>
      <c r="BE651" s="36"/>
      <c r="BF651" s="36"/>
      <c r="BG651" s="36"/>
      <c r="BH651" s="36"/>
      <c r="BI651" s="36"/>
      <c r="BJ651" s="36"/>
      <c r="BK651" s="36"/>
      <c r="BL651" s="36"/>
      <c r="BM651" s="36"/>
      <c r="BN651" s="36"/>
      <c r="BO651" s="36"/>
      <c r="BP651" s="36"/>
      <c r="BQ651" s="36"/>
    </row>
    <row r="65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51"/>
      <c r="S652" s="51"/>
      <c r="T652" s="51"/>
      <c r="U652" s="51"/>
      <c r="V652" s="51"/>
      <c r="W652" s="51"/>
      <c r="X652" s="51"/>
      <c r="Y652" s="45"/>
      <c r="Z652" s="45"/>
      <c r="AA652" s="45"/>
      <c r="AB652" s="45"/>
      <c r="AC652" s="45"/>
      <c r="AD652" s="45"/>
      <c r="AE652" s="45"/>
      <c r="AF652" s="45"/>
      <c r="AG652" s="45"/>
      <c r="AH652" s="45"/>
      <c r="AI652" s="45"/>
      <c r="AJ652" s="45"/>
      <c r="AK652" s="45"/>
      <c r="AL652" s="45"/>
      <c r="AM652" s="45"/>
      <c r="AN652" s="45"/>
      <c r="AO652" s="45"/>
      <c r="AP652" s="45"/>
      <c r="AQ652" s="36"/>
      <c r="AR652" s="36"/>
      <c r="AS652" s="36"/>
      <c r="AT652" s="36"/>
      <c r="AU652" s="36"/>
      <c r="AV652" s="36"/>
      <c r="AW652" s="36"/>
      <c r="AX652" s="36"/>
      <c r="AY652" s="36"/>
      <c r="AZ652" s="36"/>
      <c r="BA652" s="36"/>
      <c r="BB652" s="36"/>
      <c r="BC652" s="36"/>
      <c r="BD652" s="36"/>
      <c r="BE652" s="36"/>
      <c r="BF652" s="36"/>
      <c r="BG652" s="36"/>
      <c r="BH652" s="36"/>
      <c r="BI652" s="36"/>
      <c r="BJ652" s="36"/>
      <c r="BK652" s="36"/>
      <c r="BL652" s="36"/>
      <c r="BM652" s="36"/>
      <c r="BN652" s="36"/>
      <c r="BO652" s="36"/>
      <c r="BP652" s="36"/>
      <c r="BQ652" s="36"/>
    </row>
    <row r="653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51"/>
      <c r="S653" s="51"/>
      <c r="T653" s="51"/>
      <c r="U653" s="51"/>
      <c r="V653" s="51"/>
      <c r="W653" s="51"/>
      <c r="X653" s="51"/>
      <c r="Y653" s="45"/>
      <c r="Z653" s="45"/>
      <c r="AA653" s="45"/>
      <c r="AB653" s="45"/>
      <c r="AC653" s="45"/>
      <c r="AD653" s="45"/>
      <c r="AE653" s="45"/>
      <c r="AF653" s="45"/>
      <c r="AG653" s="45"/>
      <c r="AH653" s="45"/>
      <c r="AI653" s="45"/>
      <c r="AJ653" s="45"/>
      <c r="AK653" s="45"/>
      <c r="AL653" s="45"/>
      <c r="AM653" s="45"/>
      <c r="AN653" s="45"/>
      <c r="AO653" s="45"/>
      <c r="AP653" s="45"/>
      <c r="AQ653" s="36"/>
      <c r="AR653" s="36"/>
      <c r="AS653" s="36"/>
      <c r="AT653" s="36"/>
      <c r="AU653" s="36"/>
      <c r="AV653" s="36"/>
      <c r="AW653" s="36"/>
      <c r="AX653" s="36"/>
      <c r="AY653" s="36"/>
      <c r="AZ653" s="36"/>
      <c r="BA653" s="36"/>
      <c r="BB653" s="36"/>
      <c r="BC653" s="36"/>
      <c r="BD653" s="36"/>
      <c r="BE653" s="36"/>
      <c r="BF653" s="36"/>
      <c r="BG653" s="36"/>
      <c r="BH653" s="36"/>
      <c r="BI653" s="36"/>
      <c r="BJ653" s="36"/>
      <c r="BK653" s="36"/>
      <c r="BL653" s="36"/>
      <c r="BM653" s="36"/>
      <c r="BN653" s="36"/>
      <c r="BO653" s="36"/>
      <c r="BP653" s="36"/>
      <c r="BQ653" s="36"/>
    </row>
    <row r="654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51"/>
      <c r="S654" s="51"/>
      <c r="T654" s="51"/>
      <c r="U654" s="51"/>
      <c r="V654" s="51"/>
      <c r="W654" s="51"/>
      <c r="X654" s="51"/>
      <c r="Y654" s="45"/>
      <c r="Z654" s="45"/>
      <c r="AA654" s="45"/>
      <c r="AB654" s="45"/>
      <c r="AC654" s="45"/>
      <c r="AD654" s="45"/>
      <c r="AE654" s="45"/>
      <c r="AF654" s="45"/>
      <c r="AG654" s="45"/>
      <c r="AH654" s="45"/>
      <c r="AI654" s="45"/>
      <c r="AJ654" s="45"/>
      <c r="AK654" s="45"/>
      <c r="AL654" s="45"/>
      <c r="AM654" s="45"/>
      <c r="AN654" s="45"/>
      <c r="AO654" s="45"/>
      <c r="AP654" s="45"/>
      <c r="AQ654" s="36"/>
      <c r="AR654" s="36"/>
      <c r="AS654" s="36"/>
      <c r="AT654" s="36"/>
      <c r="AU654" s="36"/>
      <c r="AV654" s="36"/>
      <c r="AW654" s="36"/>
      <c r="AX654" s="36"/>
      <c r="AY654" s="36"/>
      <c r="AZ654" s="36"/>
      <c r="BA654" s="36"/>
      <c r="BB654" s="36"/>
      <c r="BC654" s="36"/>
      <c r="BD654" s="36"/>
      <c r="BE654" s="36"/>
      <c r="BF654" s="36"/>
      <c r="BG654" s="36"/>
      <c r="BH654" s="36"/>
      <c r="BI654" s="36"/>
      <c r="BJ654" s="36"/>
      <c r="BK654" s="36"/>
      <c r="BL654" s="36"/>
      <c r="BM654" s="36"/>
      <c r="BN654" s="36"/>
      <c r="BO654" s="36"/>
      <c r="BP654" s="36"/>
      <c r="BQ654" s="36"/>
    </row>
    <row r="65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51"/>
      <c r="S655" s="51"/>
      <c r="T655" s="51"/>
      <c r="U655" s="51"/>
      <c r="V655" s="51"/>
      <c r="W655" s="51"/>
      <c r="X655" s="51"/>
      <c r="Y655" s="45"/>
      <c r="Z655" s="45"/>
      <c r="AA655" s="45"/>
      <c r="AB655" s="45"/>
      <c r="AC655" s="45"/>
      <c r="AD655" s="45"/>
      <c r="AE655" s="45"/>
      <c r="AF655" s="45"/>
      <c r="AG655" s="45"/>
      <c r="AH655" s="45"/>
      <c r="AI655" s="45"/>
      <c r="AJ655" s="45"/>
      <c r="AK655" s="45"/>
      <c r="AL655" s="45"/>
      <c r="AM655" s="45"/>
      <c r="AN655" s="45"/>
      <c r="AO655" s="45"/>
      <c r="AP655" s="45"/>
      <c r="AQ655" s="36"/>
      <c r="AR655" s="36"/>
      <c r="AS655" s="36"/>
      <c r="AT655" s="36"/>
      <c r="AU655" s="36"/>
      <c r="AV655" s="36"/>
      <c r="AW655" s="36"/>
      <c r="AX655" s="36"/>
      <c r="AY655" s="36"/>
      <c r="AZ655" s="36"/>
      <c r="BA655" s="36"/>
      <c r="BB655" s="36"/>
      <c r="BC655" s="36"/>
      <c r="BD655" s="36"/>
      <c r="BE655" s="36"/>
      <c r="BF655" s="36"/>
      <c r="BG655" s="36"/>
      <c r="BH655" s="36"/>
      <c r="BI655" s="36"/>
      <c r="BJ655" s="36"/>
      <c r="BK655" s="36"/>
      <c r="BL655" s="36"/>
      <c r="BM655" s="36"/>
      <c r="BN655" s="36"/>
      <c r="BO655" s="36"/>
      <c r="BP655" s="36"/>
      <c r="BQ655" s="36"/>
    </row>
    <row r="656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51"/>
      <c r="S656" s="51"/>
      <c r="T656" s="51"/>
      <c r="U656" s="51"/>
      <c r="V656" s="51"/>
      <c r="W656" s="51"/>
      <c r="X656" s="51"/>
      <c r="Y656" s="45"/>
      <c r="Z656" s="45"/>
      <c r="AA656" s="45"/>
      <c r="AB656" s="45"/>
      <c r="AC656" s="45"/>
      <c r="AD656" s="45"/>
      <c r="AE656" s="45"/>
      <c r="AF656" s="45"/>
      <c r="AG656" s="45"/>
      <c r="AH656" s="45"/>
      <c r="AI656" s="45"/>
      <c r="AJ656" s="45"/>
      <c r="AK656" s="45"/>
      <c r="AL656" s="45"/>
      <c r="AM656" s="45"/>
      <c r="AN656" s="45"/>
      <c r="AO656" s="45"/>
      <c r="AP656" s="45"/>
      <c r="AQ656" s="36"/>
      <c r="AR656" s="36"/>
      <c r="AS656" s="36"/>
      <c r="AT656" s="36"/>
      <c r="AU656" s="36"/>
      <c r="AV656" s="36"/>
      <c r="AW656" s="36"/>
      <c r="AX656" s="36"/>
      <c r="AY656" s="36"/>
      <c r="AZ656" s="36"/>
      <c r="BA656" s="36"/>
      <c r="BB656" s="36"/>
      <c r="BC656" s="36"/>
      <c r="BD656" s="36"/>
      <c r="BE656" s="36"/>
      <c r="BF656" s="36"/>
      <c r="BG656" s="36"/>
      <c r="BH656" s="36"/>
      <c r="BI656" s="36"/>
      <c r="BJ656" s="36"/>
      <c r="BK656" s="36"/>
      <c r="BL656" s="36"/>
      <c r="BM656" s="36"/>
      <c r="BN656" s="36"/>
      <c r="BO656" s="36"/>
      <c r="BP656" s="36"/>
      <c r="BQ656" s="36"/>
    </row>
    <row r="657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51"/>
      <c r="S657" s="51"/>
      <c r="T657" s="51"/>
      <c r="U657" s="51"/>
      <c r="V657" s="51"/>
      <c r="W657" s="51"/>
      <c r="X657" s="51"/>
      <c r="Y657" s="45"/>
      <c r="Z657" s="45"/>
      <c r="AA657" s="45"/>
      <c r="AB657" s="45"/>
      <c r="AC657" s="45"/>
      <c r="AD657" s="45"/>
      <c r="AE657" s="45"/>
      <c r="AF657" s="45"/>
      <c r="AG657" s="45"/>
      <c r="AH657" s="45"/>
      <c r="AI657" s="45"/>
      <c r="AJ657" s="45"/>
      <c r="AK657" s="45"/>
      <c r="AL657" s="45"/>
      <c r="AM657" s="45"/>
      <c r="AN657" s="45"/>
      <c r="AO657" s="45"/>
      <c r="AP657" s="45"/>
      <c r="AQ657" s="36"/>
      <c r="AR657" s="36"/>
      <c r="AS657" s="36"/>
      <c r="AT657" s="36"/>
      <c r="AU657" s="36"/>
      <c r="AV657" s="36"/>
      <c r="AW657" s="36"/>
      <c r="AX657" s="36"/>
      <c r="AY657" s="36"/>
      <c r="AZ657" s="36"/>
      <c r="BA657" s="36"/>
      <c r="BB657" s="36"/>
      <c r="BC657" s="36"/>
      <c r="BD657" s="36"/>
      <c r="BE657" s="36"/>
      <c r="BF657" s="36"/>
      <c r="BG657" s="36"/>
      <c r="BH657" s="36"/>
      <c r="BI657" s="36"/>
      <c r="BJ657" s="36"/>
      <c r="BK657" s="36"/>
      <c r="BL657" s="36"/>
      <c r="BM657" s="36"/>
      <c r="BN657" s="36"/>
      <c r="BO657" s="36"/>
      <c r="BP657" s="36"/>
      <c r="BQ657" s="36"/>
    </row>
    <row r="658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51"/>
      <c r="S658" s="51"/>
      <c r="T658" s="51"/>
      <c r="U658" s="51"/>
      <c r="V658" s="51"/>
      <c r="W658" s="51"/>
      <c r="X658" s="51"/>
      <c r="Y658" s="45"/>
      <c r="Z658" s="45"/>
      <c r="AA658" s="45"/>
      <c r="AB658" s="45"/>
      <c r="AC658" s="45"/>
      <c r="AD658" s="45"/>
      <c r="AE658" s="45"/>
      <c r="AF658" s="45"/>
      <c r="AG658" s="45"/>
      <c r="AH658" s="45"/>
      <c r="AI658" s="45"/>
      <c r="AJ658" s="45"/>
      <c r="AK658" s="45"/>
      <c r="AL658" s="45"/>
      <c r="AM658" s="45"/>
      <c r="AN658" s="45"/>
      <c r="AO658" s="45"/>
      <c r="AP658" s="45"/>
      <c r="AQ658" s="36"/>
      <c r="AR658" s="36"/>
      <c r="AS658" s="36"/>
      <c r="AT658" s="36"/>
      <c r="AU658" s="36"/>
      <c r="AV658" s="36"/>
      <c r="AW658" s="36"/>
      <c r="AX658" s="36"/>
      <c r="AY658" s="36"/>
      <c r="AZ658" s="36"/>
      <c r="BA658" s="36"/>
      <c r="BB658" s="36"/>
      <c r="BC658" s="36"/>
      <c r="BD658" s="36"/>
      <c r="BE658" s="36"/>
      <c r="BF658" s="36"/>
      <c r="BG658" s="36"/>
      <c r="BH658" s="36"/>
      <c r="BI658" s="36"/>
      <c r="BJ658" s="36"/>
      <c r="BK658" s="36"/>
      <c r="BL658" s="36"/>
      <c r="BM658" s="36"/>
      <c r="BN658" s="36"/>
      <c r="BO658" s="36"/>
      <c r="BP658" s="36"/>
      <c r="BQ658" s="36"/>
    </row>
    <row r="659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51"/>
      <c r="S659" s="51"/>
      <c r="T659" s="51"/>
      <c r="U659" s="51"/>
      <c r="V659" s="51"/>
      <c r="W659" s="51"/>
      <c r="X659" s="51"/>
      <c r="Y659" s="45"/>
      <c r="Z659" s="45"/>
      <c r="AA659" s="45"/>
      <c r="AB659" s="45"/>
      <c r="AC659" s="45"/>
      <c r="AD659" s="45"/>
      <c r="AE659" s="45"/>
      <c r="AF659" s="45"/>
      <c r="AG659" s="45"/>
      <c r="AH659" s="45"/>
      <c r="AI659" s="45"/>
      <c r="AJ659" s="45"/>
      <c r="AK659" s="45"/>
      <c r="AL659" s="45"/>
      <c r="AM659" s="45"/>
      <c r="AN659" s="45"/>
      <c r="AO659" s="45"/>
      <c r="AP659" s="45"/>
      <c r="AQ659" s="36"/>
      <c r="AR659" s="36"/>
      <c r="AS659" s="36"/>
      <c r="AT659" s="36"/>
      <c r="AU659" s="36"/>
      <c r="AV659" s="36"/>
      <c r="AW659" s="36"/>
      <c r="AX659" s="36"/>
      <c r="AY659" s="36"/>
      <c r="AZ659" s="36"/>
      <c r="BA659" s="36"/>
      <c r="BB659" s="36"/>
      <c r="BC659" s="36"/>
      <c r="BD659" s="36"/>
      <c r="BE659" s="36"/>
      <c r="BF659" s="36"/>
      <c r="BG659" s="36"/>
      <c r="BH659" s="36"/>
      <c r="BI659" s="36"/>
      <c r="BJ659" s="36"/>
      <c r="BK659" s="36"/>
      <c r="BL659" s="36"/>
      <c r="BM659" s="36"/>
      <c r="BN659" s="36"/>
      <c r="BO659" s="36"/>
      <c r="BP659" s="36"/>
      <c r="BQ659" s="36"/>
    </row>
    <row r="660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51"/>
      <c r="S660" s="51"/>
      <c r="T660" s="51"/>
      <c r="U660" s="51"/>
      <c r="V660" s="51"/>
      <c r="W660" s="51"/>
      <c r="X660" s="51"/>
      <c r="Y660" s="45"/>
      <c r="Z660" s="45"/>
      <c r="AA660" s="45"/>
      <c r="AB660" s="45"/>
      <c r="AC660" s="45"/>
      <c r="AD660" s="45"/>
      <c r="AE660" s="45"/>
      <c r="AF660" s="45"/>
      <c r="AG660" s="45"/>
      <c r="AH660" s="45"/>
      <c r="AI660" s="45"/>
      <c r="AJ660" s="45"/>
      <c r="AK660" s="45"/>
      <c r="AL660" s="45"/>
      <c r="AM660" s="45"/>
      <c r="AN660" s="45"/>
      <c r="AO660" s="45"/>
      <c r="AP660" s="45"/>
      <c r="AQ660" s="36"/>
      <c r="AR660" s="36"/>
      <c r="AS660" s="36"/>
      <c r="AT660" s="36"/>
      <c r="AU660" s="36"/>
      <c r="AV660" s="36"/>
      <c r="AW660" s="36"/>
      <c r="AX660" s="36"/>
      <c r="AY660" s="36"/>
      <c r="AZ660" s="36"/>
      <c r="BA660" s="36"/>
      <c r="BB660" s="36"/>
      <c r="BC660" s="36"/>
      <c r="BD660" s="36"/>
      <c r="BE660" s="36"/>
      <c r="BF660" s="36"/>
      <c r="BG660" s="36"/>
      <c r="BH660" s="36"/>
      <c r="BI660" s="36"/>
      <c r="BJ660" s="36"/>
      <c r="BK660" s="36"/>
      <c r="BL660" s="36"/>
      <c r="BM660" s="36"/>
      <c r="BN660" s="36"/>
      <c r="BO660" s="36"/>
      <c r="BP660" s="36"/>
      <c r="BQ660" s="36"/>
    </row>
    <row r="66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51"/>
      <c r="S661" s="51"/>
      <c r="T661" s="51"/>
      <c r="U661" s="51"/>
      <c r="V661" s="51"/>
      <c r="W661" s="51"/>
      <c r="X661" s="51"/>
      <c r="Y661" s="45"/>
      <c r="Z661" s="45"/>
      <c r="AA661" s="45"/>
      <c r="AB661" s="45"/>
      <c r="AC661" s="45"/>
      <c r="AD661" s="45"/>
      <c r="AE661" s="45"/>
      <c r="AF661" s="45"/>
      <c r="AG661" s="45"/>
      <c r="AH661" s="45"/>
      <c r="AI661" s="45"/>
      <c r="AJ661" s="45"/>
      <c r="AK661" s="45"/>
      <c r="AL661" s="45"/>
      <c r="AM661" s="45"/>
      <c r="AN661" s="45"/>
      <c r="AO661" s="45"/>
      <c r="AP661" s="45"/>
      <c r="AQ661" s="36"/>
      <c r="AR661" s="36"/>
      <c r="AS661" s="36"/>
      <c r="AT661" s="36"/>
      <c r="AU661" s="36"/>
      <c r="AV661" s="36"/>
      <c r="AW661" s="36"/>
      <c r="AX661" s="36"/>
      <c r="AY661" s="36"/>
      <c r="AZ661" s="36"/>
      <c r="BA661" s="36"/>
      <c r="BB661" s="36"/>
      <c r="BC661" s="36"/>
      <c r="BD661" s="36"/>
      <c r="BE661" s="36"/>
      <c r="BF661" s="36"/>
      <c r="BG661" s="36"/>
      <c r="BH661" s="36"/>
      <c r="BI661" s="36"/>
      <c r="BJ661" s="36"/>
      <c r="BK661" s="36"/>
      <c r="BL661" s="36"/>
      <c r="BM661" s="36"/>
      <c r="BN661" s="36"/>
      <c r="BO661" s="36"/>
      <c r="BP661" s="36"/>
      <c r="BQ661" s="36"/>
    </row>
    <row r="66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51"/>
      <c r="S662" s="51"/>
      <c r="T662" s="51"/>
      <c r="U662" s="51"/>
      <c r="V662" s="51"/>
      <c r="W662" s="51"/>
      <c r="X662" s="51"/>
      <c r="Y662" s="45"/>
      <c r="Z662" s="45"/>
      <c r="AA662" s="45"/>
      <c r="AB662" s="45"/>
      <c r="AC662" s="45"/>
      <c r="AD662" s="45"/>
      <c r="AE662" s="45"/>
      <c r="AF662" s="45"/>
      <c r="AG662" s="45"/>
      <c r="AH662" s="45"/>
      <c r="AI662" s="45"/>
      <c r="AJ662" s="45"/>
      <c r="AK662" s="45"/>
      <c r="AL662" s="45"/>
      <c r="AM662" s="45"/>
      <c r="AN662" s="45"/>
      <c r="AO662" s="45"/>
      <c r="AP662" s="45"/>
      <c r="AQ662" s="36"/>
      <c r="AR662" s="36"/>
      <c r="AS662" s="36"/>
      <c r="AT662" s="36"/>
      <c r="AU662" s="36"/>
      <c r="AV662" s="36"/>
      <c r="AW662" s="36"/>
      <c r="AX662" s="36"/>
      <c r="AY662" s="36"/>
      <c r="AZ662" s="36"/>
      <c r="BA662" s="36"/>
      <c r="BB662" s="36"/>
      <c r="BC662" s="36"/>
      <c r="BD662" s="36"/>
      <c r="BE662" s="36"/>
      <c r="BF662" s="36"/>
      <c r="BG662" s="36"/>
      <c r="BH662" s="36"/>
      <c r="BI662" s="36"/>
      <c r="BJ662" s="36"/>
      <c r="BK662" s="36"/>
      <c r="BL662" s="36"/>
      <c r="BM662" s="36"/>
      <c r="BN662" s="36"/>
      <c r="BO662" s="36"/>
      <c r="BP662" s="36"/>
      <c r="BQ662" s="36"/>
    </row>
    <row r="663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51"/>
      <c r="S663" s="51"/>
      <c r="T663" s="51"/>
      <c r="U663" s="51"/>
      <c r="V663" s="51"/>
      <c r="W663" s="51"/>
      <c r="X663" s="51"/>
      <c r="Y663" s="45"/>
      <c r="Z663" s="45"/>
      <c r="AA663" s="45"/>
      <c r="AB663" s="45"/>
      <c r="AC663" s="45"/>
      <c r="AD663" s="45"/>
      <c r="AE663" s="45"/>
      <c r="AF663" s="45"/>
      <c r="AG663" s="45"/>
      <c r="AH663" s="45"/>
      <c r="AI663" s="45"/>
      <c r="AJ663" s="45"/>
      <c r="AK663" s="45"/>
      <c r="AL663" s="45"/>
      <c r="AM663" s="45"/>
      <c r="AN663" s="45"/>
      <c r="AO663" s="45"/>
      <c r="AP663" s="45"/>
      <c r="AQ663" s="36"/>
      <c r="AR663" s="36"/>
      <c r="AS663" s="36"/>
      <c r="AT663" s="36"/>
      <c r="AU663" s="36"/>
      <c r="AV663" s="36"/>
      <c r="AW663" s="36"/>
      <c r="AX663" s="36"/>
      <c r="AY663" s="36"/>
      <c r="AZ663" s="36"/>
      <c r="BA663" s="36"/>
      <c r="BB663" s="36"/>
      <c r="BC663" s="36"/>
      <c r="BD663" s="36"/>
      <c r="BE663" s="36"/>
      <c r="BF663" s="36"/>
      <c r="BG663" s="36"/>
      <c r="BH663" s="36"/>
      <c r="BI663" s="36"/>
      <c r="BJ663" s="36"/>
      <c r="BK663" s="36"/>
      <c r="BL663" s="36"/>
      <c r="BM663" s="36"/>
      <c r="BN663" s="36"/>
      <c r="BO663" s="36"/>
      <c r="BP663" s="36"/>
      <c r="BQ663" s="36"/>
    </row>
    <row r="664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51"/>
      <c r="S664" s="51"/>
      <c r="T664" s="51"/>
      <c r="U664" s="51"/>
      <c r="V664" s="51"/>
      <c r="W664" s="51"/>
      <c r="X664" s="51"/>
      <c r="Y664" s="45"/>
      <c r="Z664" s="45"/>
      <c r="AA664" s="45"/>
      <c r="AB664" s="45"/>
      <c r="AC664" s="45"/>
      <c r="AD664" s="45"/>
      <c r="AE664" s="45"/>
      <c r="AF664" s="45"/>
      <c r="AG664" s="45"/>
      <c r="AH664" s="45"/>
      <c r="AI664" s="45"/>
      <c r="AJ664" s="45"/>
      <c r="AK664" s="45"/>
      <c r="AL664" s="45"/>
      <c r="AM664" s="45"/>
      <c r="AN664" s="45"/>
      <c r="AO664" s="45"/>
      <c r="AP664" s="45"/>
      <c r="AQ664" s="36"/>
      <c r="AR664" s="36"/>
      <c r="AS664" s="36"/>
      <c r="AT664" s="36"/>
      <c r="AU664" s="36"/>
      <c r="AV664" s="36"/>
      <c r="AW664" s="36"/>
      <c r="AX664" s="36"/>
      <c r="AY664" s="36"/>
      <c r="AZ664" s="36"/>
      <c r="BA664" s="36"/>
      <c r="BB664" s="36"/>
      <c r="BC664" s="36"/>
      <c r="BD664" s="36"/>
      <c r="BE664" s="36"/>
      <c r="BF664" s="36"/>
      <c r="BG664" s="36"/>
      <c r="BH664" s="36"/>
      <c r="BI664" s="36"/>
      <c r="BJ664" s="36"/>
      <c r="BK664" s="36"/>
      <c r="BL664" s="36"/>
      <c r="BM664" s="36"/>
      <c r="BN664" s="36"/>
      <c r="BO664" s="36"/>
      <c r="BP664" s="36"/>
      <c r="BQ664" s="36"/>
    </row>
    <row r="66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51"/>
      <c r="S665" s="51"/>
      <c r="T665" s="51"/>
      <c r="U665" s="51"/>
      <c r="V665" s="51"/>
      <c r="W665" s="51"/>
      <c r="X665" s="51"/>
      <c r="Y665" s="45"/>
      <c r="Z665" s="45"/>
      <c r="AA665" s="45"/>
      <c r="AB665" s="45"/>
      <c r="AC665" s="45"/>
      <c r="AD665" s="45"/>
      <c r="AE665" s="45"/>
      <c r="AF665" s="45"/>
      <c r="AG665" s="45"/>
      <c r="AH665" s="45"/>
      <c r="AI665" s="45"/>
      <c r="AJ665" s="45"/>
      <c r="AK665" s="45"/>
      <c r="AL665" s="45"/>
      <c r="AM665" s="45"/>
      <c r="AN665" s="45"/>
      <c r="AO665" s="45"/>
      <c r="AP665" s="45"/>
      <c r="AQ665" s="36"/>
      <c r="AR665" s="36"/>
      <c r="AS665" s="36"/>
      <c r="AT665" s="36"/>
      <c r="AU665" s="36"/>
      <c r="AV665" s="36"/>
      <c r="AW665" s="36"/>
      <c r="AX665" s="36"/>
      <c r="AY665" s="36"/>
      <c r="AZ665" s="36"/>
      <c r="BA665" s="36"/>
      <c r="BB665" s="36"/>
      <c r="BC665" s="36"/>
      <c r="BD665" s="36"/>
      <c r="BE665" s="36"/>
      <c r="BF665" s="36"/>
      <c r="BG665" s="36"/>
      <c r="BH665" s="36"/>
      <c r="BI665" s="36"/>
      <c r="BJ665" s="36"/>
      <c r="BK665" s="36"/>
      <c r="BL665" s="36"/>
      <c r="BM665" s="36"/>
      <c r="BN665" s="36"/>
      <c r="BO665" s="36"/>
      <c r="BP665" s="36"/>
      <c r="BQ665" s="36"/>
    </row>
    <row r="666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51"/>
      <c r="S666" s="51"/>
      <c r="T666" s="51"/>
      <c r="U666" s="51"/>
      <c r="V666" s="51"/>
      <c r="W666" s="51"/>
      <c r="X666" s="51"/>
      <c r="Y666" s="45"/>
      <c r="Z666" s="45"/>
      <c r="AA666" s="45"/>
      <c r="AB666" s="45"/>
      <c r="AC666" s="45"/>
      <c r="AD666" s="45"/>
      <c r="AE666" s="45"/>
      <c r="AF666" s="45"/>
      <c r="AG666" s="45"/>
      <c r="AH666" s="45"/>
      <c r="AI666" s="45"/>
      <c r="AJ666" s="45"/>
      <c r="AK666" s="45"/>
      <c r="AL666" s="45"/>
      <c r="AM666" s="45"/>
      <c r="AN666" s="45"/>
      <c r="AO666" s="45"/>
      <c r="AP666" s="45"/>
      <c r="AQ666" s="36"/>
      <c r="AR666" s="36"/>
      <c r="AS666" s="36"/>
      <c r="AT666" s="36"/>
      <c r="AU666" s="36"/>
      <c r="AV666" s="36"/>
      <c r="AW666" s="36"/>
      <c r="AX666" s="36"/>
      <c r="AY666" s="36"/>
      <c r="AZ666" s="36"/>
      <c r="BA666" s="36"/>
      <c r="BB666" s="36"/>
      <c r="BC666" s="36"/>
      <c r="BD666" s="36"/>
      <c r="BE666" s="36"/>
      <c r="BF666" s="36"/>
      <c r="BG666" s="36"/>
      <c r="BH666" s="36"/>
      <c r="BI666" s="36"/>
      <c r="BJ666" s="36"/>
      <c r="BK666" s="36"/>
      <c r="BL666" s="36"/>
      <c r="BM666" s="36"/>
      <c r="BN666" s="36"/>
      <c r="BO666" s="36"/>
      <c r="BP666" s="36"/>
      <c r="BQ666" s="36"/>
    </row>
    <row r="667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51"/>
      <c r="S667" s="51"/>
      <c r="T667" s="51"/>
      <c r="U667" s="51"/>
      <c r="V667" s="51"/>
      <c r="W667" s="51"/>
      <c r="X667" s="51"/>
      <c r="Y667" s="45"/>
      <c r="Z667" s="45"/>
      <c r="AA667" s="45"/>
      <c r="AB667" s="45"/>
      <c r="AC667" s="45"/>
      <c r="AD667" s="45"/>
      <c r="AE667" s="45"/>
      <c r="AF667" s="45"/>
      <c r="AG667" s="45"/>
      <c r="AH667" s="45"/>
      <c r="AI667" s="45"/>
      <c r="AJ667" s="45"/>
      <c r="AK667" s="45"/>
      <c r="AL667" s="45"/>
      <c r="AM667" s="45"/>
      <c r="AN667" s="45"/>
      <c r="AO667" s="45"/>
      <c r="AP667" s="45"/>
      <c r="AQ667" s="36"/>
      <c r="AR667" s="36"/>
      <c r="AS667" s="36"/>
      <c r="AT667" s="36"/>
      <c r="AU667" s="36"/>
      <c r="AV667" s="36"/>
      <c r="AW667" s="36"/>
      <c r="AX667" s="36"/>
      <c r="AY667" s="36"/>
      <c r="AZ667" s="36"/>
      <c r="BA667" s="36"/>
      <c r="BB667" s="36"/>
      <c r="BC667" s="36"/>
      <c r="BD667" s="36"/>
      <c r="BE667" s="36"/>
      <c r="BF667" s="36"/>
      <c r="BG667" s="36"/>
      <c r="BH667" s="36"/>
      <c r="BI667" s="36"/>
      <c r="BJ667" s="36"/>
      <c r="BK667" s="36"/>
      <c r="BL667" s="36"/>
      <c r="BM667" s="36"/>
      <c r="BN667" s="36"/>
      <c r="BO667" s="36"/>
      <c r="BP667" s="36"/>
      <c r="BQ667" s="36"/>
    </row>
    <row r="668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51"/>
      <c r="S668" s="51"/>
      <c r="T668" s="51"/>
      <c r="U668" s="51"/>
      <c r="V668" s="51"/>
      <c r="W668" s="51"/>
      <c r="X668" s="51"/>
      <c r="Y668" s="45"/>
      <c r="Z668" s="45"/>
      <c r="AA668" s="45"/>
      <c r="AB668" s="45"/>
      <c r="AC668" s="45"/>
      <c r="AD668" s="45"/>
      <c r="AE668" s="45"/>
      <c r="AF668" s="45"/>
      <c r="AG668" s="45"/>
      <c r="AH668" s="45"/>
      <c r="AI668" s="45"/>
      <c r="AJ668" s="45"/>
      <c r="AK668" s="45"/>
      <c r="AL668" s="45"/>
      <c r="AM668" s="45"/>
      <c r="AN668" s="45"/>
      <c r="AO668" s="45"/>
      <c r="AP668" s="45"/>
      <c r="AQ668" s="36"/>
      <c r="AR668" s="36"/>
      <c r="AS668" s="36"/>
      <c r="AT668" s="36"/>
      <c r="AU668" s="36"/>
      <c r="AV668" s="36"/>
      <c r="AW668" s="36"/>
      <c r="AX668" s="36"/>
      <c r="AY668" s="36"/>
      <c r="AZ668" s="36"/>
      <c r="BA668" s="36"/>
      <c r="BB668" s="36"/>
      <c r="BC668" s="36"/>
      <c r="BD668" s="36"/>
      <c r="BE668" s="36"/>
      <c r="BF668" s="36"/>
      <c r="BG668" s="36"/>
      <c r="BH668" s="36"/>
      <c r="BI668" s="36"/>
      <c r="BJ668" s="36"/>
      <c r="BK668" s="36"/>
      <c r="BL668" s="36"/>
      <c r="BM668" s="36"/>
      <c r="BN668" s="36"/>
      <c r="BO668" s="36"/>
      <c r="BP668" s="36"/>
      <c r="BQ668" s="36"/>
    </row>
    <row r="669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51"/>
      <c r="S669" s="51"/>
      <c r="T669" s="51"/>
      <c r="U669" s="51"/>
      <c r="V669" s="51"/>
      <c r="W669" s="51"/>
      <c r="X669" s="51"/>
      <c r="Y669" s="45"/>
      <c r="Z669" s="45"/>
      <c r="AA669" s="45"/>
      <c r="AB669" s="45"/>
      <c r="AC669" s="45"/>
      <c r="AD669" s="45"/>
      <c r="AE669" s="45"/>
      <c r="AF669" s="45"/>
      <c r="AG669" s="45"/>
      <c r="AH669" s="45"/>
      <c r="AI669" s="45"/>
      <c r="AJ669" s="45"/>
      <c r="AK669" s="45"/>
      <c r="AL669" s="45"/>
      <c r="AM669" s="45"/>
      <c r="AN669" s="45"/>
      <c r="AO669" s="45"/>
      <c r="AP669" s="45"/>
      <c r="AQ669" s="36"/>
      <c r="AR669" s="36"/>
      <c r="AS669" s="36"/>
      <c r="AT669" s="36"/>
      <c r="AU669" s="36"/>
      <c r="AV669" s="36"/>
      <c r="AW669" s="36"/>
      <c r="AX669" s="36"/>
      <c r="AY669" s="36"/>
      <c r="AZ669" s="36"/>
      <c r="BA669" s="36"/>
      <c r="BB669" s="36"/>
      <c r="BC669" s="36"/>
      <c r="BD669" s="36"/>
      <c r="BE669" s="36"/>
      <c r="BF669" s="36"/>
      <c r="BG669" s="36"/>
      <c r="BH669" s="36"/>
      <c r="BI669" s="36"/>
      <c r="BJ669" s="36"/>
      <c r="BK669" s="36"/>
      <c r="BL669" s="36"/>
      <c r="BM669" s="36"/>
      <c r="BN669" s="36"/>
      <c r="BO669" s="36"/>
      <c r="BP669" s="36"/>
      <c r="BQ669" s="36"/>
    </row>
    <row r="670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51"/>
      <c r="S670" s="51"/>
      <c r="T670" s="51"/>
      <c r="U670" s="51"/>
      <c r="V670" s="51"/>
      <c r="W670" s="51"/>
      <c r="X670" s="51"/>
      <c r="Y670" s="45"/>
      <c r="Z670" s="45"/>
      <c r="AA670" s="45"/>
      <c r="AB670" s="45"/>
      <c r="AC670" s="45"/>
      <c r="AD670" s="45"/>
      <c r="AE670" s="45"/>
      <c r="AF670" s="45"/>
      <c r="AG670" s="45"/>
      <c r="AH670" s="45"/>
      <c r="AI670" s="45"/>
      <c r="AJ670" s="45"/>
      <c r="AK670" s="45"/>
      <c r="AL670" s="45"/>
      <c r="AM670" s="45"/>
      <c r="AN670" s="45"/>
      <c r="AO670" s="45"/>
      <c r="AP670" s="45"/>
      <c r="AQ670" s="36"/>
      <c r="AR670" s="36"/>
      <c r="AS670" s="36"/>
      <c r="AT670" s="36"/>
      <c r="AU670" s="36"/>
      <c r="AV670" s="36"/>
      <c r="AW670" s="36"/>
      <c r="AX670" s="36"/>
      <c r="AY670" s="36"/>
      <c r="AZ670" s="36"/>
      <c r="BA670" s="36"/>
      <c r="BB670" s="36"/>
      <c r="BC670" s="36"/>
      <c r="BD670" s="36"/>
      <c r="BE670" s="36"/>
      <c r="BF670" s="36"/>
      <c r="BG670" s="36"/>
      <c r="BH670" s="36"/>
      <c r="BI670" s="36"/>
      <c r="BJ670" s="36"/>
      <c r="BK670" s="36"/>
      <c r="BL670" s="36"/>
      <c r="BM670" s="36"/>
      <c r="BN670" s="36"/>
      <c r="BO670" s="36"/>
      <c r="BP670" s="36"/>
      <c r="BQ670" s="36"/>
    </row>
    <row r="67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51"/>
      <c r="S671" s="51"/>
      <c r="T671" s="51"/>
      <c r="U671" s="51"/>
      <c r="V671" s="51"/>
      <c r="W671" s="51"/>
      <c r="X671" s="51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5"/>
      <c r="AM671" s="45"/>
      <c r="AN671" s="45"/>
      <c r="AO671" s="45"/>
      <c r="AP671" s="45"/>
      <c r="AQ671" s="36"/>
      <c r="AR671" s="36"/>
      <c r="AS671" s="36"/>
      <c r="AT671" s="36"/>
      <c r="AU671" s="36"/>
      <c r="AV671" s="36"/>
      <c r="AW671" s="36"/>
      <c r="AX671" s="36"/>
      <c r="AY671" s="36"/>
      <c r="AZ671" s="36"/>
      <c r="BA671" s="36"/>
      <c r="BB671" s="36"/>
      <c r="BC671" s="36"/>
      <c r="BD671" s="36"/>
      <c r="BE671" s="36"/>
      <c r="BF671" s="36"/>
      <c r="BG671" s="36"/>
      <c r="BH671" s="36"/>
      <c r="BI671" s="36"/>
      <c r="BJ671" s="36"/>
      <c r="BK671" s="36"/>
      <c r="BL671" s="36"/>
      <c r="BM671" s="36"/>
      <c r="BN671" s="36"/>
      <c r="BO671" s="36"/>
      <c r="BP671" s="36"/>
      <c r="BQ671" s="36"/>
    </row>
    <row r="67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51"/>
      <c r="S672" s="51"/>
      <c r="T672" s="51"/>
      <c r="U672" s="51"/>
      <c r="V672" s="51"/>
      <c r="W672" s="51"/>
      <c r="X672" s="51"/>
      <c r="Y672" s="45"/>
      <c r="Z672" s="45"/>
      <c r="AA672" s="45"/>
      <c r="AB672" s="45"/>
      <c r="AC672" s="45"/>
      <c r="AD672" s="45"/>
      <c r="AE672" s="45"/>
      <c r="AF672" s="45"/>
      <c r="AG672" s="45"/>
      <c r="AH672" s="45"/>
      <c r="AI672" s="45"/>
      <c r="AJ672" s="45"/>
      <c r="AK672" s="45"/>
      <c r="AL672" s="45"/>
      <c r="AM672" s="45"/>
      <c r="AN672" s="45"/>
      <c r="AO672" s="45"/>
      <c r="AP672" s="45"/>
      <c r="AQ672" s="36"/>
      <c r="AR672" s="36"/>
      <c r="AS672" s="36"/>
      <c r="AT672" s="36"/>
      <c r="AU672" s="36"/>
      <c r="AV672" s="36"/>
      <c r="AW672" s="36"/>
      <c r="AX672" s="36"/>
      <c r="AY672" s="36"/>
      <c r="AZ672" s="36"/>
      <c r="BA672" s="36"/>
      <c r="BB672" s="36"/>
      <c r="BC672" s="36"/>
      <c r="BD672" s="36"/>
      <c r="BE672" s="36"/>
      <c r="BF672" s="36"/>
      <c r="BG672" s="36"/>
      <c r="BH672" s="36"/>
      <c r="BI672" s="36"/>
      <c r="BJ672" s="36"/>
      <c r="BK672" s="36"/>
      <c r="BL672" s="36"/>
      <c r="BM672" s="36"/>
      <c r="BN672" s="36"/>
      <c r="BO672" s="36"/>
      <c r="BP672" s="36"/>
      <c r="BQ672" s="36"/>
    </row>
    <row r="673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51"/>
      <c r="S673" s="51"/>
      <c r="T673" s="51"/>
      <c r="U673" s="51"/>
      <c r="V673" s="51"/>
      <c r="W673" s="51"/>
      <c r="X673" s="51"/>
      <c r="Y673" s="45"/>
      <c r="Z673" s="45"/>
      <c r="AA673" s="45"/>
      <c r="AB673" s="45"/>
      <c r="AC673" s="45"/>
      <c r="AD673" s="45"/>
      <c r="AE673" s="45"/>
      <c r="AF673" s="45"/>
      <c r="AG673" s="45"/>
      <c r="AH673" s="45"/>
      <c r="AI673" s="45"/>
      <c r="AJ673" s="45"/>
      <c r="AK673" s="45"/>
      <c r="AL673" s="45"/>
      <c r="AM673" s="45"/>
      <c r="AN673" s="45"/>
      <c r="AO673" s="45"/>
      <c r="AP673" s="45"/>
      <c r="AQ673" s="36"/>
      <c r="AR673" s="36"/>
      <c r="AS673" s="36"/>
      <c r="AT673" s="36"/>
      <c r="AU673" s="36"/>
      <c r="AV673" s="36"/>
      <c r="AW673" s="36"/>
      <c r="AX673" s="36"/>
      <c r="AY673" s="36"/>
      <c r="AZ673" s="36"/>
      <c r="BA673" s="36"/>
      <c r="BB673" s="36"/>
      <c r="BC673" s="36"/>
      <c r="BD673" s="36"/>
      <c r="BE673" s="36"/>
      <c r="BF673" s="36"/>
      <c r="BG673" s="36"/>
      <c r="BH673" s="36"/>
      <c r="BI673" s="36"/>
      <c r="BJ673" s="36"/>
      <c r="BK673" s="36"/>
      <c r="BL673" s="36"/>
      <c r="BM673" s="36"/>
      <c r="BN673" s="36"/>
      <c r="BO673" s="36"/>
      <c r="BP673" s="36"/>
      <c r="BQ673" s="36"/>
    </row>
    <row r="674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51"/>
      <c r="S674" s="51"/>
      <c r="T674" s="51"/>
      <c r="U674" s="51"/>
      <c r="V674" s="51"/>
      <c r="W674" s="51"/>
      <c r="X674" s="51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5"/>
      <c r="AM674" s="45"/>
      <c r="AN674" s="45"/>
      <c r="AO674" s="45"/>
      <c r="AP674" s="45"/>
      <c r="AQ674" s="36"/>
      <c r="AR674" s="36"/>
      <c r="AS674" s="36"/>
      <c r="AT674" s="36"/>
      <c r="AU674" s="36"/>
      <c r="AV674" s="36"/>
      <c r="AW674" s="36"/>
      <c r="AX674" s="36"/>
      <c r="AY674" s="36"/>
      <c r="AZ674" s="36"/>
      <c r="BA674" s="36"/>
      <c r="BB674" s="36"/>
      <c r="BC674" s="36"/>
      <c r="BD674" s="36"/>
      <c r="BE674" s="36"/>
      <c r="BF674" s="36"/>
      <c r="BG674" s="36"/>
      <c r="BH674" s="36"/>
      <c r="BI674" s="36"/>
      <c r="BJ674" s="36"/>
      <c r="BK674" s="36"/>
      <c r="BL674" s="36"/>
      <c r="BM674" s="36"/>
      <c r="BN674" s="36"/>
      <c r="BO674" s="36"/>
      <c r="BP674" s="36"/>
      <c r="BQ674" s="36"/>
    </row>
    <row r="67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51"/>
      <c r="S675" s="51"/>
      <c r="T675" s="51"/>
      <c r="U675" s="51"/>
      <c r="V675" s="51"/>
      <c r="W675" s="51"/>
      <c r="X675" s="51"/>
      <c r="Y675" s="45"/>
      <c r="Z675" s="45"/>
      <c r="AA675" s="45"/>
      <c r="AB675" s="45"/>
      <c r="AC675" s="45"/>
      <c r="AD675" s="45"/>
      <c r="AE675" s="45"/>
      <c r="AF675" s="45"/>
      <c r="AG675" s="45"/>
      <c r="AH675" s="45"/>
      <c r="AI675" s="45"/>
      <c r="AJ675" s="45"/>
      <c r="AK675" s="45"/>
      <c r="AL675" s="45"/>
      <c r="AM675" s="45"/>
      <c r="AN675" s="45"/>
      <c r="AO675" s="45"/>
      <c r="AP675" s="45"/>
      <c r="AQ675" s="36"/>
      <c r="AR675" s="36"/>
      <c r="AS675" s="36"/>
      <c r="AT675" s="36"/>
      <c r="AU675" s="36"/>
      <c r="AV675" s="36"/>
      <c r="AW675" s="36"/>
      <c r="AX675" s="36"/>
      <c r="AY675" s="36"/>
      <c r="AZ675" s="36"/>
      <c r="BA675" s="36"/>
      <c r="BB675" s="36"/>
      <c r="BC675" s="36"/>
      <c r="BD675" s="36"/>
      <c r="BE675" s="36"/>
      <c r="BF675" s="36"/>
      <c r="BG675" s="36"/>
      <c r="BH675" s="36"/>
      <c r="BI675" s="36"/>
      <c r="BJ675" s="36"/>
      <c r="BK675" s="36"/>
      <c r="BL675" s="36"/>
      <c r="BM675" s="36"/>
      <c r="BN675" s="36"/>
      <c r="BO675" s="36"/>
      <c r="BP675" s="36"/>
      <c r="BQ675" s="36"/>
    </row>
    <row r="676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51"/>
      <c r="S676" s="51"/>
      <c r="T676" s="51"/>
      <c r="U676" s="51"/>
      <c r="V676" s="51"/>
      <c r="W676" s="51"/>
      <c r="X676" s="51"/>
      <c r="Y676" s="45"/>
      <c r="Z676" s="45"/>
      <c r="AA676" s="45"/>
      <c r="AB676" s="45"/>
      <c r="AC676" s="45"/>
      <c r="AD676" s="45"/>
      <c r="AE676" s="45"/>
      <c r="AF676" s="45"/>
      <c r="AG676" s="45"/>
      <c r="AH676" s="45"/>
      <c r="AI676" s="45"/>
      <c r="AJ676" s="45"/>
      <c r="AK676" s="45"/>
      <c r="AL676" s="45"/>
      <c r="AM676" s="45"/>
      <c r="AN676" s="45"/>
      <c r="AO676" s="45"/>
      <c r="AP676" s="45"/>
      <c r="AQ676" s="36"/>
      <c r="AR676" s="36"/>
      <c r="AS676" s="36"/>
      <c r="AT676" s="36"/>
      <c r="AU676" s="36"/>
      <c r="AV676" s="36"/>
      <c r="AW676" s="36"/>
      <c r="AX676" s="36"/>
      <c r="AY676" s="36"/>
      <c r="AZ676" s="36"/>
      <c r="BA676" s="36"/>
      <c r="BB676" s="36"/>
      <c r="BC676" s="36"/>
      <c r="BD676" s="36"/>
      <c r="BE676" s="36"/>
      <c r="BF676" s="36"/>
      <c r="BG676" s="36"/>
      <c r="BH676" s="36"/>
      <c r="BI676" s="36"/>
      <c r="BJ676" s="36"/>
      <c r="BK676" s="36"/>
      <c r="BL676" s="36"/>
      <c r="BM676" s="36"/>
      <c r="BN676" s="36"/>
      <c r="BO676" s="36"/>
      <c r="BP676" s="36"/>
      <c r="BQ676" s="36"/>
    </row>
    <row r="677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51"/>
      <c r="S677" s="51"/>
      <c r="T677" s="51"/>
      <c r="U677" s="51"/>
      <c r="V677" s="51"/>
      <c r="W677" s="51"/>
      <c r="X677" s="51"/>
      <c r="Y677" s="45"/>
      <c r="Z677" s="45"/>
      <c r="AA677" s="45"/>
      <c r="AB677" s="45"/>
      <c r="AC677" s="45"/>
      <c r="AD677" s="45"/>
      <c r="AE677" s="45"/>
      <c r="AF677" s="45"/>
      <c r="AG677" s="45"/>
      <c r="AH677" s="45"/>
      <c r="AI677" s="45"/>
      <c r="AJ677" s="45"/>
      <c r="AK677" s="45"/>
      <c r="AL677" s="45"/>
      <c r="AM677" s="45"/>
      <c r="AN677" s="45"/>
      <c r="AO677" s="45"/>
      <c r="AP677" s="45"/>
      <c r="AQ677" s="36"/>
      <c r="AR677" s="36"/>
      <c r="AS677" s="36"/>
      <c r="AT677" s="36"/>
      <c r="AU677" s="36"/>
      <c r="AV677" s="36"/>
      <c r="AW677" s="36"/>
      <c r="AX677" s="36"/>
      <c r="AY677" s="36"/>
      <c r="AZ677" s="36"/>
      <c r="BA677" s="36"/>
      <c r="BB677" s="36"/>
      <c r="BC677" s="36"/>
      <c r="BD677" s="36"/>
      <c r="BE677" s="36"/>
      <c r="BF677" s="36"/>
      <c r="BG677" s="36"/>
      <c r="BH677" s="36"/>
      <c r="BI677" s="36"/>
      <c r="BJ677" s="36"/>
      <c r="BK677" s="36"/>
      <c r="BL677" s="36"/>
      <c r="BM677" s="36"/>
      <c r="BN677" s="36"/>
      <c r="BO677" s="36"/>
      <c r="BP677" s="36"/>
      <c r="BQ677" s="36"/>
    </row>
    <row r="678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51"/>
      <c r="S678" s="51"/>
      <c r="T678" s="51"/>
      <c r="U678" s="51"/>
      <c r="V678" s="51"/>
      <c r="W678" s="51"/>
      <c r="X678" s="51"/>
      <c r="Y678" s="45"/>
      <c r="Z678" s="45"/>
      <c r="AA678" s="45"/>
      <c r="AB678" s="45"/>
      <c r="AC678" s="45"/>
      <c r="AD678" s="45"/>
      <c r="AE678" s="45"/>
      <c r="AF678" s="45"/>
      <c r="AG678" s="45"/>
      <c r="AH678" s="45"/>
      <c r="AI678" s="45"/>
      <c r="AJ678" s="45"/>
      <c r="AK678" s="45"/>
      <c r="AL678" s="45"/>
      <c r="AM678" s="45"/>
      <c r="AN678" s="45"/>
      <c r="AO678" s="45"/>
      <c r="AP678" s="45"/>
      <c r="AQ678" s="36"/>
      <c r="AR678" s="36"/>
      <c r="AS678" s="36"/>
      <c r="AT678" s="36"/>
      <c r="AU678" s="36"/>
      <c r="AV678" s="36"/>
      <c r="AW678" s="36"/>
      <c r="AX678" s="36"/>
      <c r="AY678" s="36"/>
      <c r="AZ678" s="36"/>
      <c r="BA678" s="36"/>
      <c r="BB678" s="36"/>
      <c r="BC678" s="36"/>
      <c r="BD678" s="36"/>
      <c r="BE678" s="36"/>
      <c r="BF678" s="36"/>
      <c r="BG678" s="36"/>
      <c r="BH678" s="36"/>
      <c r="BI678" s="36"/>
      <c r="BJ678" s="36"/>
      <c r="BK678" s="36"/>
      <c r="BL678" s="36"/>
      <c r="BM678" s="36"/>
      <c r="BN678" s="36"/>
      <c r="BO678" s="36"/>
      <c r="BP678" s="36"/>
      <c r="BQ678" s="36"/>
    </row>
    <row r="679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51"/>
      <c r="S679" s="51"/>
      <c r="T679" s="51"/>
      <c r="U679" s="51"/>
      <c r="V679" s="51"/>
      <c r="W679" s="51"/>
      <c r="X679" s="51"/>
      <c r="Y679" s="45"/>
      <c r="Z679" s="45"/>
      <c r="AA679" s="45"/>
      <c r="AB679" s="45"/>
      <c r="AC679" s="45"/>
      <c r="AD679" s="45"/>
      <c r="AE679" s="45"/>
      <c r="AF679" s="45"/>
      <c r="AG679" s="45"/>
      <c r="AH679" s="45"/>
      <c r="AI679" s="45"/>
      <c r="AJ679" s="45"/>
      <c r="AK679" s="45"/>
      <c r="AL679" s="45"/>
      <c r="AM679" s="45"/>
      <c r="AN679" s="45"/>
      <c r="AO679" s="45"/>
      <c r="AP679" s="45"/>
      <c r="AQ679" s="36"/>
      <c r="AR679" s="36"/>
      <c r="AS679" s="36"/>
      <c r="AT679" s="36"/>
      <c r="AU679" s="36"/>
      <c r="AV679" s="36"/>
      <c r="AW679" s="36"/>
      <c r="AX679" s="36"/>
      <c r="AY679" s="36"/>
      <c r="AZ679" s="36"/>
      <c r="BA679" s="36"/>
      <c r="BB679" s="36"/>
      <c r="BC679" s="36"/>
      <c r="BD679" s="36"/>
      <c r="BE679" s="36"/>
      <c r="BF679" s="36"/>
      <c r="BG679" s="36"/>
      <c r="BH679" s="36"/>
      <c r="BI679" s="36"/>
      <c r="BJ679" s="36"/>
      <c r="BK679" s="36"/>
      <c r="BL679" s="36"/>
      <c r="BM679" s="36"/>
      <c r="BN679" s="36"/>
      <c r="BO679" s="36"/>
      <c r="BP679" s="36"/>
      <c r="BQ679" s="36"/>
    </row>
    <row r="680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51"/>
      <c r="S680" s="51"/>
      <c r="T680" s="51"/>
      <c r="U680" s="51"/>
      <c r="V680" s="51"/>
      <c r="W680" s="51"/>
      <c r="X680" s="51"/>
      <c r="Y680" s="45"/>
      <c r="Z680" s="45"/>
      <c r="AA680" s="45"/>
      <c r="AB680" s="45"/>
      <c r="AC680" s="45"/>
      <c r="AD680" s="45"/>
      <c r="AE680" s="45"/>
      <c r="AF680" s="45"/>
      <c r="AG680" s="45"/>
      <c r="AH680" s="45"/>
      <c r="AI680" s="45"/>
      <c r="AJ680" s="45"/>
      <c r="AK680" s="45"/>
      <c r="AL680" s="45"/>
      <c r="AM680" s="45"/>
      <c r="AN680" s="45"/>
      <c r="AO680" s="45"/>
      <c r="AP680" s="45"/>
      <c r="AQ680" s="36"/>
      <c r="AR680" s="36"/>
      <c r="AS680" s="36"/>
      <c r="AT680" s="36"/>
      <c r="AU680" s="36"/>
      <c r="AV680" s="36"/>
      <c r="AW680" s="36"/>
      <c r="AX680" s="36"/>
      <c r="AY680" s="36"/>
      <c r="AZ680" s="36"/>
      <c r="BA680" s="36"/>
      <c r="BB680" s="36"/>
      <c r="BC680" s="36"/>
      <c r="BD680" s="36"/>
      <c r="BE680" s="36"/>
      <c r="BF680" s="36"/>
      <c r="BG680" s="36"/>
      <c r="BH680" s="36"/>
      <c r="BI680" s="36"/>
      <c r="BJ680" s="36"/>
      <c r="BK680" s="36"/>
      <c r="BL680" s="36"/>
      <c r="BM680" s="36"/>
      <c r="BN680" s="36"/>
      <c r="BO680" s="36"/>
      <c r="BP680" s="36"/>
      <c r="BQ680" s="36"/>
    </row>
    <row r="68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51"/>
      <c r="S681" s="51"/>
      <c r="T681" s="51"/>
      <c r="U681" s="51"/>
      <c r="V681" s="51"/>
      <c r="W681" s="51"/>
      <c r="X681" s="51"/>
      <c r="Y681" s="45"/>
      <c r="Z681" s="45"/>
      <c r="AA681" s="45"/>
      <c r="AB681" s="45"/>
      <c r="AC681" s="45"/>
      <c r="AD681" s="45"/>
      <c r="AE681" s="45"/>
      <c r="AF681" s="45"/>
      <c r="AG681" s="45"/>
      <c r="AH681" s="45"/>
      <c r="AI681" s="45"/>
      <c r="AJ681" s="45"/>
      <c r="AK681" s="45"/>
      <c r="AL681" s="45"/>
      <c r="AM681" s="45"/>
      <c r="AN681" s="45"/>
      <c r="AO681" s="45"/>
      <c r="AP681" s="45"/>
      <c r="AQ681" s="36"/>
      <c r="AR681" s="36"/>
      <c r="AS681" s="36"/>
      <c r="AT681" s="36"/>
      <c r="AU681" s="36"/>
      <c r="AV681" s="36"/>
      <c r="AW681" s="36"/>
      <c r="AX681" s="36"/>
      <c r="AY681" s="36"/>
      <c r="AZ681" s="36"/>
      <c r="BA681" s="36"/>
      <c r="BB681" s="36"/>
      <c r="BC681" s="36"/>
      <c r="BD681" s="36"/>
      <c r="BE681" s="36"/>
      <c r="BF681" s="36"/>
      <c r="BG681" s="36"/>
      <c r="BH681" s="36"/>
      <c r="BI681" s="36"/>
      <c r="BJ681" s="36"/>
      <c r="BK681" s="36"/>
      <c r="BL681" s="36"/>
      <c r="BM681" s="36"/>
      <c r="BN681" s="36"/>
      <c r="BO681" s="36"/>
      <c r="BP681" s="36"/>
      <c r="BQ681" s="36"/>
    </row>
    <row r="68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51"/>
      <c r="S682" s="51"/>
      <c r="T682" s="51"/>
      <c r="U682" s="51"/>
      <c r="V682" s="51"/>
      <c r="W682" s="51"/>
      <c r="X682" s="51"/>
      <c r="Y682" s="45"/>
      <c r="Z682" s="45"/>
      <c r="AA682" s="45"/>
      <c r="AB682" s="45"/>
      <c r="AC682" s="45"/>
      <c r="AD682" s="45"/>
      <c r="AE682" s="45"/>
      <c r="AF682" s="45"/>
      <c r="AG682" s="45"/>
      <c r="AH682" s="45"/>
      <c r="AI682" s="45"/>
      <c r="AJ682" s="45"/>
      <c r="AK682" s="45"/>
      <c r="AL682" s="45"/>
      <c r="AM682" s="45"/>
      <c r="AN682" s="45"/>
      <c r="AO682" s="45"/>
      <c r="AP682" s="45"/>
      <c r="AQ682" s="36"/>
      <c r="AR682" s="36"/>
      <c r="AS682" s="36"/>
      <c r="AT682" s="36"/>
      <c r="AU682" s="36"/>
      <c r="AV682" s="36"/>
      <c r="AW682" s="36"/>
      <c r="AX682" s="36"/>
      <c r="AY682" s="36"/>
      <c r="AZ682" s="36"/>
      <c r="BA682" s="36"/>
      <c r="BB682" s="36"/>
      <c r="BC682" s="36"/>
      <c r="BD682" s="36"/>
      <c r="BE682" s="36"/>
      <c r="BF682" s="36"/>
      <c r="BG682" s="36"/>
      <c r="BH682" s="36"/>
      <c r="BI682" s="36"/>
      <c r="BJ682" s="36"/>
      <c r="BK682" s="36"/>
      <c r="BL682" s="36"/>
      <c r="BM682" s="36"/>
      <c r="BN682" s="36"/>
      <c r="BO682" s="36"/>
      <c r="BP682" s="36"/>
      <c r="BQ682" s="36"/>
    </row>
    <row r="683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51"/>
      <c r="S683" s="51"/>
      <c r="T683" s="51"/>
      <c r="U683" s="51"/>
      <c r="V683" s="51"/>
      <c r="W683" s="51"/>
      <c r="X683" s="51"/>
      <c r="Y683" s="45"/>
      <c r="Z683" s="45"/>
      <c r="AA683" s="45"/>
      <c r="AB683" s="45"/>
      <c r="AC683" s="45"/>
      <c r="AD683" s="45"/>
      <c r="AE683" s="45"/>
      <c r="AF683" s="45"/>
      <c r="AG683" s="45"/>
      <c r="AH683" s="45"/>
      <c r="AI683" s="45"/>
      <c r="AJ683" s="45"/>
      <c r="AK683" s="45"/>
      <c r="AL683" s="45"/>
      <c r="AM683" s="45"/>
      <c r="AN683" s="45"/>
      <c r="AO683" s="45"/>
      <c r="AP683" s="45"/>
      <c r="AQ683" s="36"/>
      <c r="AR683" s="36"/>
      <c r="AS683" s="36"/>
      <c r="AT683" s="36"/>
      <c r="AU683" s="36"/>
      <c r="AV683" s="36"/>
      <c r="AW683" s="36"/>
      <c r="AX683" s="36"/>
      <c r="AY683" s="36"/>
      <c r="AZ683" s="36"/>
      <c r="BA683" s="36"/>
      <c r="BB683" s="36"/>
      <c r="BC683" s="36"/>
      <c r="BD683" s="36"/>
      <c r="BE683" s="36"/>
      <c r="BF683" s="36"/>
      <c r="BG683" s="36"/>
      <c r="BH683" s="36"/>
      <c r="BI683" s="36"/>
      <c r="BJ683" s="36"/>
      <c r="BK683" s="36"/>
      <c r="BL683" s="36"/>
      <c r="BM683" s="36"/>
      <c r="BN683" s="36"/>
      <c r="BO683" s="36"/>
      <c r="BP683" s="36"/>
      <c r="BQ683" s="36"/>
    </row>
    <row r="684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51"/>
      <c r="S684" s="51"/>
      <c r="T684" s="51"/>
      <c r="U684" s="51"/>
      <c r="V684" s="51"/>
      <c r="W684" s="51"/>
      <c r="X684" s="51"/>
      <c r="Y684" s="45"/>
      <c r="Z684" s="45"/>
      <c r="AA684" s="45"/>
      <c r="AB684" s="45"/>
      <c r="AC684" s="45"/>
      <c r="AD684" s="45"/>
      <c r="AE684" s="45"/>
      <c r="AF684" s="45"/>
      <c r="AG684" s="45"/>
      <c r="AH684" s="45"/>
      <c r="AI684" s="45"/>
      <c r="AJ684" s="45"/>
      <c r="AK684" s="45"/>
      <c r="AL684" s="45"/>
      <c r="AM684" s="45"/>
      <c r="AN684" s="45"/>
      <c r="AO684" s="45"/>
      <c r="AP684" s="45"/>
      <c r="AQ684" s="36"/>
      <c r="AR684" s="36"/>
      <c r="AS684" s="36"/>
      <c r="AT684" s="36"/>
      <c r="AU684" s="36"/>
      <c r="AV684" s="36"/>
      <c r="AW684" s="36"/>
      <c r="AX684" s="36"/>
      <c r="AY684" s="36"/>
      <c r="AZ684" s="36"/>
      <c r="BA684" s="36"/>
      <c r="BB684" s="36"/>
      <c r="BC684" s="36"/>
      <c r="BD684" s="36"/>
      <c r="BE684" s="36"/>
      <c r="BF684" s="36"/>
      <c r="BG684" s="36"/>
      <c r="BH684" s="36"/>
      <c r="BI684" s="36"/>
      <c r="BJ684" s="36"/>
      <c r="BK684" s="36"/>
      <c r="BL684" s="36"/>
      <c r="BM684" s="36"/>
      <c r="BN684" s="36"/>
      <c r="BO684" s="36"/>
      <c r="BP684" s="36"/>
      <c r="BQ684" s="36"/>
    </row>
    <row r="68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51"/>
      <c r="S685" s="51"/>
      <c r="T685" s="51"/>
      <c r="U685" s="51"/>
      <c r="V685" s="51"/>
      <c r="W685" s="51"/>
      <c r="X685" s="51"/>
      <c r="Y685" s="45"/>
      <c r="Z685" s="45"/>
      <c r="AA685" s="45"/>
      <c r="AB685" s="45"/>
      <c r="AC685" s="45"/>
      <c r="AD685" s="45"/>
      <c r="AE685" s="45"/>
      <c r="AF685" s="45"/>
      <c r="AG685" s="45"/>
      <c r="AH685" s="45"/>
      <c r="AI685" s="45"/>
      <c r="AJ685" s="45"/>
      <c r="AK685" s="45"/>
      <c r="AL685" s="45"/>
      <c r="AM685" s="45"/>
      <c r="AN685" s="45"/>
      <c r="AO685" s="45"/>
      <c r="AP685" s="45"/>
      <c r="AQ685" s="36"/>
      <c r="AR685" s="36"/>
      <c r="AS685" s="36"/>
      <c r="AT685" s="36"/>
      <c r="AU685" s="36"/>
      <c r="AV685" s="36"/>
      <c r="AW685" s="36"/>
      <c r="AX685" s="36"/>
      <c r="AY685" s="36"/>
      <c r="AZ685" s="36"/>
      <c r="BA685" s="36"/>
      <c r="BB685" s="36"/>
      <c r="BC685" s="36"/>
      <c r="BD685" s="36"/>
      <c r="BE685" s="36"/>
      <c r="BF685" s="36"/>
      <c r="BG685" s="36"/>
      <c r="BH685" s="36"/>
      <c r="BI685" s="36"/>
      <c r="BJ685" s="36"/>
      <c r="BK685" s="36"/>
      <c r="BL685" s="36"/>
      <c r="BM685" s="36"/>
      <c r="BN685" s="36"/>
      <c r="BO685" s="36"/>
      <c r="BP685" s="36"/>
      <c r="BQ685" s="36"/>
    </row>
    <row r="686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51"/>
      <c r="S686" s="51"/>
      <c r="T686" s="51"/>
      <c r="U686" s="51"/>
      <c r="V686" s="51"/>
      <c r="W686" s="51"/>
      <c r="X686" s="51"/>
      <c r="Y686" s="45"/>
      <c r="Z686" s="45"/>
      <c r="AA686" s="45"/>
      <c r="AB686" s="45"/>
      <c r="AC686" s="45"/>
      <c r="AD686" s="45"/>
      <c r="AE686" s="45"/>
      <c r="AF686" s="45"/>
      <c r="AG686" s="45"/>
      <c r="AH686" s="45"/>
      <c r="AI686" s="45"/>
      <c r="AJ686" s="45"/>
      <c r="AK686" s="45"/>
      <c r="AL686" s="45"/>
      <c r="AM686" s="45"/>
      <c r="AN686" s="45"/>
      <c r="AO686" s="45"/>
      <c r="AP686" s="45"/>
      <c r="AQ686" s="36"/>
      <c r="AR686" s="36"/>
      <c r="AS686" s="36"/>
      <c r="AT686" s="36"/>
      <c r="AU686" s="36"/>
      <c r="AV686" s="36"/>
      <c r="AW686" s="36"/>
      <c r="AX686" s="36"/>
      <c r="AY686" s="36"/>
      <c r="AZ686" s="36"/>
      <c r="BA686" s="36"/>
      <c r="BB686" s="36"/>
      <c r="BC686" s="36"/>
      <c r="BD686" s="36"/>
      <c r="BE686" s="36"/>
      <c r="BF686" s="36"/>
      <c r="BG686" s="36"/>
      <c r="BH686" s="36"/>
      <c r="BI686" s="36"/>
      <c r="BJ686" s="36"/>
      <c r="BK686" s="36"/>
      <c r="BL686" s="36"/>
      <c r="BM686" s="36"/>
      <c r="BN686" s="36"/>
      <c r="BO686" s="36"/>
      <c r="BP686" s="36"/>
      <c r="BQ686" s="36"/>
    </row>
    <row r="687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51"/>
      <c r="S687" s="51"/>
      <c r="T687" s="51"/>
      <c r="U687" s="51"/>
      <c r="V687" s="51"/>
      <c r="W687" s="51"/>
      <c r="X687" s="51"/>
      <c r="Y687" s="45"/>
      <c r="Z687" s="45"/>
      <c r="AA687" s="45"/>
      <c r="AB687" s="45"/>
      <c r="AC687" s="45"/>
      <c r="AD687" s="45"/>
      <c r="AE687" s="45"/>
      <c r="AF687" s="45"/>
      <c r="AG687" s="45"/>
      <c r="AH687" s="45"/>
      <c r="AI687" s="45"/>
      <c r="AJ687" s="45"/>
      <c r="AK687" s="45"/>
      <c r="AL687" s="45"/>
      <c r="AM687" s="45"/>
      <c r="AN687" s="45"/>
      <c r="AO687" s="45"/>
      <c r="AP687" s="45"/>
      <c r="AQ687" s="36"/>
      <c r="AR687" s="36"/>
      <c r="AS687" s="36"/>
      <c r="AT687" s="36"/>
      <c r="AU687" s="36"/>
      <c r="AV687" s="36"/>
      <c r="AW687" s="36"/>
      <c r="AX687" s="36"/>
      <c r="AY687" s="36"/>
      <c r="AZ687" s="36"/>
      <c r="BA687" s="36"/>
      <c r="BB687" s="36"/>
      <c r="BC687" s="36"/>
      <c r="BD687" s="36"/>
      <c r="BE687" s="36"/>
      <c r="BF687" s="36"/>
      <c r="BG687" s="36"/>
      <c r="BH687" s="36"/>
      <c r="BI687" s="36"/>
      <c r="BJ687" s="36"/>
      <c r="BK687" s="36"/>
      <c r="BL687" s="36"/>
      <c r="BM687" s="36"/>
      <c r="BN687" s="36"/>
      <c r="BO687" s="36"/>
      <c r="BP687" s="36"/>
      <c r="BQ687" s="36"/>
    </row>
    <row r="688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51"/>
      <c r="S688" s="51"/>
      <c r="T688" s="51"/>
      <c r="U688" s="51"/>
      <c r="V688" s="51"/>
      <c r="W688" s="51"/>
      <c r="X688" s="51"/>
      <c r="Y688" s="45"/>
      <c r="Z688" s="45"/>
      <c r="AA688" s="45"/>
      <c r="AB688" s="45"/>
      <c r="AC688" s="45"/>
      <c r="AD688" s="45"/>
      <c r="AE688" s="45"/>
      <c r="AF688" s="45"/>
      <c r="AG688" s="45"/>
      <c r="AH688" s="45"/>
      <c r="AI688" s="45"/>
      <c r="AJ688" s="45"/>
      <c r="AK688" s="45"/>
      <c r="AL688" s="45"/>
      <c r="AM688" s="45"/>
      <c r="AN688" s="45"/>
      <c r="AO688" s="45"/>
      <c r="AP688" s="45"/>
      <c r="AQ688" s="36"/>
      <c r="AR688" s="36"/>
      <c r="AS688" s="36"/>
      <c r="AT688" s="36"/>
      <c r="AU688" s="36"/>
      <c r="AV688" s="36"/>
      <c r="AW688" s="36"/>
      <c r="AX688" s="36"/>
      <c r="AY688" s="36"/>
      <c r="AZ688" s="36"/>
      <c r="BA688" s="36"/>
      <c r="BB688" s="36"/>
      <c r="BC688" s="36"/>
      <c r="BD688" s="36"/>
      <c r="BE688" s="36"/>
      <c r="BF688" s="36"/>
      <c r="BG688" s="36"/>
      <c r="BH688" s="36"/>
      <c r="BI688" s="36"/>
      <c r="BJ688" s="36"/>
      <c r="BK688" s="36"/>
      <c r="BL688" s="36"/>
      <c r="BM688" s="36"/>
      <c r="BN688" s="36"/>
      <c r="BO688" s="36"/>
      <c r="BP688" s="36"/>
      <c r="BQ688" s="36"/>
    </row>
    <row r="689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51"/>
      <c r="S689" s="51"/>
      <c r="T689" s="51"/>
      <c r="U689" s="51"/>
      <c r="V689" s="51"/>
      <c r="W689" s="51"/>
      <c r="X689" s="51"/>
      <c r="Y689" s="45"/>
      <c r="Z689" s="45"/>
      <c r="AA689" s="45"/>
      <c r="AB689" s="45"/>
      <c r="AC689" s="45"/>
      <c r="AD689" s="45"/>
      <c r="AE689" s="45"/>
      <c r="AF689" s="45"/>
      <c r="AG689" s="45"/>
      <c r="AH689" s="45"/>
      <c r="AI689" s="45"/>
      <c r="AJ689" s="45"/>
      <c r="AK689" s="45"/>
      <c r="AL689" s="45"/>
      <c r="AM689" s="45"/>
      <c r="AN689" s="45"/>
      <c r="AO689" s="45"/>
      <c r="AP689" s="45"/>
      <c r="AQ689" s="36"/>
      <c r="AR689" s="36"/>
      <c r="AS689" s="36"/>
      <c r="AT689" s="36"/>
      <c r="AU689" s="36"/>
      <c r="AV689" s="36"/>
      <c r="AW689" s="36"/>
      <c r="AX689" s="36"/>
      <c r="AY689" s="36"/>
      <c r="AZ689" s="36"/>
      <c r="BA689" s="36"/>
      <c r="BB689" s="36"/>
      <c r="BC689" s="36"/>
      <c r="BD689" s="36"/>
      <c r="BE689" s="36"/>
      <c r="BF689" s="36"/>
      <c r="BG689" s="36"/>
      <c r="BH689" s="36"/>
      <c r="BI689" s="36"/>
      <c r="BJ689" s="36"/>
      <c r="BK689" s="36"/>
      <c r="BL689" s="36"/>
      <c r="BM689" s="36"/>
      <c r="BN689" s="36"/>
      <c r="BO689" s="36"/>
      <c r="BP689" s="36"/>
      <c r="BQ689" s="36"/>
    </row>
    <row r="690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51"/>
      <c r="S690" s="51"/>
      <c r="T690" s="51"/>
      <c r="U690" s="51"/>
      <c r="V690" s="51"/>
      <c r="W690" s="51"/>
      <c r="X690" s="51"/>
      <c r="Y690" s="45"/>
      <c r="Z690" s="45"/>
      <c r="AA690" s="45"/>
      <c r="AB690" s="45"/>
      <c r="AC690" s="45"/>
      <c r="AD690" s="45"/>
      <c r="AE690" s="45"/>
      <c r="AF690" s="45"/>
      <c r="AG690" s="45"/>
      <c r="AH690" s="45"/>
      <c r="AI690" s="45"/>
      <c r="AJ690" s="45"/>
      <c r="AK690" s="45"/>
      <c r="AL690" s="45"/>
      <c r="AM690" s="45"/>
      <c r="AN690" s="45"/>
      <c r="AO690" s="45"/>
      <c r="AP690" s="45"/>
      <c r="AQ690" s="36"/>
      <c r="AR690" s="36"/>
      <c r="AS690" s="36"/>
      <c r="AT690" s="36"/>
      <c r="AU690" s="36"/>
      <c r="AV690" s="36"/>
      <c r="AW690" s="36"/>
      <c r="AX690" s="36"/>
      <c r="AY690" s="36"/>
      <c r="AZ690" s="36"/>
      <c r="BA690" s="36"/>
      <c r="BB690" s="36"/>
      <c r="BC690" s="36"/>
      <c r="BD690" s="36"/>
      <c r="BE690" s="36"/>
      <c r="BF690" s="36"/>
      <c r="BG690" s="36"/>
      <c r="BH690" s="36"/>
      <c r="BI690" s="36"/>
      <c r="BJ690" s="36"/>
      <c r="BK690" s="36"/>
      <c r="BL690" s="36"/>
      <c r="BM690" s="36"/>
      <c r="BN690" s="36"/>
      <c r="BO690" s="36"/>
      <c r="BP690" s="36"/>
      <c r="BQ690" s="36"/>
    </row>
    <row r="69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51"/>
      <c r="S691" s="51"/>
      <c r="T691" s="51"/>
      <c r="U691" s="51"/>
      <c r="V691" s="51"/>
      <c r="W691" s="51"/>
      <c r="X691" s="51"/>
      <c r="Y691" s="45"/>
      <c r="Z691" s="45"/>
      <c r="AA691" s="45"/>
      <c r="AB691" s="45"/>
      <c r="AC691" s="45"/>
      <c r="AD691" s="45"/>
      <c r="AE691" s="45"/>
      <c r="AF691" s="45"/>
      <c r="AG691" s="45"/>
      <c r="AH691" s="45"/>
      <c r="AI691" s="45"/>
      <c r="AJ691" s="45"/>
      <c r="AK691" s="45"/>
      <c r="AL691" s="45"/>
      <c r="AM691" s="45"/>
      <c r="AN691" s="45"/>
      <c r="AO691" s="45"/>
      <c r="AP691" s="45"/>
      <c r="AQ691" s="36"/>
      <c r="AR691" s="36"/>
      <c r="AS691" s="36"/>
      <c r="AT691" s="36"/>
      <c r="AU691" s="36"/>
      <c r="AV691" s="36"/>
      <c r="AW691" s="36"/>
      <c r="AX691" s="36"/>
      <c r="AY691" s="36"/>
      <c r="AZ691" s="36"/>
      <c r="BA691" s="36"/>
      <c r="BB691" s="36"/>
      <c r="BC691" s="36"/>
      <c r="BD691" s="36"/>
      <c r="BE691" s="36"/>
      <c r="BF691" s="36"/>
      <c r="BG691" s="36"/>
      <c r="BH691" s="36"/>
      <c r="BI691" s="36"/>
      <c r="BJ691" s="36"/>
      <c r="BK691" s="36"/>
      <c r="BL691" s="36"/>
      <c r="BM691" s="36"/>
      <c r="BN691" s="36"/>
      <c r="BO691" s="36"/>
      <c r="BP691" s="36"/>
      <c r="BQ691" s="36"/>
    </row>
    <row r="69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51"/>
      <c r="S692" s="51"/>
      <c r="T692" s="51"/>
      <c r="U692" s="51"/>
      <c r="V692" s="51"/>
      <c r="W692" s="51"/>
      <c r="X692" s="51"/>
      <c r="Y692" s="45"/>
      <c r="Z692" s="45"/>
      <c r="AA692" s="45"/>
      <c r="AB692" s="45"/>
      <c r="AC692" s="45"/>
      <c r="AD692" s="45"/>
      <c r="AE692" s="45"/>
      <c r="AF692" s="45"/>
      <c r="AG692" s="45"/>
      <c r="AH692" s="45"/>
      <c r="AI692" s="45"/>
      <c r="AJ692" s="45"/>
      <c r="AK692" s="45"/>
      <c r="AL692" s="45"/>
      <c r="AM692" s="45"/>
      <c r="AN692" s="45"/>
      <c r="AO692" s="45"/>
      <c r="AP692" s="45"/>
      <c r="AQ692" s="36"/>
      <c r="AR692" s="36"/>
      <c r="AS692" s="36"/>
      <c r="AT692" s="36"/>
      <c r="AU692" s="36"/>
      <c r="AV692" s="36"/>
      <c r="AW692" s="36"/>
      <c r="AX692" s="36"/>
      <c r="AY692" s="36"/>
      <c r="AZ692" s="36"/>
      <c r="BA692" s="36"/>
      <c r="BB692" s="36"/>
      <c r="BC692" s="36"/>
      <c r="BD692" s="36"/>
      <c r="BE692" s="36"/>
      <c r="BF692" s="36"/>
      <c r="BG692" s="36"/>
      <c r="BH692" s="36"/>
      <c r="BI692" s="36"/>
      <c r="BJ692" s="36"/>
      <c r="BK692" s="36"/>
      <c r="BL692" s="36"/>
      <c r="BM692" s="36"/>
      <c r="BN692" s="36"/>
      <c r="BO692" s="36"/>
      <c r="BP692" s="36"/>
      <c r="BQ692" s="36"/>
    </row>
    <row r="693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51"/>
      <c r="S693" s="51"/>
      <c r="T693" s="51"/>
      <c r="U693" s="51"/>
      <c r="V693" s="51"/>
      <c r="W693" s="51"/>
      <c r="X693" s="51"/>
      <c r="Y693" s="45"/>
      <c r="Z693" s="45"/>
      <c r="AA693" s="45"/>
      <c r="AB693" s="45"/>
      <c r="AC693" s="45"/>
      <c r="AD693" s="45"/>
      <c r="AE693" s="45"/>
      <c r="AF693" s="45"/>
      <c r="AG693" s="45"/>
      <c r="AH693" s="45"/>
      <c r="AI693" s="45"/>
      <c r="AJ693" s="45"/>
      <c r="AK693" s="45"/>
      <c r="AL693" s="45"/>
      <c r="AM693" s="45"/>
      <c r="AN693" s="45"/>
      <c r="AO693" s="45"/>
      <c r="AP693" s="45"/>
      <c r="AQ693" s="36"/>
      <c r="AR693" s="36"/>
      <c r="AS693" s="36"/>
      <c r="AT693" s="36"/>
      <c r="AU693" s="36"/>
      <c r="AV693" s="36"/>
      <c r="AW693" s="36"/>
      <c r="AX693" s="36"/>
      <c r="AY693" s="36"/>
      <c r="AZ693" s="36"/>
      <c r="BA693" s="36"/>
      <c r="BB693" s="36"/>
      <c r="BC693" s="36"/>
      <c r="BD693" s="36"/>
      <c r="BE693" s="36"/>
      <c r="BF693" s="36"/>
      <c r="BG693" s="36"/>
      <c r="BH693" s="36"/>
      <c r="BI693" s="36"/>
      <c r="BJ693" s="36"/>
      <c r="BK693" s="36"/>
      <c r="BL693" s="36"/>
      <c r="BM693" s="36"/>
      <c r="BN693" s="36"/>
      <c r="BO693" s="36"/>
      <c r="BP693" s="36"/>
      <c r="BQ693" s="36"/>
    </row>
    <row r="694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51"/>
      <c r="S694" s="51"/>
      <c r="T694" s="51"/>
      <c r="U694" s="51"/>
      <c r="V694" s="51"/>
      <c r="W694" s="51"/>
      <c r="X694" s="51"/>
      <c r="Y694" s="45"/>
      <c r="Z694" s="45"/>
      <c r="AA694" s="45"/>
      <c r="AB694" s="45"/>
      <c r="AC694" s="45"/>
      <c r="AD694" s="45"/>
      <c r="AE694" s="45"/>
      <c r="AF694" s="45"/>
      <c r="AG694" s="45"/>
      <c r="AH694" s="45"/>
      <c r="AI694" s="45"/>
      <c r="AJ694" s="45"/>
      <c r="AK694" s="45"/>
      <c r="AL694" s="45"/>
      <c r="AM694" s="45"/>
      <c r="AN694" s="45"/>
      <c r="AO694" s="45"/>
      <c r="AP694" s="45"/>
      <c r="AQ694" s="36"/>
      <c r="AR694" s="36"/>
      <c r="AS694" s="36"/>
      <c r="AT694" s="36"/>
      <c r="AU694" s="36"/>
      <c r="AV694" s="36"/>
      <c r="AW694" s="36"/>
      <c r="AX694" s="36"/>
      <c r="AY694" s="36"/>
      <c r="AZ694" s="36"/>
      <c r="BA694" s="36"/>
      <c r="BB694" s="36"/>
      <c r="BC694" s="36"/>
      <c r="BD694" s="36"/>
      <c r="BE694" s="36"/>
      <c r="BF694" s="36"/>
      <c r="BG694" s="36"/>
      <c r="BH694" s="36"/>
      <c r="BI694" s="36"/>
      <c r="BJ694" s="36"/>
      <c r="BK694" s="36"/>
      <c r="BL694" s="36"/>
      <c r="BM694" s="36"/>
      <c r="BN694" s="36"/>
      <c r="BO694" s="36"/>
      <c r="BP694" s="36"/>
      <c r="BQ694" s="36"/>
    </row>
    <row r="69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51"/>
      <c r="S695" s="51"/>
      <c r="T695" s="51"/>
      <c r="U695" s="51"/>
      <c r="V695" s="51"/>
      <c r="W695" s="51"/>
      <c r="X695" s="51"/>
      <c r="Y695" s="45"/>
      <c r="Z695" s="45"/>
      <c r="AA695" s="45"/>
      <c r="AB695" s="45"/>
      <c r="AC695" s="45"/>
      <c r="AD695" s="45"/>
      <c r="AE695" s="45"/>
      <c r="AF695" s="45"/>
      <c r="AG695" s="45"/>
      <c r="AH695" s="45"/>
      <c r="AI695" s="45"/>
      <c r="AJ695" s="45"/>
      <c r="AK695" s="45"/>
      <c r="AL695" s="45"/>
      <c r="AM695" s="45"/>
      <c r="AN695" s="45"/>
      <c r="AO695" s="45"/>
      <c r="AP695" s="45"/>
      <c r="AQ695" s="36"/>
      <c r="AR695" s="36"/>
      <c r="AS695" s="36"/>
      <c r="AT695" s="36"/>
      <c r="AU695" s="36"/>
      <c r="AV695" s="36"/>
      <c r="AW695" s="36"/>
      <c r="AX695" s="36"/>
      <c r="AY695" s="36"/>
      <c r="AZ695" s="36"/>
      <c r="BA695" s="36"/>
      <c r="BB695" s="36"/>
      <c r="BC695" s="36"/>
      <c r="BD695" s="36"/>
      <c r="BE695" s="36"/>
      <c r="BF695" s="36"/>
      <c r="BG695" s="36"/>
      <c r="BH695" s="36"/>
      <c r="BI695" s="36"/>
      <c r="BJ695" s="36"/>
      <c r="BK695" s="36"/>
      <c r="BL695" s="36"/>
      <c r="BM695" s="36"/>
      <c r="BN695" s="36"/>
      <c r="BO695" s="36"/>
      <c r="BP695" s="36"/>
      <c r="BQ695" s="36"/>
    </row>
    <row r="696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51"/>
      <c r="S696" s="51"/>
      <c r="T696" s="51"/>
      <c r="U696" s="51"/>
      <c r="V696" s="51"/>
      <c r="W696" s="51"/>
      <c r="X696" s="51"/>
      <c r="Y696" s="45"/>
      <c r="Z696" s="45"/>
      <c r="AA696" s="45"/>
      <c r="AB696" s="45"/>
      <c r="AC696" s="45"/>
      <c r="AD696" s="45"/>
      <c r="AE696" s="45"/>
      <c r="AF696" s="45"/>
      <c r="AG696" s="45"/>
      <c r="AH696" s="45"/>
      <c r="AI696" s="45"/>
      <c r="AJ696" s="45"/>
      <c r="AK696" s="45"/>
      <c r="AL696" s="45"/>
      <c r="AM696" s="45"/>
      <c r="AN696" s="45"/>
      <c r="AO696" s="45"/>
      <c r="AP696" s="45"/>
      <c r="AQ696" s="36"/>
      <c r="AR696" s="36"/>
      <c r="AS696" s="36"/>
      <c r="AT696" s="36"/>
      <c r="AU696" s="36"/>
      <c r="AV696" s="36"/>
      <c r="AW696" s="36"/>
      <c r="AX696" s="36"/>
      <c r="AY696" s="36"/>
      <c r="AZ696" s="36"/>
      <c r="BA696" s="36"/>
      <c r="BB696" s="36"/>
      <c r="BC696" s="36"/>
      <c r="BD696" s="36"/>
      <c r="BE696" s="36"/>
      <c r="BF696" s="36"/>
      <c r="BG696" s="36"/>
      <c r="BH696" s="36"/>
      <c r="BI696" s="36"/>
      <c r="BJ696" s="36"/>
      <c r="BK696" s="36"/>
      <c r="BL696" s="36"/>
      <c r="BM696" s="36"/>
      <c r="BN696" s="36"/>
      <c r="BO696" s="36"/>
      <c r="BP696" s="36"/>
      <c r="BQ696" s="36"/>
    </row>
    <row r="697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51"/>
      <c r="S697" s="51"/>
      <c r="T697" s="51"/>
      <c r="U697" s="51"/>
      <c r="V697" s="51"/>
      <c r="W697" s="51"/>
      <c r="X697" s="51"/>
      <c r="Y697" s="45"/>
      <c r="Z697" s="45"/>
      <c r="AA697" s="45"/>
      <c r="AB697" s="45"/>
      <c r="AC697" s="45"/>
      <c r="AD697" s="45"/>
      <c r="AE697" s="45"/>
      <c r="AF697" s="45"/>
      <c r="AG697" s="45"/>
      <c r="AH697" s="45"/>
      <c r="AI697" s="45"/>
      <c r="AJ697" s="45"/>
      <c r="AK697" s="45"/>
      <c r="AL697" s="45"/>
      <c r="AM697" s="45"/>
      <c r="AN697" s="45"/>
      <c r="AO697" s="45"/>
      <c r="AP697" s="45"/>
      <c r="AQ697" s="36"/>
      <c r="AR697" s="36"/>
      <c r="AS697" s="36"/>
      <c r="AT697" s="36"/>
      <c r="AU697" s="36"/>
      <c r="AV697" s="36"/>
      <c r="AW697" s="36"/>
      <c r="AX697" s="36"/>
      <c r="AY697" s="36"/>
      <c r="AZ697" s="36"/>
      <c r="BA697" s="36"/>
      <c r="BB697" s="36"/>
      <c r="BC697" s="36"/>
      <c r="BD697" s="36"/>
      <c r="BE697" s="36"/>
      <c r="BF697" s="36"/>
      <c r="BG697" s="36"/>
      <c r="BH697" s="36"/>
      <c r="BI697" s="36"/>
      <c r="BJ697" s="36"/>
      <c r="BK697" s="36"/>
      <c r="BL697" s="36"/>
      <c r="BM697" s="36"/>
      <c r="BN697" s="36"/>
      <c r="BO697" s="36"/>
      <c r="BP697" s="36"/>
      <c r="BQ697" s="36"/>
    </row>
    <row r="698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51"/>
      <c r="S698" s="51"/>
      <c r="T698" s="51"/>
      <c r="U698" s="51"/>
      <c r="V698" s="51"/>
      <c r="W698" s="51"/>
      <c r="X698" s="51"/>
      <c r="Y698" s="45"/>
      <c r="Z698" s="45"/>
      <c r="AA698" s="45"/>
      <c r="AB698" s="45"/>
      <c r="AC698" s="45"/>
      <c r="AD698" s="45"/>
      <c r="AE698" s="45"/>
      <c r="AF698" s="45"/>
      <c r="AG698" s="45"/>
      <c r="AH698" s="45"/>
      <c r="AI698" s="45"/>
      <c r="AJ698" s="45"/>
      <c r="AK698" s="45"/>
      <c r="AL698" s="45"/>
      <c r="AM698" s="45"/>
      <c r="AN698" s="45"/>
      <c r="AO698" s="45"/>
      <c r="AP698" s="45"/>
      <c r="AQ698" s="36"/>
      <c r="AR698" s="36"/>
      <c r="AS698" s="36"/>
      <c r="AT698" s="36"/>
      <c r="AU698" s="36"/>
      <c r="AV698" s="36"/>
      <c r="AW698" s="36"/>
      <c r="AX698" s="36"/>
      <c r="AY698" s="36"/>
      <c r="AZ698" s="36"/>
      <c r="BA698" s="36"/>
      <c r="BB698" s="36"/>
      <c r="BC698" s="36"/>
      <c r="BD698" s="36"/>
      <c r="BE698" s="36"/>
      <c r="BF698" s="36"/>
      <c r="BG698" s="36"/>
      <c r="BH698" s="36"/>
      <c r="BI698" s="36"/>
      <c r="BJ698" s="36"/>
      <c r="BK698" s="36"/>
      <c r="BL698" s="36"/>
      <c r="BM698" s="36"/>
      <c r="BN698" s="36"/>
      <c r="BO698" s="36"/>
      <c r="BP698" s="36"/>
      <c r="BQ698" s="36"/>
    </row>
    <row r="699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51"/>
      <c r="S699" s="51"/>
      <c r="T699" s="51"/>
      <c r="U699" s="51"/>
      <c r="V699" s="51"/>
      <c r="W699" s="51"/>
      <c r="X699" s="51"/>
      <c r="Y699" s="45"/>
      <c r="Z699" s="45"/>
      <c r="AA699" s="45"/>
      <c r="AB699" s="45"/>
      <c r="AC699" s="45"/>
      <c r="AD699" s="45"/>
      <c r="AE699" s="45"/>
      <c r="AF699" s="45"/>
      <c r="AG699" s="45"/>
      <c r="AH699" s="45"/>
      <c r="AI699" s="45"/>
      <c r="AJ699" s="45"/>
      <c r="AK699" s="45"/>
      <c r="AL699" s="45"/>
      <c r="AM699" s="45"/>
      <c r="AN699" s="45"/>
      <c r="AO699" s="45"/>
      <c r="AP699" s="45"/>
      <c r="AQ699" s="36"/>
      <c r="AR699" s="36"/>
      <c r="AS699" s="36"/>
      <c r="AT699" s="36"/>
      <c r="AU699" s="36"/>
      <c r="AV699" s="36"/>
      <c r="AW699" s="36"/>
      <c r="AX699" s="36"/>
      <c r="AY699" s="36"/>
      <c r="AZ699" s="36"/>
      <c r="BA699" s="36"/>
      <c r="BB699" s="36"/>
      <c r="BC699" s="36"/>
      <c r="BD699" s="36"/>
      <c r="BE699" s="36"/>
      <c r="BF699" s="36"/>
      <c r="BG699" s="36"/>
      <c r="BH699" s="36"/>
      <c r="BI699" s="36"/>
      <c r="BJ699" s="36"/>
      <c r="BK699" s="36"/>
      <c r="BL699" s="36"/>
      <c r="BM699" s="36"/>
      <c r="BN699" s="36"/>
      <c r="BO699" s="36"/>
      <c r="BP699" s="36"/>
      <c r="BQ699" s="36"/>
    </row>
    <row r="700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51"/>
      <c r="S700" s="51"/>
      <c r="T700" s="51"/>
      <c r="U700" s="51"/>
      <c r="V700" s="51"/>
      <c r="W700" s="51"/>
      <c r="X700" s="51"/>
      <c r="Y700" s="45"/>
      <c r="Z700" s="45"/>
      <c r="AA700" s="45"/>
      <c r="AB700" s="45"/>
      <c r="AC700" s="45"/>
      <c r="AD700" s="45"/>
      <c r="AE700" s="45"/>
      <c r="AF700" s="45"/>
      <c r="AG700" s="45"/>
      <c r="AH700" s="45"/>
      <c r="AI700" s="45"/>
      <c r="AJ700" s="45"/>
      <c r="AK700" s="45"/>
      <c r="AL700" s="45"/>
      <c r="AM700" s="45"/>
      <c r="AN700" s="45"/>
      <c r="AO700" s="45"/>
      <c r="AP700" s="45"/>
      <c r="AQ700" s="36"/>
      <c r="AR700" s="36"/>
      <c r="AS700" s="36"/>
      <c r="AT700" s="36"/>
      <c r="AU700" s="36"/>
      <c r="AV700" s="36"/>
      <c r="AW700" s="36"/>
      <c r="AX700" s="36"/>
      <c r="AY700" s="36"/>
      <c r="AZ700" s="36"/>
      <c r="BA700" s="36"/>
      <c r="BB700" s="36"/>
      <c r="BC700" s="36"/>
      <c r="BD700" s="36"/>
      <c r="BE700" s="36"/>
      <c r="BF700" s="36"/>
      <c r="BG700" s="36"/>
      <c r="BH700" s="36"/>
      <c r="BI700" s="36"/>
      <c r="BJ700" s="36"/>
      <c r="BK700" s="36"/>
      <c r="BL700" s="36"/>
      <c r="BM700" s="36"/>
      <c r="BN700" s="36"/>
      <c r="BO700" s="36"/>
      <c r="BP700" s="36"/>
      <c r="BQ700" s="36"/>
    </row>
    <row r="70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51"/>
      <c r="S701" s="51"/>
      <c r="T701" s="51"/>
      <c r="U701" s="51"/>
      <c r="V701" s="51"/>
      <c r="W701" s="51"/>
      <c r="X701" s="51"/>
      <c r="Y701" s="45"/>
      <c r="Z701" s="45"/>
      <c r="AA701" s="45"/>
      <c r="AB701" s="45"/>
      <c r="AC701" s="45"/>
      <c r="AD701" s="45"/>
      <c r="AE701" s="45"/>
      <c r="AF701" s="45"/>
      <c r="AG701" s="45"/>
      <c r="AH701" s="45"/>
      <c r="AI701" s="45"/>
      <c r="AJ701" s="45"/>
      <c r="AK701" s="45"/>
      <c r="AL701" s="45"/>
      <c r="AM701" s="45"/>
      <c r="AN701" s="45"/>
      <c r="AO701" s="45"/>
      <c r="AP701" s="45"/>
      <c r="AQ701" s="36"/>
      <c r="AR701" s="36"/>
      <c r="AS701" s="36"/>
      <c r="AT701" s="36"/>
      <c r="AU701" s="36"/>
      <c r="AV701" s="36"/>
      <c r="AW701" s="36"/>
      <c r="AX701" s="36"/>
      <c r="AY701" s="36"/>
      <c r="AZ701" s="36"/>
      <c r="BA701" s="36"/>
      <c r="BB701" s="36"/>
      <c r="BC701" s="36"/>
      <c r="BD701" s="36"/>
      <c r="BE701" s="36"/>
      <c r="BF701" s="36"/>
      <c r="BG701" s="36"/>
      <c r="BH701" s="36"/>
      <c r="BI701" s="36"/>
      <c r="BJ701" s="36"/>
      <c r="BK701" s="36"/>
      <c r="BL701" s="36"/>
      <c r="BM701" s="36"/>
      <c r="BN701" s="36"/>
      <c r="BO701" s="36"/>
      <c r="BP701" s="36"/>
      <c r="BQ701" s="36"/>
    </row>
    <row r="70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51"/>
      <c r="S702" s="51"/>
      <c r="T702" s="51"/>
      <c r="U702" s="51"/>
      <c r="V702" s="51"/>
      <c r="W702" s="51"/>
      <c r="X702" s="51"/>
      <c r="Y702" s="45"/>
      <c r="Z702" s="45"/>
      <c r="AA702" s="45"/>
      <c r="AB702" s="45"/>
      <c r="AC702" s="45"/>
      <c r="AD702" s="45"/>
      <c r="AE702" s="45"/>
      <c r="AF702" s="45"/>
      <c r="AG702" s="45"/>
      <c r="AH702" s="45"/>
      <c r="AI702" s="45"/>
      <c r="AJ702" s="45"/>
      <c r="AK702" s="45"/>
      <c r="AL702" s="45"/>
      <c r="AM702" s="45"/>
      <c r="AN702" s="45"/>
      <c r="AO702" s="45"/>
      <c r="AP702" s="45"/>
      <c r="AQ702" s="36"/>
      <c r="AR702" s="36"/>
      <c r="AS702" s="36"/>
      <c r="AT702" s="36"/>
      <c r="AU702" s="36"/>
      <c r="AV702" s="36"/>
      <c r="AW702" s="36"/>
      <c r="AX702" s="36"/>
      <c r="AY702" s="36"/>
      <c r="AZ702" s="36"/>
      <c r="BA702" s="36"/>
      <c r="BB702" s="36"/>
      <c r="BC702" s="36"/>
      <c r="BD702" s="36"/>
      <c r="BE702" s="36"/>
      <c r="BF702" s="36"/>
      <c r="BG702" s="36"/>
      <c r="BH702" s="36"/>
      <c r="BI702" s="36"/>
      <c r="BJ702" s="36"/>
      <c r="BK702" s="36"/>
      <c r="BL702" s="36"/>
      <c r="BM702" s="36"/>
      <c r="BN702" s="36"/>
      <c r="BO702" s="36"/>
      <c r="BP702" s="36"/>
      <c r="BQ702" s="36"/>
    </row>
    <row r="703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51"/>
      <c r="S703" s="51"/>
      <c r="T703" s="51"/>
      <c r="U703" s="51"/>
      <c r="V703" s="51"/>
      <c r="W703" s="51"/>
      <c r="X703" s="51"/>
      <c r="Y703" s="45"/>
      <c r="Z703" s="45"/>
      <c r="AA703" s="45"/>
      <c r="AB703" s="45"/>
      <c r="AC703" s="45"/>
      <c r="AD703" s="45"/>
      <c r="AE703" s="45"/>
      <c r="AF703" s="45"/>
      <c r="AG703" s="45"/>
      <c r="AH703" s="45"/>
      <c r="AI703" s="45"/>
      <c r="AJ703" s="45"/>
      <c r="AK703" s="45"/>
      <c r="AL703" s="45"/>
      <c r="AM703" s="45"/>
      <c r="AN703" s="45"/>
      <c r="AO703" s="45"/>
      <c r="AP703" s="45"/>
      <c r="AQ703" s="36"/>
      <c r="AR703" s="36"/>
      <c r="AS703" s="36"/>
      <c r="AT703" s="36"/>
      <c r="AU703" s="36"/>
      <c r="AV703" s="36"/>
      <c r="AW703" s="36"/>
      <c r="AX703" s="36"/>
      <c r="AY703" s="36"/>
      <c r="AZ703" s="36"/>
      <c r="BA703" s="36"/>
      <c r="BB703" s="36"/>
      <c r="BC703" s="36"/>
      <c r="BD703" s="36"/>
      <c r="BE703" s="36"/>
      <c r="BF703" s="36"/>
      <c r="BG703" s="36"/>
      <c r="BH703" s="36"/>
      <c r="BI703" s="36"/>
      <c r="BJ703" s="36"/>
      <c r="BK703" s="36"/>
      <c r="BL703" s="36"/>
      <c r="BM703" s="36"/>
      <c r="BN703" s="36"/>
      <c r="BO703" s="36"/>
      <c r="BP703" s="36"/>
      <c r="BQ703" s="36"/>
    </row>
    <row r="704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51"/>
      <c r="S704" s="51"/>
      <c r="T704" s="51"/>
      <c r="U704" s="51"/>
      <c r="V704" s="51"/>
      <c r="W704" s="51"/>
      <c r="X704" s="51"/>
      <c r="Y704" s="45"/>
      <c r="Z704" s="45"/>
      <c r="AA704" s="45"/>
      <c r="AB704" s="45"/>
      <c r="AC704" s="45"/>
      <c r="AD704" s="45"/>
      <c r="AE704" s="45"/>
      <c r="AF704" s="45"/>
      <c r="AG704" s="45"/>
      <c r="AH704" s="45"/>
      <c r="AI704" s="45"/>
      <c r="AJ704" s="45"/>
      <c r="AK704" s="45"/>
      <c r="AL704" s="45"/>
      <c r="AM704" s="45"/>
      <c r="AN704" s="45"/>
      <c r="AO704" s="45"/>
      <c r="AP704" s="45"/>
      <c r="AQ704" s="36"/>
      <c r="AR704" s="36"/>
      <c r="AS704" s="36"/>
      <c r="AT704" s="36"/>
      <c r="AU704" s="36"/>
      <c r="AV704" s="36"/>
      <c r="AW704" s="36"/>
      <c r="AX704" s="36"/>
      <c r="AY704" s="36"/>
      <c r="AZ704" s="36"/>
      <c r="BA704" s="36"/>
      <c r="BB704" s="36"/>
      <c r="BC704" s="36"/>
      <c r="BD704" s="36"/>
      <c r="BE704" s="36"/>
      <c r="BF704" s="36"/>
      <c r="BG704" s="36"/>
      <c r="BH704" s="36"/>
      <c r="BI704" s="36"/>
      <c r="BJ704" s="36"/>
      <c r="BK704" s="36"/>
      <c r="BL704" s="36"/>
      <c r="BM704" s="36"/>
      <c r="BN704" s="36"/>
      <c r="BO704" s="36"/>
      <c r="BP704" s="36"/>
      <c r="BQ704" s="36"/>
    </row>
    <row r="70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51"/>
      <c r="S705" s="51"/>
      <c r="T705" s="51"/>
      <c r="U705" s="51"/>
      <c r="V705" s="51"/>
      <c r="W705" s="51"/>
      <c r="X705" s="51"/>
      <c r="Y705" s="45"/>
      <c r="Z705" s="45"/>
      <c r="AA705" s="45"/>
      <c r="AB705" s="45"/>
      <c r="AC705" s="45"/>
      <c r="AD705" s="45"/>
      <c r="AE705" s="45"/>
      <c r="AF705" s="45"/>
      <c r="AG705" s="45"/>
      <c r="AH705" s="45"/>
      <c r="AI705" s="45"/>
      <c r="AJ705" s="45"/>
      <c r="AK705" s="45"/>
      <c r="AL705" s="45"/>
      <c r="AM705" s="45"/>
      <c r="AN705" s="45"/>
      <c r="AO705" s="45"/>
      <c r="AP705" s="45"/>
      <c r="AQ705" s="36"/>
      <c r="AR705" s="36"/>
      <c r="AS705" s="36"/>
      <c r="AT705" s="36"/>
      <c r="AU705" s="36"/>
      <c r="AV705" s="36"/>
      <c r="AW705" s="36"/>
      <c r="AX705" s="36"/>
      <c r="AY705" s="36"/>
      <c r="AZ705" s="36"/>
      <c r="BA705" s="36"/>
      <c r="BB705" s="36"/>
      <c r="BC705" s="36"/>
      <c r="BD705" s="36"/>
      <c r="BE705" s="36"/>
      <c r="BF705" s="36"/>
      <c r="BG705" s="36"/>
      <c r="BH705" s="36"/>
      <c r="BI705" s="36"/>
      <c r="BJ705" s="36"/>
      <c r="BK705" s="36"/>
      <c r="BL705" s="36"/>
      <c r="BM705" s="36"/>
      <c r="BN705" s="36"/>
      <c r="BO705" s="36"/>
      <c r="BP705" s="36"/>
      <c r="BQ705" s="36"/>
    </row>
    <row r="706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51"/>
      <c r="S706" s="51"/>
      <c r="T706" s="51"/>
      <c r="U706" s="51"/>
      <c r="V706" s="51"/>
      <c r="W706" s="51"/>
      <c r="X706" s="51"/>
      <c r="Y706" s="45"/>
      <c r="Z706" s="45"/>
      <c r="AA706" s="45"/>
      <c r="AB706" s="45"/>
      <c r="AC706" s="45"/>
      <c r="AD706" s="45"/>
      <c r="AE706" s="45"/>
      <c r="AF706" s="45"/>
      <c r="AG706" s="45"/>
      <c r="AH706" s="45"/>
      <c r="AI706" s="45"/>
      <c r="AJ706" s="45"/>
      <c r="AK706" s="45"/>
      <c r="AL706" s="45"/>
      <c r="AM706" s="45"/>
      <c r="AN706" s="45"/>
      <c r="AO706" s="45"/>
      <c r="AP706" s="45"/>
      <c r="AQ706" s="36"/>
      <c r="AR706" s="36"/>
      <c r="AS706" s="36"/>
      <c r="AT706" s="36"/>
      <c r="AU706" s="36"/>
      <c r="AV706" s="36"/>
      <c r="AW706" s="36"/>
      <c r="AX706" s="36"/>
      <c r="AY706" s="36"/>
      <c r="AZ706" s="36"/>
      <c r="BA706" s="36"/>
      <c r="BB706" s="36"/>
      <c r="BC706" s="36"/>
      <c r="BD706" s="36"/>
      <c r="BE706" s="36"/>
      <c r="BF706" s="36"/>
      <c r="BG706" s="36"/>
      <c r="BH706" s="36"/>
      <c r="BI706" s="36"/>
      <c r="BJ706" s="36"/>
      <c r="BK706" s="36"/>
      <c r="BL706" s="36"/>
      <c r="BM706" s="36"/>
      <c r="BN706" s="36"/>
      <c r="BO706" s="36"/>
      <c r="BP706" s="36"/>
      <c r="BQ706" s="36"/>
    </row>
    <row r="707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51"/>
      <c r="S707" s="51"/>
      <c r="T707" s="51"/>
      <c r="U707" s="51"/>
      <c r="V707" s="51"/>
      <c r="W707" s="51"/>
      <c r="X707" s="51"/>
      <c r="Y707" s="45"/>
      <c r="Z707" s="45"/>
      <c r="AA707" s="45"/>
      <c r="AB707" s="45"/>
      <c r="AC707" s="45"/>
      <c r="AD707" s="45"/>
      <c r="AE707" s="45"/>
      <c r="AF707" s="45"/>
      <c r="AG707" s="45"/>
      <c r="AH707" s="45"/>
      <c r="AI707" s="45"/>
      <c r="AJ707" s="45"/>
      <c r="AK707" s="45"/>
      <c r="AL707" s="45"/>
      <c r="AM707" s="45"/>
      <c r="AN707" s="45"/>
      <c r="AO707" s="45"/>
      <c r="AP707" s="45"/>
      <c r="AQ707" s="36"/>
      <c r="AR707" s="36"/>
      <c r="AS707" s="36"/>
      <c r="AT707" s="36"/>
      <c r="AU707" s="36"/>
      <c r="AV707" s="36"/>
      <c r="AW707" s="36"/>
      <c r="AX707" s="36"/>
      <c r="AY707" s="36"/>
      <c r="AZ707" s="36"/>
      <c r="BA707" s="36"/>
      <c r="BB707" s="36"/>
      <c r="BC707" s="36"/>
      <c r="BD707" s="36"/>
      <c r="BE707" s="36"/>
      <c r="BF707" s="36"/>
      <c r="BG707" s="36"/>
      <c r="BH707" s="36"/>
      <c r="BI707" s="36"/>
      <c r="BJ707" s="36"/>
      <c r="BK707" s="36"/>
      <c r="BL707" s="36"/>
      <c r="BM707" s="36"/>
      <c r="BN707" s="36"/>
      <c r="BO707" s="36"/>
      <c r="BP707" s="36"/>
      <c r="BQ707" s="36"/>
    </row>
    <row r="708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51"/>
      <c r="S708" s="51"/>
      <c r="T708" s="51"/>
      <c r="U708" s="51"/>
      <c r="V708" s="51"/>
      <c r="W708" s="51"/>
      <c r="X708" s="51"/>
      <c r="Y708" s="45"/>
      <c r="Z708" s="45"/>
      <c r="AA708" s="45"/>
      <c r="AB708" s="45"/>
      <c r="AC708" s="45"/>
      <c r="AD708" s="45"/>
      <c r="AE708" s="45"/>
      <c r="AF708" s="45"/>
      <c r="AG708" s="45"/>
      <c r="AH708" s="45"/>
      <c r="AI708" s="45"/>
      <c r="AJ708" s="45"/>
      <c r="AK708" s="45"/>
      <c r="AL708" s="45"/>
      <c r="AM708" s="45"/>
      <c r="AN708" s="45"/>
      <c r="AO708" s="45"/>
      <c r="AP708" s="45"/>
      <c r="AQ708" s="36"/>
      <c r="AR708" s="36"/>
      <c r="AS708" s="36"/>
      <c r="AT708" s="36"/>
      <c r="AU708" s="36"/>
      <c r="AV708" s="36"/>
      <c r="AW708" s="36"/>
      <c r="AX708" s="36"/>
      <c r="AY708" s="36"/>
      <c r="AZ708" s="36"/>
      <c r="BA708" s="36"/>
      <c r="BB708" s="36"/>
      <c r="BC708" s="36"/>
      <c r="BD708" s="36"/>
      <c r="BE708" s="36"/>
      <c r="BF708" s="36"/>
      <c r="BG708" s="36"/>
      <c r="BH708" s="36"/>
      <c r="BI708" s="36"/>
      <c r="BJ708" s="36"/>
      <c r="BK708" s="36"/>
      <c r="BL708" s="36"/>
      <c r="BM708" s="36"/>
      <c r="BN708" s="36"/>
      <c r="BO708" s="36"/>
      <c r="BP708" s="36"/>
      <c r="BQ708" s="36"/>
    </row>
    <row r="709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51"/>
      <c r="S709" s="51"/>
      <c r="T709" s="51"/>
      <c r="U709" s="51"/>
      <c r="V709" s="51"/>
      <c r="W709" s="51"/>
      <c r="X709" s="51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5"/>
      <c r="AM709" s="45"/>
      <c r="AN709" s="45"/>
      <c r="AO709" s="45"/>
      <c r="AP709" s="45"/>
      <c r="AQ709" s="36"/>
      <c r="AR709" s="36"/>
      <c r="AS709" s="36"/>
      <c r="AT709" s="36"/>
      <c r="AU709" s="36"/>
      <c r="AV709" s="36"/>
      <c r="AW709" s="36"/>
      <c r="AX709" s="36"/>
      <c r="AY709" s="36"/>
      <c r="AZ709" s="36"/>
      <c r="BA709" s="36"/>
      <c r="BB709" s="36"/>
      <c r="BC709" s="36"/>
      <c r="BD709" s="36"/>
      <c r="BE709" s="36"/>
      <c r="BF709" s="36"/>
      <c r="BG709" s="36"/>
      <c r="BH709" s="36"/>
      <c r="BI709" s="36"/>
      <c r="BJ709" s="36"/>
      <c r="BK709" s="36"/>
      <c r="BL709" s="36"/>
      <c r="BM709" s="36"/>
      <c r="BN709" s="36"/>
      <c r="BO709" s="36"/>
      <c r="BP709" s="36"/>
      <c r="BQ709" s="36"/>
    </row>
    <row r="710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51"/>
      <c r="S710" s="51"/>
      <c r="T710" s="51"/>
      <c r="U710" s="51"/>
      <c r="V710" s="51"/>
      <c r="W710" s="51"/>
      <c r="X710" s="51"/>
      <c r="Y710" s="45"/>
      <c r="Z710" s="45"/>
      <c r="AA710" s="45"/>
      <c r="AB710" s="45"/>
      <c r="AC710" s="45"/>
      <c r="AD710" s="45"/>
      <c r="AE710" s="45"/>
      <c r="AF710" s="45"/>
      <c r="AG710" s="45"/>
      <c r="AH710" s="45"/>
      <c r="AI710" s="45"/>
      <c r="AJ710" s="45"/>
      <c r="AK710" s="45"/>
      <c r="AL710" s="45"/>
      <c r="AM710" s="45"/>
      <c r="AN710" s="45"/>
      <c r="AO710" s="45"/>
      <c r="AP710" s="45"/>
      <c r="AQ710" s="36"/>
      <c r="AR710" s="36"/>
      <c r="AS710" s="36"/>
      <c r="AT710" s="36"/>
      <c r="AU710" s="36"/>
      <c r="AV710" s="36"/>
      <c r="AW710" s="36"/>
      <c r="AX710" s="36"/>
      <c r="AY710" s="36"/>
      <c r="AZ710" s="36"/>
      <c r="BA710" s="36"/>
      <c r="BB710" s="36"/>
      <c r="BC710" s="36"/>
      <c r="BD710" s="36"/>
      <c r="BE710" s="36"/>
      <c r="BF710" s="36"/>
      <c r="BG710" s="36"/>
      <c r="BH710" s="36"/>
      <c r="BI710" s="36"/>
      <c r="BJ710" s="36"/>
      <c r="BK710" s="36"/>
      <c r="BL710" s="36"/>
      <c r="BM710" s="36"/>
      <c r="BN710" s="36"/>
      <c r="BO710" s="36"/>
      <c r="BP710" s="36"/>
      <c r="BQ710" s="36"/>
    </row>
    <row r="71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51"/>
      <c r="S711" s="51"/>
      <c r="T711" s="51"/>
      <c r="U711" s="51"/>
      <c r="V711" s="51"/>
      <c r="W711" s="51"/>
      <c r="X711" s="51"/>
      <c r="Y711" s="45"/>
      <c r="Z711" s="45"/>
      <c r="AA711" s="45"/>
      <c r="AB711" s="45"/>
      <c r="AC711" s="45"/>
      <c r="AD711" s="45"/>
      <c r="AE711" s="45"/>
      <c r="AF711" s="45"/>
      <c r="AG711" s="45"/>
      <c r="AH711" s="45"/>
      <c r="AI711" s="45"/>
      <c r="AJ711" s="45"/>
      <c r="AK711" s="45"/>
      <c r="AL711" s="45"/>
      <c r="AM711" s="45"/>
      <c r="AN711" s="45"/>
      <c r="AO711" s="45"/>
      <c r="AP711" s="45"/>
      <c r="AQ711" s="36"/>
      <c r="AR711" s="36"/>
      <c r="AS711" s="36"/>
      <c r="AT711" s="36"/>
      <c r="AU711" s="36"/>
      <c r="AV711" s="36"/>
      <c r="AW711" s="36"/>
      <c r="AX711" s="36"/>
      <c r="AY711" s="36"/>
      <c r="AZ711" s="36"/>
      <c r="BA711" s="36"/>
      <c r="BB711" s="36"/>
      <c r="BC711" s="36"/>
      <c r="BD711" s="36"/>
      <c r="BE711" s="36"/>
      <c r="BF711" s="36"/>
      <c r="BG711" s="36"/>
      <c r="BH711" s="36"/>
      <c r="BI711" s="36"/>
      <c r="BJ711" s="36"/>
      <c r="BK711" s="36"/>
      <c r="BL711" s="36"/>
      <c r="BM711" s="36"/>
      <c r="BN711" s="36"/>
      <c r="BO711" s="36"/>
      <c r="BP711" s="36"/>
      <c r="BQ711" s="36"/>
    </row>
    <row r="71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51"/>
      <c r="S712" s="51"/>
      <c r="T712" s="51"/>
      <c r="U712" s="51"/>
      <c r="V712" s="51"/>
      <c r="W712" s="51"/>
      <c r="X712" s="51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5"/>
      <c r="AM712" s="45"/>
      <c r="AN712" s="45"/>
      <c r="AO712" s="45"/>
      <c r="AP712" s="45"/>
      <c r="AQ712" s="36"/>
      <c r="AR712" s="36"/>
      <c r="AS712" s="36"/>
      <c r="AT712" s="36"/>
      <c r="AU712" s="36"/>
      <c r="AV712" s="36"/>
      <c r="AW712" s="36"/>
      <c r="AX712" s="36"/>
      <c r="AY712" s="36"/>
      <c r="AZ712" s="36"/>
      <c r="BA712" s="36"/>
      <c r="BB712" s="36"/>
      <c r="BC712" s="36"/>
      <c r="BD712" s="36"/>
      <c r="BE712" s="36"/>
      <c r="BF712" s="36"/>
      <c r="BG712" s="36"/>
      <c r="BH712" s="36"/>
      <c r="BI712" s="36"/>
      <c r="BJ712" s="36"/>
      <c r="BK712" s="36"/>
      <c r="BL712" s="36"/>
      <c r="BM712" s="36"/>
      <c r="BN712" s="36"/>
      <c r="BO712" s="36"/>
      <c r="BP712" s="36"/>
      <c r="BQ712" s="36"/>
    </row>
    <row r="713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51"/>
      <c r="S713" s="51"/>
      <c r="T713" s="51"/>
      <c r="U713" s="51"/>
      <c r="V713" s="51"/>
      <c r="W713" s="51"/>
      <c r="X713" s="51"/>
      <c r="Y713" s="45"/>
      <c r="Z713" s="45"/>
      <c r="AA713" s="45"/>
      <c r="AB713" s="45"/>
      <c r="AC713" s="45"/>
      <c r="AD713" s="45"/>
      <c r="AE713" s="45"/>
      <c r="AF713" s="45"/>
      <c r="AG713" s="45"/>
      <c r="AH713" s="45"/>
      <c r="AI713" s="45"/>
      <c r="AJ713" s="45"/>
      <c r="AK713" s="45"/>
      <c r="AL713" s="45"/>
      <c r="AM713" s="45"/>
      <c r="AN713" s="45"/>
      <c r="AO713" s="45"/>
      <c r="AP713" s="45"/>
      <c r="AQ713" s="36"/>
      <c r="AR713" s="36"/>
      <c r="AS713" s="36"/>
      <c r="AT713" s="36"/>
      <c r="AU713" s="36"/>
      <c r="AV713" s="36"/>
      <c r="AW713" s="36"/>
      <c r="AX713" s="36"/>
      <c r="AY713" s="36"/>
      <c r="AZ713" s="36"/>
      <c r="BA713" s="36"/>
      <c r="BB713" s="36"/>
      <c r="BC713" s="36"/>
      <c r="BD713" s="36"/>
      <c r="BE713" s="36"/>
      <c r="BF713" s="36"/>
      <c r="BG713" s="36"/>
      <c r="BH713" s="36"/>
      <c r="BI713" s="36"/>
      <c r="BJ713" s="36"/>
      <c r="BK713" s="36"/>
      <c r="BL713" s="36"/>
      <c r="BM713" s="36"/>
      <c r="BN713" s="36"/>
      <c r="BO713" s="36"/>
      <c r="BP713" s="36"/>
      <c r="BQ713" s="36"/>
    </row>
    <row r="714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51"/>
      <c r="S714" s="51"/>
      <c r="T714" s="51"/>
      <c r="U714" s="51"/>
      <c r="V714" s="51"/>
      <c r="W714" s="51"/>
      <c r="X714" s="51"/>
      <c r="Y714" s="45"/>
      <c r="Z714" s="45"/>
      <c r="AA714" s="45"/>
      <c r="AB714" s="45"/>
      <c r="AC714" s="45"/>
      <c r="AD714" s="45"/>
      <c r="AE714" s="45"/>
      <c r="AF714" s="45"/>
      <c r="AG714" s="45"/>
      <c r="AH714" s="45"/>
      <c r="AI714" s="45"/>
      <c r="AJ714" s="45"/>
      <c r="AK714" s="45"/>
      <c r="AL714" s="45"/>
      <c r="AM714" s="45"/>
      <c r="AN714" s="45"/>
      <c r="AO714" s="45"/>
      <c r="AP714" s="45"/>
      <c r="AQ714" s="36"/>
      <c r="AR714" s="36"/>
      <c r="AS714" s="36"/>
      <c r="AT714" s="36"/>
      <c r="AU714" s="36"/>
      <c r="AV714" s="36"/>
      <c r="AW714" s="36"/>
      <c r="AX714" s="36"/>
      <c r="AY714" s="36"/>
      <c r="AZ714" s="36"/>
      <c r="BA714" s="36"/>
      <c r="BB714" s="36"/>
      <c r="BC714" s="36"/>
      <c r="BD714" s="36"/>
      <c r="BE714" s="36"/>
      <c r="BF714" s="36"/>
      <c r="BG714" s="36"/>
      <c r="BH714" s="36"/>
      <c r="BI714" s="36"/>
      <c r="BJ714" s="36"/>
      <c r="BK714" s="36"/>
      <c r="BL714" s="36"/>
      <c r="BM714" s="36"/>
      <c r="BN714" s="36"/>
      <c r="BO714" s="36"/>
      <c r="BP714" s="36"/>
      <c r="BQ714" s="36"/>
    </row>
    <row r="71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51"/>
      <c r="S715" s="51"/>
      <c r="T715" s="51"/>
      <c r="U715" s="51"/>
      <c r="V715" s="51"/>
      <c r="W715" s="51"/>
      <c r="X715" s="51"/>
      <c r="Y715" s="45"/>
      <c r="Z715" s="45"/>
      <c r="AA715" s="45"/>
      <c r="AB715" s="45"/>
      <c r="AC715" s="45"/>
      <c r="AD715" s="45"/>
      <c r="AE715" s="45"/>
      <c r="AF715" s="45"/>
      <c r="AG715" s="45"/>
      <c r="AH715" s="45"/>
      <c r="AI715" s="45"/>
      <c r="AJ715" s="45"/>
      <c r="AK715" s="45"/>
      <c r="AL715" s="45"/>
      <c r="AM715" s="45"/>
      <c r="AN715" s="45"/>
      <c r="AO715" s="45"/>
      <c r="AP715" s="45"/>
      <c r="AQ715" s="36"/>
      <c r="AR715" s="36"/>
      <c r="AS715" s="36"/>
      <c r="AT715" s="36"/>
      <c r="AU715" s="36"/>
      <c r="AV715" s="36"/>
      <c r="AW715" s="36"/>
      <c r="AX715" s="36"/>
      <c r="AY715" s="36"/>
      <c r="AZ715" s="36"/>
      <c r="BA715" s="36"/>
      <c r="BB715" s="36"/>
      <c r="BC715" s="36"/>
      <c r="BD715" s="36"/>
      <c r="BE715" s="36"/>
      <c r="BF715" s="36"/>
      <c r="BG715" s="36"/>
      <c r="BH715" s="36"/>
      <c r="BI715" s="36"/>
      <c r="BJ715" s="36"/>
      <c r="BK715" s="36"/>
      <c r="BL715" s="36"/>
      <c r="BM715" s="36"/>
      <c r="BN715" s="36"/>
      <c r="BO715" s="36"/>
      <c r="BP715" s="36"/>
      <c r="BQ715" s="36"/>
    </row>
    <row r="716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51"/>
      <c r="S716" s="51"/>
      <c r="T716" s="51"/>
      <c r="U716" s="51"/>
      <c r="V716" s="51"/>
      <c r="W716" s="51"/>
      <c r="X716" s="51"/>
      <c r="Y716" s="45"/>
      <c r="Z716" s="45"/>
      <c r="AA716" s="45"/>
      <c r="AB716" s="45"/>
      <c r="AC716" s="45"/>
      <c r="AD716" s="45"/>
      <c r="AE716" s="45"/>
      <c r="AF716" s="45"/>
      <c r="AG716" s="45"/>
      <c r="AH716" s="45"/>
      <c r="AI716" s="45"/>
      <c r="AJ716" s="45"/>
      <c r="AK716" s="45"/>
      <c r="AL716" s="45"/>
      <c r="AM716" s="45"/>
      <c r="AN716" s="45"/>
      <c r="AO716" s="45"/>
      <c r="AP716" s="45"/>
      <c r="AQ716" s="36"/>
      <c r="AR716" s="36"/>
      <c r="AS716" s="36"/>
      <c r="AT716" s="36"/>
      <c r="AU716" s="36"/>
      <c r="AV716" s="36"/>
      <c r="AW716" s="36"/>
      <c r="AX716" s="36"/>
      <c r="AY716" s="36"/>
      <c r="AZ716" s="36"/>
      <c r="BA716" s="36"/>
      <c r="BB716" s="36"/>
      <c r="BC716" s="36"/>
      <c r="BD716" s="36"/>
      <c r="BE716" s="36"/>
      <c r="BF716" s="36"/>
      <c r="BG716" s="36"/>
      <c r="BH716" s="36"/>
      <c r="BI716" s="36"/>
      <c r="BJ716" s="36"/>
      <c r="BK716" s="36"/>
      <c r="BL716" s="36"/>
      <c r="BM716" s="36"/>
      <c r="BN716" s="36"/>
      <c r="BO716" s="36"/>
      <c r="BP716" s="36"/>
      <c r="BQ716" s="36"/>
    </row>
    <row r="717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51"/>
      <c r="S717" s="51"/>
      <c r="T717" s="51"/>
      <c r="U717" s="51"/>
      <c r="V717" s="51"/>
      <c r="W717" s="51"/>
      <c r="X717" s="51"/>
      <c r="Y717" s="45"/>
      <c r="Z717" s="45"/>
      <c r="AA717" s="45"/>
      <c r="AB717" s="45"/>
      <c r="AC717" s="45"/>
      <c r="AD717" s="45"/>
      <c r="AE717" s="45"/>
      <c r="AF717" s="45"/>
      <c r="AG717" s="45"/>
      <c r="AH717" s="45"/>
      <c r="AI717" s="45"/>
      <c r="AJ717" s="45"/>
      <c r="AK717" s="45"/>
      <c r="AL717" s="45"/>
      <c r="AM717" s="45"/>
      <c r="AN717" s="45"/>
      <c r="AO717" s="45"/>
      <c r="AP717" s="45"/>
      <c r="AQ717" s="36"/>
      <c r="AR717" s="36"/>
      <c r="AS717" s="36"/>
      <c r="AT717" s="36"/>
      <c r="AU717" s="36"/>
      <c r="AV717" s="36"/>
      <c r="AW717" s="36"/>
      <c r="AX717" s="36"/>
      <c r="AY717" s="36"/>
      <c r="AZ717" s="36"/>
      <c r="BA717" s="36"/>
      <c r="BB717" s="36"/>
      <c r="BC717" s="36"/>
      <c r="BD717" s="36"/>
      <c r="BE717" s="36"/>
      <c r="BF717" s="36"/>
      <c r="BG717" s="36"/>
      <c r="BH717" s="36"/>
      <c r="BI717" s="36"/>
      <c r="BJ717" s="36"/>
      <c r="BK717" s="36"/>
      <c r="BL717" s="36"/>
      <c r="BM717" s="36"/>
      <c r="BN717" s="36"/>
      <c r="BO717" s="36"/>
      <c r="BP717" s="36"/>
      <c r="BQ717" s="36"/>
    </row>
    <row r="718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51"/>
      <c r="S718" s="51"/>
      <c r="T718" s="51"/>
      <c r="U718" s="51"/>
      <c r="V718" s="51"/>
      <c r="W718" s="51"/>
      <c r="X718" s="51"/>
      <c r="Y718" s="45"/>
      <c r="Z718" s="45"/>
      <c r="AA718" s="45"/>
      <c r="AB718" s="45"/>
      <c r="AC718" s="45"/>
      <c r="AD718" s="45"/>
      <c r="AE718" s="45"/>
      <c r="AF718" s="45"/>
      <c r="AG718" s="45"/>
      <c r="AH718" s="45"/>
      <c r="AI718" s="45"/>
      <c r="AJ718" s="45"/>
      <c r="AK718" s="45"/>
      <c r="AL718" s="45"/>
      <c r="AM718" s="45"/>
      <c r="AN718" s="45"/>
      <c r="AO718" s="45"/>
      <c r="AP718" s="45"/>
      <c r="AQ718" s="36"/>
      <c r="AR718" s="36"/>
      <c r="AS718" s="36"/>
      <c r="AT718" s="36"/>
      <c r="AU718" s="36"/>
      <c r="AV718" s="36"/>
      <c r="AW718" s="36"/>
      <c r="AX718" s="36"/>
      <c r="AY718" s="36"/>
      <c r="AZ718" s="36"/>
      <c r="BA718" s="36"/>
      <c r="BB718" s="36"/>
      <c r="BC718" s="36"/>
      <c r="BD718" s="36"/>
      <c r="BE718" s="36"/>
      <c r="BF718" s="36"/>
      <c r="BG718" s="36"/>
      <c r="BH718" s="36"/>
      <c r="BI718" s="36"/>
      <c r="BJ718" s="36"/>
      <c r="BK718" s="36"/>
      <c r="BL718" s="36"/>
      <c r="BM718" s="36"/>
      <c r="BN718" s="36"/>
      <c r="BO718" s="36"/>
      <c r="BP718" s="36"/>
      <c r="BQ718" s="36"/>
    </row>
    <row r="719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51"/>
      <c r="S719" s="51"/>
      <c r="T719" s="51"/>
      <c r="U719" s="51"/>
      <c r="V719" s="51"/>
      <c r="W719" s="51"/>
      <c r="X719" s="51"/>
      <c r="Y719" s="45"/>
      <c r="Z719" s="45"/>
      <c r="AA719" s="45"/>
      <c r="AB719" s="45"/>
      <c r="AC719" s="45"/>
      <c r="AD719" s="45"/>
      <c r="AE719" s="45"/>
      <c r="AF719" s="45"/>
      <c r="AG719" s="45"/>
      <c r="AH719" s="45"/>
      <c r="AI719" s="45"/>
      <c r="AJ719" s="45"/>
      <c r="AK719" s="45"/>
      <c r="AL719" s="45"/>
      <c r="AM719" s="45"/>
      <c r="AN719" s="45"/>
      <c r="AO719" s="45"/>
      <c r="AP719" s="45"/>
      <c r="AQ719" s="36"/>
      <c r="AR719" s="36"/>
      <c r="AS719" s="36"/>
      <c r="AT719" s="36"/>
      <c r="AU719" s="36"/>
      <c r="AV719" s="36"/>
      <c r="AW719" s="36"/>
      <c r="AX719" s="36"/>
      <c r="AY719" s="36"/>
      <c r="AZ719" s="36"/>
      <c r="BA719" s="36"/>
      <c r="BB719" s="36"/>
      <c r="BC719" s="36"/>
      <c r="BD719" s="36"/>
      <c r="BE719" s="36"/>
      <c r="BF719" s="36"/>
      <c r="BG719" s="36"/>
      <c r="BH719" s="36"/>
      <c r="BI719" s="36"/>
      <c r="BJ719" s="36"/>
      <c r="BK719" s="36"/>
      <c r="BL719" s="36"/>
      <c r="BM719" s="36"/>
      <c r="BN719" s="36"/>
      <c r="BO719" s="36"/>
      <c r="BP719" s="36"/>
      <c r="BQ719" s="36"/>
    </row>
    <row r="720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51"/>
      <c r="S720" s="51"/>
      <c r="T720" s="51"/>
      <c r="U720" s="51"/>
      <c r="V720" s="51"/>
      <c r="W720" s="51"/>
      <c r="X720" s="51"/>
      <c r="Y720" s="45"/>
      <c r="Z720" s="45"/>
      <c r="AA720" s="45"/>
      <c r="AB720" s="45"/>
      <c r="AC720" s="45"/>
      <c r="AD720" s="45"/>
      <c r="AE720" s="45"/>
      <c r="AF720" s="45"/>
      <c r="AG720" s="45"/>
      <c r="AH720" s="45"/>
      <c r="AI720" s="45"/>
      <c r="AJ720" s="45"/>
      <c r="AK720" s="45"/>
      <c r="AL720" s="45"/>
      <c r="AM720" s="45"/>
      <c r="AN720" s="45"/>
      <c r="AO720" s="45"/>
      <c r="AP720" s="45"/>
      <c r="AQ720" s="36"/>
      <c r="AR720" s="36"/>
      <c r="AS720" s="36"/>
      <c r="AT720" s="36"/>
      <c r="AU720" s="36"/>
      <c r="AV720" s="36"/>
      <c r="AW720" s="36"/>
      <c r="AX720" s="36"/>
      <c r="AY720" s="36"/>
      <c r="AZ720" s="36"/>
      <c r="BA720" s="36"/>
      <c r="BB720" s="36"/>
      <c r="BC720" s="36"/>
      <c r="BD720" s="36"/>
      <c r="BE720" s="36"/>
      <c r="BF720" s="36"/>
      <c r="BG720" s="36"/>
      <c r="BH720" s="36"/>
      <c r="BI720" s="36"/>
      <c r="BJ720" s="36"/>
      <c r="BK720" s="36"/>
      <c r="BL720" s="36"/>
      <c r="BM720" s="36"/>
      <c r="BN720" s="36"/>
      <c r="BO720" s="36"/>
      <c r="BP720" s="36"/>
      <c r="BQ720" s="36"/>
    </row>
    <row r="72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51"/>
      <c r="S721" s="51"/>
      <c r="T721" s="51"/>
      <c r="U721" s="51"/>
      <c r="V721" s="51"/>
      <c r="W721" s="51"/>
      <c r="X721" s="51"/>
      <c r="Y721" s="45"/>
      <c r="Z721" s="45"/>
      <c r="AA721" s="45"/>
      <c r="AB721" s="45"/>
      <c r="AC721" s="45"/>
      <c r="AD721" s="45"/>
      <c r="AE721" s="45"/>
      <c r="AF721" s="45"/>
      <c r="AG721" s="45"/>
      <c r="AH721" s="45"/>
      <c r="AI721" s="45"/>
      <c r="AJ721" s="45"/>
      <c r="AK721" s="45"/>
      <c r="AL721" s="45"/>
      <c r="AM721" s="45"/>
      <c r="AN721" s="45"/>
      <c r="AO721" s="45"/>
      <c r="AP721" s="45"/>
      <c r="AQ721" s="36"/>
      <c r="AR721" s="36"/>
      <c r="AS721" s="36"/>
      <c r="AT721" s="36"/>
      <c r="AU721" s="36"/>
      <c r="AV721" s="36"/>
      <c r="AW721" s="36"/>
      <c r="AX721" s="36"/>
      <c r="AY721" s="36"/>
      <c r="AZ721" s="36"/>
      <c r="BA721" s="36"/>
      <c r="BB721" s="36"/>
      <c r="BC721" s="36"/>
      <c r="BD721" s="36"/>
      <c r="BE721" s="36"/>
      <c r="BF721" s="36"/>
      <c r="BG721" s="36"/>
      <c r="BH721" s="36"/>
      <c r="BI721" s="36"/>
      <c r="BJ721" s="36"/>
      <c r="BK721" s="36"/>
      <c r="BL721" s="36"/>
      <c r="BM721" s="36"/>
      <c r="BN721" s="36"/>
      <c r="BO721" s="36"/>
      <c r="BP721" s="36"/>
      <c r="BQ721" s="36"/>
    </row>
    <row r="72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51"/>
      <c r="S722" s="51"/>
      <c r="T722" s="51"/>
      <c r="U722" s="51"/>
      <c r="V722" s="51"/>
      <c r="W722" s="51"/>
      <c r="X722" s="51"/>
      <c r="Y722" s="45"/>
      <c r="Z722" s="45"/>
      <c r="AA722" s="45"/>
      <c r="AB722" s="45"/>
      <c r="AC722" s="45"/>
      <c r="AD722" s="45"/>
      <c r="AE722" s="45"/>
      <c r="AF722" s="45"/>
      <c r="AG722" s="45"/>
      <c r="AH722" s="45"/>
      <c r="AI722" s="45"/>
      <c r="AJ722" s="45"/>
      <c r="AK722" s="45"/>
      <c r="AL722" s="45"/>
      <c r="AM722" s="45"/>
      <c r="AN722" s="45"/>
      <c r="AO722" s="45"/>
      <c r="AP722" s="45"/>
      <c r="AQ722" s="36"/>
      <c r="AR722" s="36"/>
      <c r="AS722" s="36"/>
      <c r="AT722" s="36"/>
      <c r="AU722" s="36"/>
      <c r="AV722" s="36"/>
      <c r="AW722" s="36"/>
      <c r="AX722" s="36"/>
      <c r="AY722" s="36"/>
      <c r="AZ722" s="36"/>
      <c r="BA722" s="36"/>
      <c r="BB722" s="36"/>
      <c r="BC722" s="36"/>
      <c r="BD722" s="36"/>
      <c r="BE722" s="36"/>
      <c r="BF722" s="36"/>
      <c r="BG722" s="36"/>
      <c r="BH722" s="36"/>
      <c r="BI722" s="36"/>
      <c r="BJ722" s="36"/>
      <c r="BK722" s="36"/>
      <c r="BL722" s="36"/>
      <c r="BM722" s="36"/>
      <c r="BN722" s="36"/>
      <c r="BO722" s="36"/>
      <c r="BP722" s="36"/>
      <c r="BQ722" s="36"/>
    </row>
    <row r="723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51"/>
      <c r="S723" s="51"/>
      <c r="T723" s="51"/>
      <c r="U723" s="51"/>
      <c r="V723" s="51"/>
      <c r="W723" s="51"/>
      <c r="X723" s="51"/>
      <c r="Y723" s="45"/>
      <c r="Z723" s="45"/>
      <c r="AA723" s="45"/>
      <c r="AB723" s="45"/>
      <c r="AC723" s="45"/>
      <c r="AD723" s="45"/>
      <c r="AE723" s="45"/>
      <c r="AF723" s="45"/>
      <c r="AG723" s="45"/>
      <c r="AH723" s="45"/>
      <c r="AI723" s="45"/>
      <c r="AJ723" s="45"/>
      <c r="AK723" s="45"/>
      <c r="AL723" s="45"/>
      <c r="AM723" s="45"/>
      <c r="AN723" s="45"/>
      <c r="AO723" s="45"/>
      <c r="AP723" s="45"/>
      <c r="AQ723" s="36"/>
      <c r="AR723" s="36"/>
      <c r="AS723" s="36"/>
      <c r="AT723" s="36"/>
      <c r="AU723" s="36"/>
      <c r="AV723" s="36"/>
      <c r="AW723" s="36"/>
      <c r="AX723" s="36"/>
      <c r="AY723" s="36"/>
      <c r="AZ723" s="36"/>
      <c r="BA723" s="36"/>
      <c r="BB723" s="36"/>
      <c r="BC723" s="36"/>
      <c r="BD723" s="36"/>
      <c r="BE723" s="36"/>
      <c r="BF723" s="36"/>
      <c r="BG723" s="36"/>
      <c r="BH723" s="36"/>
      <c r="BI723" s="36"/>
      <c r="BJ723" s="36"/>
      <c r="BK723" s="36"/>
      <c r="BL723" s="36"/>
      <c r="BM723" s="36"/>
      <c r="BN723" s="36"/>
      <c r="BO723" s="36"/>
      <c r="BP723" s="36"/>
      <c r="BQ723" s="36"/>
    </row>
    <row r="724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51"/>
      <c r="S724" s="51"/>
      <c r="T724" s="51"/>
      <c r="U724" s="51"/>
      <c r="V724" s="51"/>
      <c r="W724" s="51"/>
      <c r="X724" s="51"/>
      <c r="Y724" s="45"/>
      <c r="Z724" s="45"/>
      <c r="AA724" s="45"/>
      <c r="AB724" s="45"/>
      <c r="AC724" s="45"/>
      <c r="AD724" s="45"/>
      <c r="AE724" s="45"/>
      <c r="AF724" s="45"/>
      <c r="AG724" s="45"/>
      <c r="AH724" s="45"/>
      <c r="AI724" s="45"/>
      <c r="AJ724" s="45"/>
      <c r="AK724" s="45"/>
      <c r="AL724" s="45"/>
      <c r="AM724" s="45"/>
      <c r="AN724" s="45"/>
      <c r="AO724" s="45"/>
      <c r="AP724" s="45"/>
      <c r="AQ724" s="36"/>
      <c r="AR724" s="36"/>
      <c r="AS724" s="36"/>
      <c r="AT724" s="36"/>
      <c r="AU724" s="36"/>
      <c r="AV724" s="36"/>
      <c r="AW724" s="36"/>
      <c r="AX724" s="36"/>
      <c r="AY724" s="36"/>
      <c r="AZ724" s="36"/>
      <c r="BA724" s="36"/>
      <c r="BB724" s="36"/>
      <c r="BC724" s="36"/>
      <c r="BD724" s="36"/>
      <c r="BE724" s="36"/>
      <c r="BF724" s="36"/>
      <c r="BG724" s="36"/>
      <c r="BH724" s="36"/>
      <c r="BI724" s="36"/>
      <c r="BJ724" s="36"/>
      <c r="BK724" s="36"/>
      <c r="BL724" s="36"/>
      <c r="BM724" s="36"/>
      <c r="BN724" s="36"/>
      <c r="BO724" s="36"/>
      <c r="BP724" s="36"/>
      <c r="BQ724" s="36"/>
    </row>
    <row r="7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51"/>
      <c r="S725" s="51"/>
      <c r="T725" s="51"/>
      <c r="U725" s="51"/>
      <c r="V725" s="51"/>
      <c r="W725" s="51"/>
      <c r="X725" s="51"/>
      <c r="Y725" s="45"/>
      <c r="Z725" s="45"/>
      <c r="AA725" s="45"/>
      <c r="AB725" s="45"/>
      <c r="AC725" s="45"/>
      <c r="AD725" s="45"/>
      <c r="AE725" s="45"/>
      <c r="AF725" s="45"/>
      <c r="AG725" s="45"/>
      <c r="AH725" s="45"/>
      <c r="AI725" s="45"/>
      <c r="AJ725" s="45"/>
      <c r="AK725" s="45"/>
      <c r="AL725" s="45"/>
      <c r="AM725" s="45"/>
      <c r="AN725" s="45"/>
      <c r="AO725" s="45"/>
      <c r="AP725" s="45"/>
      <c r="AQ725" s="36"/>
      <c r="AR725" s="36"/>
      <c r="AS725" s="36"/>
      <c r="AT725" s="36"/>
      <c r="AU725" s="36"/>
      <c r="AV725" s="36"/>
      <c r="AW725" s="36"/>
      <c r="AX725" s="36"/>
      <c r="AY725" s="36"/>
      <c r="AZ725" s="36"/>
      <c r="BA725" s="36"/>
      <c r="BB725" s="36"/>
      <c r="BC725" s="36"/>
      <c r="BD725" s="36"/>
      <c r="BE725" s="36"/>
      <c r="BF725" s="36"/>
      <c r="BG725" s="36"/>
      <c r="BH725" s="36"/>
      <c r="BI725" s="36"/>
      <c r="BJ725" s="36"/>
      <c r="BK725" s="36"/>
      <c r="BL725" s="36"/>
      <c r="BM725" s="36"/>
      <c r="BN725" s="36"/>
      <c r="BO725" s="36"/>
      <c r="BP725" s="36"/>
      <c r="BQ725" s="36"/>
    </row>
    <row r="726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51"/>
      <c r="S726" s="51"/>
      <c r="T726" s="51"/>
      <c r="U726" s="51"/>
      <c r="V726" s="51"/>
      <c r="W726" s="51"/>
      <c r="X726" s="51"/>
      <c r="Y726" s="45"/>
      <c r="Z726" s="45"/>
      <c r="AA726" s="45"/>
      <c r="AB726" s="45"/>
      <c r="AC726" s="45"/>
      <c r="AD726" s="45"/>
      <c r="AE726" s="45"/>
      <c r="AF726" s="45"/>
      <c r="AG726" s="45"/>
      <c r="AH726" s="45"/>
      <c r="AI726" s="45"/>
      <c r="AJ726" s="45"/>
      <c r="AK726" s="45"/>
      <c r="AL726" s="45"/>
      <c r="AM726" s="45"/>
      <c r="AN726" s="45"/>
      <c r="AO726" s="45"/>
      <c r="AP726" s="45"/>
      <c r="AQ726" s="36"/>
      <c r="AR726" s="36"/>
      <c r="AS726" s="36"/>
      <c r="AT726" s="36"/>
      <c r="AU726" s="36"/>
      <c r="AV726" s="36"/>
      <c r="AW726" s="36"/>
      <c r="AX726" s="36"/>
      <c r="AY726" s="36"/>
      <c r="AZ726" s="36"/>
      <c r="BA726" s="36"/>
      <c r="BB726" s="36"/>
      <c r="BC726" s="36"/>
      <c r="BD726" s="36"/>
      <c r="BE726" s="36"/>
      <c r="BF726" s="36"/>
      <c r="BG726" s="36"/>
      <c r="BH726" s="36"/>
      <c r="BI726" s="36"/>
      <c r="BJ726" s="36"/>
      <c r="BK726" s="36"/>
      <c r="BL726" s="36"/>
      <c r="BM726" s="36"/>
      <c r="BN726" s="36"/>
      <c r="BO726" s="36"/>
      <c r="BP726" s="36"/>
      <c r="BQ726" s="36"/>
    </row>
    <row r="727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51"/>
      <c r="S727" s="51"/>
      <c r="T727" s="51"/>
      <c r="U727" s="51"/>
      <c r="V727" s="51"/>
      <c r="W727" s="51"/>
      <c r="X727" s="51"/>
      <c r="Y727" s="45"/>
      <c r="Z727" s="45"/>
      <c r="AA727" s="45"/>
      <c r="AB727" s="45"/>
      <c r="AC727" s="45"/>
      <c r="AD727" s="45"/>
      <c r="AE727" s="45"/>
      <c r="AF727" s="45"/>
      <c r="AG727" s="45"/>
      <c r="AH727" s="45"/>
      <c r="AI727" s="45"/>
      <c r="AJ727" s="45"/>
      <c r="AK727" s="45"/>
      <c r="AL727" s="45"/>
      <c r="AM727" s="45"/>
      <c r="AN727" s="45"/>
      <c r="AO727" s="45"/>
      <c r="AP727" s="45"/>
      <c r="AQ727" s="36"/>
      <c r="AR727" s="36"/>
      <c r="AS727" s="36"/>
      <c r="AT727" s="36"/>
      <c r="AU727" s="36"/>
      <c r="AV727" s="36"/>
      <c r="AW727" s="36"/>
      <c r="AX727" s="36"/>
      <c r="AY727" s="36"/>
      <c r="AZ727" s="36"/>
      <c r="BA727" s="36"/>
      <c r="BB727" s="36"/>
      <c r="BC727" s="36"/>
      <c r="BD727" s="36"/>
      <c r="BE727" s="36"/>
      <c r="BF727" s="36"/>
      <c r="BG727" s="36"/>
      <c r="BH727" s="36"/>
      <c r="BI727" s="36"/>
      <c r="BJ727" s="36"/>
      <c r="BK727" s="36"/>
      <c r="BL727" s="36"/>
      <c r="BM727" s="36"/>
      <c r="BN727" s="36"/>
      <c r="BO727" s="36"/>
      <c r="BP727" s="36"/>
      <c r="BQ727" s="36"/>
    </row>
    <row r="728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51"/>
      <c r="S728" s="51"/>
      <c r="T728" s="51"/>
      <c r="U728" s="51"/>
      <c r="V728" s="51"/>
      <c r="W728" s="51"/>
      <c r="X728" s="51"/>
      <c r="Y728" s="45"/>
      <c r="Z728" s="45"/>
      <c r="AA728" s="45"/>
      <c r="AB728" s="45"/>
      <c r="AC728" s="45"/>
      <c r="AD728" s="45"/>
      <c r="AE728" s="45"/>
      <c r="AF728" s="45"/>
      <c r="AG728" s="45"/>
      <c r="AH728" s="45"/>
      <c r="AI728" s="45"/>
      <c r="AJ728" s="45"/>
      <c r="AK728" s="45"/>
      <c r="AL728" s="45"/>
      <c r="AM728" s="45"/>
      <c r="AN728" s="45"/>
      <c r="AO728" s="45"/>
      <c r="AP728" s="45"/>
      <c r="AQ728" s="36"/>
      <c r="AR728" s="36"/>
      <c r="AS728" s="36"/>
      <c r="AT728" s="36"/>
      <c r="AU728" s="36"/>
      <c r="AV728" s="36"/>
      <c r="AW728" s="36"/>
      <c r="AX728" s="36"/>
      <c r="AY728" s="36"/>
      <c r="AZ728" s="36"/>
      <c r="BA728" s="36"/>
      <c r="BB728" s="36"/>
      <c r="BC728" s="36"/>
      <c r="BD728" s="36"/>
      <c r="BE728" s="36"/>
      <c r="BF728" s="36"/>
      <c r="BG728" s="36"/>
      <c r="BH728" s="36"/>
      <c r="BI728" s="36"/>
      <c r="BJ728" s="36"/>
      <c r="BK728" s="36"/>
      <c r="BL728" s="36"/>
      <c r="BM728" s="36"/>
      <c r="BN728" s="36"/>
      <c r="BO728" s="36"/>
      <c r="BP728" s="36"/>
      <c r="BQ728" s="36"/>
    </row>
    <row r="729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51"/>
      <c r="S729" s="51"/>
      <c r="T729" s="51"/>
      <c r="U729" s="51"/>
      <c r="V729" s="51"/>
      <c r="W729" s="51"/>
      <c r="X729" s="51"/>
      <c r="Y729" s="45"/>
      <c r="Z729" s="45"/>
      <c r="AA729" s="45"/>
      <c r="AB729" s="45"/>
      <c r="AC729" s="45"/>
      <c r="AD729" s="45"/>
      <c r="AE729" s="45"/>
      <c r="AF729" s="45"/>
      <c r="AG729" s="45"/>
      <c r="AH729" s="45"/>
      <c r="AI729" s="45"/>
      <c r="AJ729" s="45"/>
      <c r="AK729" s="45"/>
      <c r="AL729" s="45"/>
      <c r="AM729" s="45"/>
      <c r="AN729" s="45"/>
      <c r="AO729" s="45"/>
      <c r="AP729" s="45"/>
      <c r="AQ729" s="36"/>
      <c r="AR729" s="36"/>
      <c r="AS729" s="36"/>
      <c r="AT729" s="36"/>
      <c r="AU729" s="36"/>
      <c r="AV729" s="36"/>
      <c r="AW729" s="36"/>
      <c r="AX729" s="36"/>
      <c r="AY729" s="36"/>
      <c r="AZ729" s="36"/>
      <c r="BA729" s="36"/>
      <c r="BB729" s="36"/>
      <c r="BC729" s="36"/>
      <c r="BD729" s="36"/>
      <c r="BE729" s="36"/>
      <c r="BF729" s="36"/>
      <c r="BG729" s="36"/>
      <c r="BH729" s="36"/>
      <c r="BI729" s="36"/>
      <c r="BJ729" s="36"/>
      <c r="BK729" s="36"/>
      <c r="BL729" s="36"/>
      <c r="BM729" s="36"/>
      <c r="BN729" s="36"/>
      <c r="BO729" s="36"/>
      <c r="BP729" s="36"/>
      <c r="BQ729" s="36"/>
    </row>
    <row r="730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51"/>
      <c r="S730" s="51"/>
      <c r="T730" s="51"/>
      <c r="U730" s="51"/>
      <c r="V730" s="51"/>
      <c r="W730" s="51"/>
      <c r="X730" s="51"/>
      <c r="Y730" s="45"/>
      <c r="Z730" s="45"/>
      <c r="AA730" s="45"/>
      <c r="AB730" s="45"/>
      <c r="AC730" s="45"/>
      <c r="AD730" s="45"/>
      <c r="AE730" s="45"/>
      <c r="AF730" s="45"/>
      <c r="AG730" s="45"/>
      <c r="AH730" s="45"/>
      <c r="AI730" s="45"/>
      <c r="AJ730" s="45"/>
      <c r="AK730" s="45"/>
      <c r="AL730" s="45"/>
      <c r="AM730" s="45"/>
      <c r="AN730" s="45"/>
      <c r="AO730" s="45"/>
      <c r="AP730" s="45"/>
      <c r="AQ730" s="36"/>
      <c r="AR730" s="36"/>
      <c r="AS730" s="36"/>
      <c r="AT730" s="36"/>
      <c r="AU730" s="36"/>
      <c r="AV730" s="36"/>
      <c r="AW730" s="36"/>
      <c r="AX730" s="36"/>
      <c r="AY730" s="36"/>
      <c r="AZ730" s="36"/>
      <c r="BA730" s="36"/>
      <c r="BB730" s="36"/>
      <c r="BC730" s="36"/>
      <c r="BD730" s="36"/>
      <c r="BE730" s="36"/>
      <c r="BF730" s="36"/>
      <c r="BG730" s="36"/>
      <c r="BH730" s="36"/>
      <c r="BI730" s="36"/>
      <c r="BJ730" s="36"/>
      <c r="BK730" s="36"/>
      <c r="BL730" s="36"/>
      <c r="BM730" s="36"/>
      <c r="BN730" s="36"/>
      <c r="BO730" s="36"/>
      <c r="BP730" s="36"/>
      <c r="BQ730" s="36"/>
    </row>
    <row r="73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51"/>
      <c r="S731" s="51"/>
      <c r="T731" s="51"/>
      <c r="U731" s="51"/>
      <c r="V731" s="51"/>
      <c r="W731" s="51"/>
      <c r="X731" s="51"/>
      <c r="Y731" s="45"/>
      <c r="Z731" s="45"/>
      <c r="AA731" s="45"/>
      <c r="AB731" s="45"/>
      <c r="AC731" s="45"/>
      <c r="AD731" s="45"/>
      <c r="AE731" s="45"/>
      <c r="AF731" s="45"/>
      <c r="AG731" s="45"/>
      <c r="AH731" s="45"/>
      <c r="AI731" s="45"/>
      <c r="AJ731" s="45"/>
      <c r="AK731" s="45"/>
      <c r="AL731" s="45"/>
      <c r="AM731" s="45"/>
      <c r="AN731" s="45"/>
      <c r="AO731" s="45"/>
      <c r="AP731" s="45"/>
      <c r="AQ731" s="36"/>
      <c r="AR731" s="36"/>
      <c r="AS731" s="36"/>
      <c r="AT731" s="36"/>
      <c r="AU731" s="36"/>
      <c r="AV731" s="36"/>
      <c r="AW731" s="36"/>
      <c r="AX731" s="36"/>
      <c r="AY731" s="36"/>
      <c r="AZ731" s="36"/>
      <c r="BA731" s="36"/>
      <c r="BB731" s="36"/>
      <c r="BC731" s="36"/>
      <c r="BD731" s="36"/>
      <c r="BE731" s="36"/>
      <c r="BF731" s="36"/>
      <c r="BG731" s="36"/>
      <c r="BH731" s="36"/>
      <c r="BI731" s="36"/>
      <c r="BJ731" s="36"/>
      <c r="BK731" s="36"/>
      <c r="BL731" s="36"/>
      <c r="BM731" s="36"/>
      <c r="BN731" s="36"/>
      <c r="BO731" s="36"/>
      <c r="BP731" s="36"/>
      <c r="BQ731" s="36"/>
    </row>
    <row r="73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51"/>
      <c r="S732" s="51"/>
      <c r="T732" s="51"/>
      <c r="U732" s="51"/>
      <c r="V732" s="51"/>
      <c r="W732" s="51"/>
      <c r="X732" s="51"/>
      <c r="Y732" s="45"/>
      <c r="Z732" s="45"/>
      <c r="AA732" s="45"/>
      <c r="AB732" s="45"/>
      <c r="AC732" s="45"/>
      <c r="AD732" s="45"/>
      <c r="AE732" s="45"/>
      <c r="AF732" s="45"/>
      <c r="AG732" s="45"/>
      <c r="AH732" s="45"/>
      <c r="AI732" s="45"/>
      <c r="AJ732" s="45"/>
      <c r="AK732" s="45"/>
      <c r="AL732" s="45"/>
      <c r="AM732" s="45"/>
      <c r="AN732" s="45"/>
      <c r="AO732" s="45"/>
      <c r="AP732" s="45"/>
      <c r="AQ732" s="36"/>
      <c r="AR732" s="36"/>
      <c r="AS732" s="36"/>
      <c r="AT732" s="36"/>
      <c r="AU732" s="36"/>
      <c r="AV732" s="36"/>
      <c r="AW732" s="36"/>
      <c r="AX732" s="36"/>
      <c r="AY732" s="36"/>
      <c r="AZ732" s="36"/>
      <c r="BA732" s="36"/>
      <c r="BB732" s="36"/>
      <c r="BC732" s="36"/>
      <c r="BD732" s="36"/>
      <c r="BE732" s="36"/>
      <c r="BF732" s="36"/>
      <c r="BG732" s="36"/>
      <c r="BH732" s="36"/>
      <c r="BI732" s="36"/>
      <c r="BJ732" s="36"/>
      <c r="BK732" s="36"/>
      <c r="BL732" s="36"/>
      <c r="BM732" s="36"/>
      <c r="BN732" s="36"/>
      <c r="BO732" s="36"/>
      <c r="BP732" s="36"/>
      <c r="BQ732" s="36"/>
    </row>
    <row r="733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51"/>
      <c r="S733" s="51"/>
      <c r="T733" s="51"/>
      <c r="U733" s="51"/>
      <c r="V733" s="51"/>
      <c r="W733" s="51"/>
      <c r="X733" s="51"/>
      <c r="Y733" s="45"/>
      <c r="Z733" s="45"/>
      <c r="AA733" s="45"/>
      <c r="AB733" s="45"/>
      <c r="AC733" s="45"/>
      <c r="AD733" s="45"/>
      <c r="AE733" s="45"/>
      <c r="AF733" s="45"/>
      <c r="AG733" s="45"/>
      <c r="AH733" s="45"/>
      <c r="AI733" s="45"/>
      <c r="AJ733" s="45"/>
      <c r="AK733" s="45"/>
      <c r="AL733" s="45"/>
      <c r="AM733" s="45"/>
      <c r="AN733" s="45"/>
      <c r="AO733" s="45"/>
      <c r="AP733" s="45"/>
      <c r="AQ733" s="36"/>
      <c r="AR733" s="36"/>
      <c r="AS733" s="36"/>
      <c r="AT733" s="36"/>
      <c r="AU733" s="36"/>
      <c r="AV733" s="36"/>
      <c r="AW733" s="36"/>
      <c r="AX733" s="36"/>
      <c r="AY733" s="36"/>
      <c r="AZ733" s="36"/>
      <c r="BA733" s="36"/>
      <c r="BB733" s="36"/>
      <c r="BC733" s="36"/>
      <c r="BD733" s="36"/>
      <c r="BE733" s="36"/>
      <c r="BF733" s="36"/>
      <c r="BG733" s="36"/>
      <c r="BH733" s="36"/>
      <c r="BI733" s="36"/>
      <c r="BJ733" s="36"/>
      <c r="BK733" s="36"/>
      <c r="BL733" s="36"/>
      <c r="BM733" s="36"/>
      <c r="BN733" s="36"/>
      <c r="BO733" s="36"/>
      <c r="BP733" s="36"/>
      <c r="BQ733" s="36"/>
    </row>
    <row r="734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51"/>
      <c r="S734" s="51"/>
      <c r="T734" s="51"/>
      <c r="U734" s="51"/>
      <c r="V734" s="51"/>
      <c r="W734" s="51"/>
      <c r="X734" s="51"/>
      <c r="Y734" s="45"/>
      <c r="Z734" s="45"/>
      <c r="AA734" s="45"/>
      <c r="AB734" s="45"/>
      <c r="AC734" s="45"/>
      <c r="AD734" s="45"/>
      <c r="AE734" s="45"/>
      <c r="AF734" s="45"/>
      <c r="AG734" s="45"/>
      <c r="AH734" s="45"/>
      <c r="AI734" s="45"/>
      <c r="AJ734" s="45"/>
      <c r="AK734" s="45"/>
      <c r="AL734" s="45"/>
      <c r="AM734" s="45"/>
      <c r="AN734" s="45"/>
      <c r="AO734" s="45"/>
      <c r="AP734" s="45"/>
      <c r="AQ734" s="36"/>
      <c r="AR734" s="36"/>
      <c r="AS734" s="36"/>
      <c r="AT734" s="36"/>
      <c r="AU734" s="36"/>
      <c r="AV734" s="36"/>
      <c r="AW734" s="36"/>
      <c r="AX734" s="36"/>
      <c r="AY734" s="36"/>
      <c r="AZ734" s="36"/>
      <c r="BA734" s="36"/>
      <c r="BB734" s="36"/>
      <c r="BC734" s="36"/>
      <c r="BD734" s="36"/>
      <c r="BE734" s="36"/>
      <c r="BF734" s="36"/>
      <c r="BG734" s="36"/>
      <c r="BH734" s="36"/>
      <c r="BI734" s="36"/>
      <c r="BJ734" s="36"/>
      <c r="BK734" s="36"/>
      <c r="BL734" s="36"/>
      <c r="BM734" s="36"/>
      <c r="BN734" s="36"/>
      <c r="BO734" s="36"/>
      <c r="BP734" s="36"/>
      <c r="BQ734" s="36"/>
    </row>
    <row r="7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51"/>
      <c r="S735" s="51"/>
      <c r="T735" s="51"/>
      <c r="U735" s="51"/>
      <c r="V735" s="51"/>
      <c r="W735" s="51"/>
      <c r="X735" s="51"/>
      <c r="Y735" s="45"/>
      <c r="Z735" s="45"/>
      <c r="AA735" s="45"/>
      <c r="AB735" s="45"/>
      <c r="AC735" s="45"/>
      <c r="AD735" s="45"/>
      <c r="AE735" s="45"/>
      <c r="AF735" s="45"/>
      <c r="AG735" s="45"/>
      <c r="AH735" s="45"/>
      <c r="AI735" s="45"/>
      <c r="AJ735" s="45"/>
      <c r="AK735" s="45"/>
      <c r="AL735" s="45"/>
      <c r="AM735" s="45"/>
      <c r="AN735" s="45"/>
      <c r="AO735" s="45"/>
      <c r="AP735" s="45"/>
      <c r="AQ735" s="36"/>
      <c r="AR735" s="36"/>
      <c r="AS735" s="36"/>
      <c r="AT735" s="36"/>
      <c r="AU735" s="36"/>
      <c r="AV735" s="36"/>
      <c r="AW735" s="36"/>
      <c r="AX735" s="36"/>
      <c r="AY735" s="36"/>
      <c r="AZ735" s="36"/>
      <c r="BA735" s="36"/>
      <c r="BB735" s="36"/>
      <c r="BC735" s="36"/>
      <c r="BD735" s="36"/>
      <c r="BE735" s="36"/>
      <c r="BF735" s="36"/>
      <c r="BG735" s="36"/>
      <c r="BH735" s="36"/>
      <c r="BI735" s="36"/>
      <c r="BJ735" s="36"/>
      <c r="BK735" s="36"/>
      <c r="BL735" s="36"/>
      <c r="BM735" s="36"/>
      <c r="BN735" s="36"/>
      <c r="BO735" s="36"/>
      <c r="BP735" s="36"/>
      <c r="BQ735" s="36"/>
    </row>
    <row r="736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51"/>
      <c r="S736" s="51"/>
      <c r="T736" s="51"/>
      <c r="U736" s="51"/>
      <c r="V736" s="51"/>
      <c r="W736" s="51"/>
      <c r="X736" s="51"/>
      <c r="Y736" s="45"/>
      <c r="Z736" s="45"/>
      <c r="AA736" s="45"/>
      <c r="AB736" s="45"/>
      <c r="AC736" s="45"/>
      <c r="AD736" s="45"/>
      <c r="AE736" s="45"/>
      <c r="AF736" s="45"/>
      <c r="AG736" s="45"/>
      <c r="AH736" s="45"/>
      <c r="AI736" s="45"/>
      <c r="AJ736" s="45"/>
      <c r="AK736" s="45"/>
      <c r="AL736" s="45"/>
      <c r="AM736" s="45"/>
      <c r="AN736" s="45"/>
      <c r="AO736" s="45"/>
      <c r="AP736" s="45"/>
      <c r="AQ736" s="36"/>
      <c r="AR736" s="36"/>
      <c r="AS736" s="36"/>
      <c r="AT736" s="36"/>
      <c r="AU736" s="36"/>
      <c r="AV736" s="36"/>
      <c r="AW736" s="36"/>
      <c r="AX736" s="36"/>
      <c r="AY736" s="36"/>
      <c r="AZ736" s="36"/>
      <c r="BA736" s="36"/>
      <c r="BB736" s="36"/>
      <c r="BC736" s="36"/>
      <c r="BD736" s="36"/>
      <c r="BE736" s="36"/>
      <c r="BF736" s="36"/>
      <c r="BG736" s="36"/>
      <c r="BH736" s="36"/>
      <c r="BI736" s="36"/>
      <c r="BJ736" s="36"/>
      <c r="BK736" s="36"/>
      <c r="BL736" s="36"/>
      <c r="BM736" s="36"/>
      <c r="BN736" s="36"/>
      <c r="BO736" s="36"/>
      <c r="BP736" s="36"/>
      <c r="BQ736" s="36"/>
    </row>
    <row r="737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51"/>
      <c r="S737" s="51"/>
      <c r="T737" s="51"/>
      <c r="U737" s="51"/>
      <c r="V737" s="51"/>
      <c r="W737" s="51"/>
      <c r="X737" s="51"/>
      <c r="Y737" s="45"/>
      <c r="Z737" s="45"/>
      <c r="AA737" s="45"/>
      <c r="AB737" s="45"/>
      <c r="AC737" s="45"/>
      <c r="AD737" s="45"/>
      <c r="AE737" s="45"/>
      <c r="AF737" s="45"/>
      <c r="AG737" s="45"/>
      <c r="AH737" s="45"/>
      <c r="AI737" s="45"/>
      <c r="AJ737" s="45"/>
      <c r="AK737" s="45"/>
      <c r="AL737" s="45"/>
      <c r="AM737" s="45"/>
      <c r="AN737" s="45"/>
      <c r="AO737" s="45"/>
      <c r="AP737" s="45"/>
      <c r="AQ737" s="36"/>
      <c r="AR737" s="36"/>
      <c r="AS737" s="36"/>
      <c r="AT737" s="36"/>
      <c r="AU737" s="36"/>
      <c r="AV737" s="36"/>
      <c r="AW737" s="36"/>
      <c r="AX737" s="36"/>
      <c r="AY737" s="36"/>
      <c r="AZ737" s="36"/>
      <c r="BA737" s="36"/>
      <c r="BB737" s="36"/>
      <c r="BC737" s="36"/>
      <c r="BD737" s="36"/>
      <c r="BE737" s="36"/>
      <c r="BF737" s="36"/>
      <c r="BG737" s="36"/>
      <c r="BH737" s="36"/>
      <c r="BI737" s="36"/>
      <c r="BJ737" s="36"/>
      <c r="BK737" s="36"/>
      <c r="BL737" s="36"/>
      <c r="BM737" s="36"/>
      <c r="BN737" s="36"/>
      <c r="BO737" s="36"/>
      <c r="BP737" s="36"/>
      <c r="BQ737" s="36"/>
    </row>
    <row r="738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51"/>
      <c r="S738" s="51"/>
      <c r="T738" s="51"/>
      <c r="U738" s="51"/>
      <c r="V738" s="51"/>
      <c r="W738" s="51"/>
      <c r="X738" s="51"/>
      <c r="Y738" s="45"/>
      <c r="Z738" s="45"/>
      <c r="AA738" s="45"/>
      <c r="AB738" s="45"/>
      <c r="AC738" s="45"/>
      <c r="AD738" s="45"/>
      <c r="AE738" s="45"/>
      <c r="AF738" s="45"/>
      <c r="AG738" s="45"/>
      <c r="AH738" s="45"/>
      <c r="AI738" s="45"/>
      <c r="AJ738" s="45"/>
      <c r="AK738" s="45"/>
      <c r="AL738" s="45"/>
      <c r="AM738" s="45"/>
      <c r="AN738" s="45"/>
      <c r="AO738" s="45"/>
      <c r="AP738" s="45"/>
      <c r="AQ738" s="36"/>
      <c r="AR738" s="36"/>
      <c r="AS738" s="36"/>
      <c r="AT738" s="36"/>
      <c r="AU738" s="36"/>
      <c r="AV738" s="36"/>
      <c r="AW738" s="36"/>
      <c r="AX738" s="36"/>
      <c r="AY738" s="36"/>
      <c r="AZ738" s="36"/>
      <c r="BA738" s="36"/>
      <c r="BB738" s="36"/>
      <c r="BC738" s="36"/>
      <c r="BD738" s="36"/>
      <c r="BE738" s="36"/>
      <c r="BF738" s="36"/>
      <c r="BG738" s="36"/>
      <c r="BH738" s="36"/>
      <c r="BI738" s="36"/>
      <c r="BJ738" s="36"/>
      <c r="BK738" s="36"/>
      <c r="BL738" s="36"/>
      <c r="BM738" s="36"/>
      <c r="BN738" s="36"/>
      <c r="BO738" s="36"/>
      <c r="BP738" s="36"/>
      <c r="BQ738" s="36"/>
    </row>
    <row r="739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51"/>
      <c r="S739" s="51"/>
      <c r="T739" s="51"/>
      <c r="U739" s="51"/>
      <c r="V739" s="51"/>
      <c r="W739" s="51"/>
      <c r="X739" s="51"/>
      <c r="Y739" s="45"/>
      <c r="Z739" s="45"/>
      <c r="AA739" s="45"/>
      <c r="AB739" s="45"/>
      <c r="AC739" s="45"/>
      <c r="AD739" s="45"/>
      <c r="AE739" s="45"/>
      <c r="AF739" s="45"/>
      <c r="AG739" s="45"/>
      <c r="AH739" s="45"/>
      <c r="AI739" s="45"/>
      <c r="AJ739" s="45"/>
      <c r="AK739" s="45"/>
      <c r="AL739" s="45"/>
      <c r="AM739" s="45"/>
      <c r="AN739" s="45"/>
      <c r="AO739" s="45"/>
      <c r="AP739" s="45"/>
      <c r="AQ739" s="36"/>
      <c r="AR739" s="36"/>
      <c r="AS739" s="36"/>
      <c r="AT739" s="36"/>
      <c r="AU739" s="36"/>
      <c r="AV739" s="36"/>
      <c r="AW739" s="36"/>
      <c r="AX739" s="36"/>
      <c r="AY739" s="36"/>
      <c r="AZ739" s="36"/>
      <c r="BA739" s="36"/>
      <c r="BB739" s="36"/>
      <c r="BC739" s="36"/>
      <c r="BD739" s="36"/>
      <c r="BE739" s="36"/>
      <c r="BF739" s="36"/>
      <c r="BG739" s="36"/>
      <c r="BH739" s="36"/>
      <c r="BI739" s="36"/>
      <c r="BJ739" s="36"/>
      <c r="BK739" s="36"/>
      <c r="BL739" s="36"/>
      <c r="BM739" s="36"/>
      <c r="BN739" s="36"/>
      <c r="BO739" s="36"/>
      <c r="BP739" s="36"/>
      <c r="BQ739" s="36"/>
    </row>
    <row r="740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51"/>
      <c r="S740" s="51"/>
      <c r="T740" s="51"/>
      <c r="U740" s="51"/>
      <c r="V740" s="51"/>
      <c r="W740" s="51"/>
      <c r="X740" s="51"/>
      <c r="Y740" s="45"/>
      <c r="Z740" s="45"/>
      <c r="AA740" s="45"/>
      <c r="AB740" s="45"/>
      <c r="AC740" s="45"/>
      <c r="AD740" s="45"/>
      <c r="AE740" s="45"/>
      <c r="AF740" s="45"/>
      <c r="AG740" s="45"/>
      <c r="AH740" s="45"/>
      <c r="AI740" s="45"/>
      <c r="AJ740" s="45"/>
      <c r="AK740" s="45"/>
      <c r="AL740" s="45"/>
      <c r="AM740" s="45"/>
      <c r="AN740" s="45"/>
      <c r="AO740" s="45"/>
      <c r="AP740" s="45"/>
      <c r="AQ740" s="36"/>
      <c r="AR740" s="36"/>
      <c r="AS740" s="36"/>
      <c r="AT740" s="36"/>
      <c r="AU740" s="36"/>
      <c r="AV740" s="36"/>
      <c r="AW740" s="36"/>
      <c r="AX740" s="36"/>
      <c r="AY740" s="36"/>
      <c r="AZ740" s="36"/>
      <c r="BA740" s="36"/>
      <c r="BB740" s="36"/>
      <c r="BC740" s="36"/>
      <c r="BD740" s="36"/>
      <c r="BE740" s="36"/>
      <c r="BF740" s="36"/>
      <c r="BG740" s="36"/>
      <c r="BH740" s="36"/>
      <c r="BI740" s="36"/>
      <c r="BJ740" s="36"/>
      <c r="BK740" s="36"/>
      <c r="BL740" s="36"/>
      <c r="BM740" s="36"/>
      <c r="BN740" s="36"/>
      <c r="BO740" s="36"/>
      <c r="BP740" s="36"/>
      <c r="BQ740" s="36"/>
    </row>
    <row r="74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51"/>
      <c r="S741" s="51"/>
      <c r="T741" s="51"/>
      <c r="U741" s="51"/>
      <c r="V741" s="51"/>
      <c r="W741" s="51"/>
      <c r="X741" s="51"/>
      <c r="Y741" s="45"/>
      <c r="Z741" s="45"/>
      <c r="AA741" s="45"/>
      <c r="AB741" s="45"/>
      <c r="AC741" s="45"/>
      <c r="AD741" s="45"/>
      <c r="AE741" s="45"/>
      <c r="AF741" s="45"/>
      <c r="AG741" s="45"/>
      <c r="AH741" s="45"/>
      <c r="AI741" s="45"/>
      <c r="AJ741" s="45"/>
      <c r="AK741" s="45"/>
      <c r="AL741" s="45"/>
      <c r="AM741" s="45"/>
      <c r="AN741" s="45"/>
      <c r="AO741" s="45"/>
      <c r="AP741" s="45"/>
      <c r="AQ741" s="36"/>
      <c r="AR741" s="36"/>
      <c r="AS741" s="36"/>
      <c r="AT741" s="36"/>
      <c r="AU741" s="36"/>
      <c r="AV741" s="36"/>
      <c r="AW741" s="36"/>
      <c r="AX741" s="36"/>
      <c r="AY741" s="36"/>
      <c r="AZ741" s="36"/>
      <c r="BA741" s="36"/>
      <c r="BB741" s="36"/>
      <c r="BC741" s="36"/>
      <c r="BD741" s="36"/>
      <c r="BE741" s="36"/>
      <c r="BF741" s="36"/>
      <c r="BG741" s="36"/>
      <c r="BH741" s="36"/>
      <c r="BI741" s="36"/>
      <c r="BJ741" s="36"/>
      <c r="BK741" s="36"/>
      <c r="BL741" s="36"/>
      <c r="BM741" s="36"/>
      <c r="BN741" s="36"/>
      <c r="BO741" s="36"/>
      <c r="BP741" s="36"/>
      <c r="BQ741" s="36"/>
    </row>
    <row r="742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51"/>
      <c r="S742" s="51"/>
      <c r="T742" s="51"/>
      <c r="U742" s="51"/>
      <c r="V742" s="51"/>
      <c r="W742" s="51"/>
      <c r="X742" s="51"/>
      <c r="Y742" s="45"/>
      <c r="Z742" s="45"/>
      <c r="AA742" s="45"/>
      <c r="AB742" s="45"/>
      <c r="AC742" s="45"/>
      <c r="AD742" s="45"/>
      <c r="AE742" s="45"/>
      <c r="AF742" s="45"/>
      <c r="AG742" s="45"/>
      <c r="AH742" s="45"/>
      <c r="AI742" s="45"/>
      <c r="AJ742" s="45"/>
      <c r="AK742" s="45"/>
      <c r="AL742" s="45"/>
      <c r="AM742" s="45"/>
      <c r="AN742" s="45"/>
      <c r="AO742" s="45"/>
      <c r="AP742" s="45"/>
      <c r="AQ742" s="36"/>
      <c r="AR742" s="36"/>
      <c r="AS742" s="36"/>
      <c r="AT742" s="36"/>
      <c r="AU742" s="36"/>
      <c r="AV742" s="36"/>
      <c r="AW742" s="36"/>
      <c r="AX742" s="36"/>
      <c r="AY742" s="36"/>
      <c r="AZ742" s="36"/>
      <c r="BA742" s="36"/>
      <c r="BB742" s="36"/>
      <c r="BC742" s="36"/>
      <c r="BD742" s="36"/>
      <c r="BE742" s="36"/>
      <c r="BF742" s="36"/>
      <c r="BG742" s="36"/>
      <c r="BH742" s="36"/>
      <c r="BI742" s="36"/>
      <c r="BJ742" s="36"/>
      <c r="BK742" s="36"/>
      <c r="BL742" s="36"/>
      <c r="BM742" s="36"/>
      <c r="BN742" s="36"/>
      <c r="BO742" s="36"/>
      <c r="BP742" s="36"/>
      <c r="BQ742" s="36"/>
    </row>
    <row r="743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51"/>
      <c r="S743" s="51"/>
      <c r="T743" s="51"/>
      <c r="U743" s="51"/>
      <c r="V743" s="51"/>
      <c r="W743" s="51"/>
      <c r="X743" s="51"/>
      <c r="Y743" s="45"/>
      <c r="Z743" s="45"/>
      <c r="AA743" s="45"/>
      <c r="AB743" s="45"/>
      <c r="AC743" s="45"/>
      <c r="AD743" s="45"/>
      <c r="AE743" s="45"/>
      <c r="AF743" s="45"/>
      <c r="AG743" s="45"/>
      <c r="AH743" s="45"/>
      <c r="AI743" s="45"/>
      <c r="AJ743" s="45"/>
      <c r="AK743" s="45"/>
      <c r="AL743" s="45"/>
      <c r="AM743" s="45"/>
      <c r="AN743" s="45"/>
      <c r="AO743" s="45"/>
      <c r="AP743" s="45"/>
      <c r="AQ743" s="36"/>
      <c r="AR743" s="36"/>
      <c r="AS743" s="36"/>
      <c r="AT743" s="36"/>
      <c r="AU743" s="36"/>
      <c r="AV743" s="36"/>
      <c r="AW743" s="36"/>
      <c r="AX743" s="36"/>
      <c r="AY743" s="36"/>
      <c r="AZ743" s="36"/>
      <c r="BA743" s="36"/>
      <c r="BB743" s="36"/>
      <c r="BC743" s="36"/>
      <c r="BD743" s="36"/>
      <c r="BE743" s="36"/>
      <c r="BF743" s="36"/>
      <c r="BG743" s="36"/>
      <c r="BH743" s="36"/>
      <c r="BI743" s="36"/>
      <c r="BJ743" s="36"/>
      <c r="BK743" s="36"/>
      <c r="BL743" s="36"/>
      <c r="BM743" s="36"/>
      <c r="BN743" s="36"/>
      <c r="BO743" s="36"/>
      <c r="BP743" s="36"/>
      <c r="BQ743" s="36"/>
    </row>
    <row r="744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51"/>
      <c r="S744" s="51"/>
      <c r="T744" s="51"/>
      <c r="U744" s="51"/>
      <c r="V744" s="51"/>
      <c r="W744" s="51"/>
      <c r="X744" s="51"/>
      <c r="Y744" s="45"/>
      <c r="Z744" s="45"/>
      <c r="AA744" s="45"/>
      <c r="AB744" s="45"/>
      <c r="AC744" s="45"/>
      <c r="AD744" s="45"/>
      <c r="AE744" s="45"/>
      <c r="AF744" s="45"/>
      <c r="AG744" s="45"/>
      <c r="AH744" s="45"/>
      <c r="AI744" s="45"/>
      <c r="AJ744" s="45"/>
      <c r="AK744" s="45"/>
      <c r="AL744" s="45"/>
      <c r="AM744" s="45"/>
      <c r="AN744" s="45"/>
      <c r="AO744" s="45"/>
      <c r="AP744" s="45"/>
      <c r="AQ744" s="36"/>
      <c r="AR744" s="36"/>
      <c r="AS744" s="36"/>
      <c r="AT744" s="36"/>
      <c r="AU744" s="36"/>
      <c r="AV744" s="36"/>
      <c r="AW744" s="36"/>
      <c r="AX744" s="36"/>
      <c r="AY744" s="36"/>
      <c r="AZ744" s="36"/>
      <c r="BA744" s="36"/>
      <c r="BB744" s="36"/>
      <c r="BC744" s="36"/>
      <c r="BD744" s="36"/>
      <c r="BE744" s="36"/>
      <c r="BF744" s="36"/>
      <c r="BG744" s="36"/>
      <c r="BH744" s="36"/>
      <c r="BI744" s="36"/>
      <c r="BJ744" s="36"/>
      <c r="BK744" s="36"/>
      <c r="BL744" s="36"/>
      <c r="BM744" s="36"/>
      <c r="BN744" s="36"/>
      <c r="BO744" s="36"/>
      <c r="BP744" s="36"/>
      <c r="BQ744" s="36"/>
    </row>
    <row r="74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51"/>
      <c r="S745" s="51"/>
      <c r="T745" s="51"/>
      <c r="U745" s="51"/>
      <c r="V745" s="51"/>
      <c r="W745" s="51"/>
      <c r="X745" s="51"/>
      <c r="Y745" s="45"/>
      <c r="Z745" s="45"/>
      <c r="AA745" s="45"/>
      <c r="AB745" s="45"/>
      <c r="AC745" s="45"/>
      <c r="AD745" s="45"/>
      <c r="AE745" s="45"/>
      <c r="AF745" s="45"/>
      <c r="AG745" s="45"/>
      <c r="AH745" s="45"/>
      <c r="AI745" s="45"/>
      <c r="AJ745" s="45"/>
      <c r="AK745" s="45"/>
      <c r="AL745" s="45"/>
      <c r="AM745" s="45"/>
      <c r="AN745" s="45"/>
      <c r="AO745" s="45"/>
      <c r="AP745" s="45"/>
      <c r="AQ745" s="36"/>
      <c r="AR745" s="36"/>
      <c r="AS745" s="36"/>
      <c r="AT745" s="36"/>
      <c r="AU745" s="36"/>
      <c r="AV745" s="36"/>
      <c r="AW745" s="36"/>
      <c r="AX745" s="36"/>
      <c r="AY745" s="36"/>
      <c r="AZ745" s="36"/>
      <c r="BA745" s="36"/>
      <c r="BB745" s="36"/>
      <c r="BC745" s="36"/>
      <c r="BD745" s="36"/>
      <c r="BE745" s="36"/>
      <c r="BF745" s="36"/>
      <c r="BG745" s="36"/>
      <c r="BH745" s="36"/>
      <c r="BI745" s="36"/>
      <c r="BJ745" s="36"/>
      <c r="BK745" s="36"/>
      <c r="BL745" s="36"/>
      <c r="BM745" s="36"/>
      <c r="BN745" s="36"/>
      <c r="BO745" s="36"/>
      <c r="BP745" s="36"/>
      <c r="BQ745" s="36"/>
    </row>
    <row r="746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51"/>
      <c r="S746" s="51"/>
      <c r="T746" s="51"/>
      <c r="U746" s="51"/>
      <c r="V746" s="51"/>
      <c r="W746" s="51"/>
      <c r="X746" s="51"/>
      <c r="Y746" s="45"/>
      <c r="Z746" s="45"/>
      <c r="AA746" s="45"/>
      <c r="AB746" s="45"/>
      <c r="AC746" s="45"/>
      <c r="AD746" s="45"/>
      <c r="AE746" s="45"/>
      <c r="AF746" s="45"/>
      <c r="AG746" s="45"/>
      <c r="AH746" s="45"/>
      <c r="AI746" s="45"/>
      <c r="AJ746" s="45"/>
      <c r="AK746" s="45"/>
      <c r="AL746" s="45"/>
      <c r="AM746" s="45"/>
      <c r="AN746" s="45"/>
      <c r="AO746" s="45"/>
      <c r="AP746" s="45"/>
      <c r="AQ746" s="36"/>
      <c r="AR746" s="36"/>
      <c r="AS746" s="36"/>
      <c r="AT746" s="36"/>
      <c r="AU746" s="36"/>
      <c r="AV746" s="36"/>
      <c r="AW746" s="36"/>
      <c r="AX746" s="36"/>
      <c r="AY746" s="36"/>
      <c r="AZ746" s="36"/>
      <c r="BA746" s="36"/>
      <c r="BB746" s="36"/>
      <c r="BC746" s="36"/>
      <c r="BD746" s="36"/>
      <c r="BE746" s="36"/>
      <c r="BF746" s="36"/>
      <c r="BG746" s="36"/>
      <c r="BH746" s="36"/>
      <c r="BI746" s="36"/>
      <c r="BJ746" s="36"/>
      <c r="BK746" s="36"/>
      <c r="BL746" s="36"/>
      <c r="BM746" s="36"/>
      <c r="BN746" s="36"/>
      <c r="BO746" s="36"/>
      <c r="BP746" s="36"/>
      <c r="BQ746" s="36"/>
    </row>
    <row r="747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51"/>
      <c r="S747" s="51"/>
      <c r="T747" s="51"/>
      <c r="U747" s="51"/>
      <c r="V747" s="51"/>
      <c r="W747" s="51"/>
      <c r="X747" s="51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5"/>
      <c r="AM747" s="45"/>
      <c r="AN747" s="45"/>
      <c r="AO747" s="45"/>
      <c r="AP747" s="45"/>
      <c r="AQ747" s="36"/>
      <c r="AR747" s="36"/>
      <c r="AS747" s="36"/>
      <c r="AT747" s="36"/>
      <c r="AU747" s="36"/>
      <c r="AV747" s="36"/>
      <c r="AW747" s="36"/>
      <c r="AX747" s="36"/>
      <c r="AY747" s="36"/>
      <c r="AZ747" s="36"/>
      <c r="BA747" s="36"/>
      <c r="BB747" s="36"/>
      <c r="BC747" s="36"/>
      <c r="BD747" s="36"/>
      <c r="BE747" s="36"/>
      <c r="BF747" s="36"/>
      <c r="BG747" s="36"/>
      <c r="BH747" s="36"/>
      <c r="BI747" s="36"/>
      <c r="BJ747" s="36"/>
      <c r="BK747" s="36"/>
      <c r="BL747" s="36"/>
      <c r="BM747" s="36"/>
      <c r="BN747" s="36"/>
      <c r="BO747" s="36"/>
      <c r="BP747" s="36"/>
      <c r="BQ747" s="36"/>
    </row>
    <row r="748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51"/>
      <c r="S748" s="51"/>
      <c r="T748" s="51"/>
      <c r="U748" s="51"/>
      <c r="V748" s="51"/>
      <c r="W748" s="51"/>
      <c r="X748" s="51"/>
      <c r="Y748" s="45"/>
      <c r="Z748" s="45"/>
      <c r="AA748" s="45"/>
      <c r="AB748" s="45"/>
      <c r="AC748" s="45"/>
      <c r="AD748" s="45"/>
      <c r="AE748" s="45"/>
      <c r="AF748" s="45"/>
      <c r="AG748" s="45"/>
      <c r="AH748" s="45"/>
      <c r="AI748" s="45"/>
      <c r="AJ748" s="45"/>
      <c r="AK748" s="45"/>
      <c r="AL748" s="45"/>
      <c r="AM748" s="45"/>
      <c r="AN748" s="45"/>
      <c r="AO748" s="45"/>
      <c r="AP748" s="45"/>
      <c r="AQ748" s="36"/>
      <c r="AR748" s="36"/>
      <c r="AS748" s="36"/>
      <c r="AT748" s="36"/>
      <c r="AU748" s="36"/>
      <c r="AV748" s="36"/>
      <c r="AW748" s="36"/>
      <c r="AX748" s="36"/>
      <c r="AY748" s="36"/>
      <c r="AZ748" s="36"/>
      <c r="BA748" s="36"/>
      <c r="BB748" s="36"/>
      <c r="BC748" s="36"/>
      <c r="BD748" s="36"/>
      <c r="BE748" s="36"/>
      <c r="BF748" s="36"/>
      <c r="BG748" s="36"/>
      <c r="BH748" s="36"/>
      <c r="BI748" s="36"/>
      <c r="BJ748" s="36"/>
      <c r="BK748" s="36"/>
      <c r="BL748" s="36"/>
      <c r="BM748" s="36"/>
      <c r="BN748" s="36"/>
      <c r="BO748" s="36"/>
      <c r="BP748" s="36"/>
      <c r="BQ748" s="36"/>
    </row>
    <row r="749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51"/>
      <c r="S749" s="51"/>
      <c r="T749" s="51"/>
      <c r="U749" s="51"/>
      <c r="V749" s="51"/>
      <c r="W749" s="51"/>
      <c r="X749" s="51"/>
      <c r="Y749" s="45"/>
      <c r="Z749" s="45"/>
      <c r="AA749" s="45"/>
      <c r="AB749" s="45"/>
      <c r="AC749" s="45"/>
      <c r="AD749" s="45"/>
      <c r="AE749" s="45"/>
      <c r="AF749" s="45"/>
      <c r="AG749" s="45"/>
      <c r="AH749" s="45"/>
      <c r="AI749" s="45"/>
      <c r="AJ749" s="45"/>
      <c r="AK749" s="45"/>
      <c r="AL749" s="45"/>
      <c r="AM749" s="45"/>
      <c r="AN749" s="45"/>
      <c r="AO749" s="45"/>
      <c r="AP749" s="45"/>
      <c r="AQ749" s="36"/>
      <c r="AR749" s="36"/>
      <c r="AS749" s="36"/>
      <c r="AT749" s="36"/>
      <c r="AU749" s="36"/>
      <c r="AV749" s="36"/>
      <c r="AW749" s="36"/>
      <c r="AX749" s="36"/>
      <c r="AY749" s="36"/>
      <c r="AZ749" s="36"/>
      <c r="BA749" s="36"/>
      <c r="BB749" s="36"/>
      <c r="BC749" s="36"/>
      <c r="BD749" s="36"/>
      <c r="BE749" s="36"/>
      <c r="BF749" s="36"/>
      <c r="BG749" s="36"/>
      <c r="BH749" s="36"/>
      <c r="BI749" s="36"/>
      <c r="BJ749" s="36"/>
      <c r="BK749" s="36"/>
      <c r="BL749" s="36"/>
      <c r="BM749" s="36"/>
      <c r="BN749" s="36"/>
      <c r="BO749" s="36"/>
      <c r="BP749" s="36"/>
      <c r="BQ749" s="36"/>
    </row>
    <row r="750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51"/>
      <c r="S750" s="51"/>
      <c r="T750" s="51"/>
      <c r="U750" s="51"/>
      <c r="V750" s="51"/>
      <c r="W750" s="51"/>
      <c r="X750" s="51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5"/>
      <c r="AM750" s="45"/>
      <c r="AN750" s="45"/>
      <c r="AO750" s="45"/>
      <c r="AP750" s="45"/>
      <c r="AQ750" s="36"/>
      <c r="AR750" s="36"/>
      <c r="AS750" s="36"/>
      <c r="AT750" s="36"/>
      <c r="AU750" s="36"/>
      <c r="AV750" s="36"/>
      <c r="AW750" s="36"/>
      <c r="AX750" s="36"/>
      <c r="AY750" s="36"/>
      <c r="AZ750" s="36"/>
      <c r="BA750" s="36"/>
      <c r="BB750" s="36"/>
      <c r="BC750" s="36"/>
      <c r="BD750" s="36"/>
      <c r="BE750" s="36"/>
      <c r="BF750" s="36"/>
      <c r="BG750" s="36"/>
      <c r="BH750" s="36"/>
      <c r="BI750" s="36"/>
      <c r="BJ750" s="36"/>
      <c r="BK750" s="36"/>
      <c r="BL750" s="36"/>
      <c r="BM750" s="36"/>
      <c r="BN750" s="36"/>
      <c r="BO750" s="36"/>
      <c r="BP750" s="36"/>
      <c r="BQ750" s="36"/>
    </row>
    <row r="75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51"/>
      <c r="S751" s="51"/>
      <c r="T751" s="51"/>
      <c r="U751" s="51"/>
      <c r="V751" s="51"/>
      <c r="W751" s="51"/>
      <c r="X751" s="51"/>
      <c r="Y751" s="45"/>
      <c r="Z751" s="45"/>
      <c r="AA751" s="45"/>
      <c r="AB751" s="45"/>
      <c r="AC751" s="45"/>
      <c r="AD751" s="45"/>
      <c r="AE751" s="45"/>
      <c r="AF751" s="45"/>
      <c r="AG751" s="45"/>
      <c r="AH751" s="45"/>
      <c r="AI751" s="45"/>
      <c r="AJ751" s="45"/>
      <c r="AK751" s="45"/>
      <c r="AL751" s="45"/>
      <c r="AM751" s="45"/>
      <c r="AN751" s="45"/>
      <c r="AO751" s="45"/>
      <c r="AP751" s="45"/>
      <c r="AQ751" s="36"/>
      <c r="AR751" s="36"/>
      <c r="AS751" s="36"/>
      <c r="AT751" s="36"/>
      <c r="AU751" s="36"/>
      <c r="AV751" s="36"/>
      <c r="AW751" s="36"/>
      <c r="AX751" s="36"/>
      <c r="AY751" s="36"/>
      <c r="AZ751" s="36"/>
      <c r="BA751" s="36"/>
      <c r="BB751" s="36"/>
      <c r="BC751" s="36"/>
      <c r="BD751" s="36"/>
      <c r="BE751" s="36"/>
      <c r="BF751" s="36"/>
      <c r="BG751" s="36"/>
      <c r="BH751" s="36"/>
      <c r="BI751" s="36"/>
      <c r="BJ751" s="36"/>
      <c r="BK751" s="36"/>
      <c r="BL751" s="36"/>
      <c r="BM751" s="36"/>
      <c r="BN751" s="36"/>
      <c r="BO751" s="36"/>
      <c r="BP751" s="36"/>
      <c r="BQ751" s="36"/>
    </row>
    <row r="75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51"/>
      <c r="S752" s="51"/>
      <c r="T752" s="51"/>
      <c r="U752" s="51"/>
      <c r="V752" s="51"/>
      <c r="W752" s="51"/>
      <c r="X752" s="51"/>
      <c r="Y752" s="45"/>
      <c r="Z752" s="45"/>
      <c r="AA752" s="45"/>
      <c r="AB752" s="45"/>
      <c r="AC752" s="45"/>
      <c r="AD752" s="45"/>
      <c r="AE752" s="45"/>
      <c r="AF752" s="45"/>
      <c r="AG752" s="45"/>
      <c r="AH752" s="45"/>
      <c r="AI752" s="45"/>
      <c r="AJ752" s="45"/>
      <c r="AK752" s="45"/>
      <c r="AL752" s="45"/>
      <c r="AM752" s="45"/>
      <c r="AN752" s="45"/>
      <c r="AO752" s="45"/>
      <c r="AP752" s="45"/>
      <c r="AQ752" s="36"/>
      <c r="AR752" s="36"/>
      <c r="AS752" s="36"/>
      <c r="AT752" s="36"/>
      <c r="AU752" s="36"/>
      <c r="AV752" s="36"/>
      <c r="AW752" s="36"/>
      <c r="AX752" s="36"/>
      <c r="AY752" s="36"/>
      <c r="AZ752" s="36"/>
      <c r="BA752" s="36"/>
      <c r="BB752" s="36"/>
      <c r="BC752" s="36"/>
      <c r="BD752" s="36"/>
      <c r="BE752" s="36"/>
      <c r="BF752" s="36"/>
      <c r="BG752" s="36"/>
      <c r="BH752" s="36"/>
      <c r="BI752" s="36"/>
      <c r="BJ752" s="36"/>
      <c r="BK752" s="36"/>
      <c r="BL752" s="36"/>
      <c r="BM752" s="36"/>
      <c r="BN752" s="36"/>
      <c r="BO752" s="36"/>
      <c r="BP752" s="36"/>
      <c r="BQ752" s="36"/>
    </row>
    <row r="753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51"/>
      <c r="S753" s="51"/>
      <c r="T753" s="51"/>
      <c r="U753" s="51"/>
      <c r="V753" s="51"/>
      <c r="W753" s="51"/>
      <c r="X753" s="51"/>
      <c r="Y753" s="45"/>
      <c r="Z753" s="45"/>
      <c r="AA753" s="45"/>
      <c r="AB753" s="45"/>
      <c r="AC753" s="45"/>
      <c r="AD753" s="45"/>
      <c r="AE753" s="45"/>
      <c r="AF753" s="45"/>
      <c r="AG753" s="45"/>
      <c r="AH753" s="45"/>
      <c r="AI753" s="45"/>
      <c r="AJ753" s="45"/>
      <c r="AK753" s="45"/>
      <c r="AL753" s="45"/>
      <c r="AM753" s="45"/>
      <c r="AN753" s="45"/>
      <c r="AO753" s="45"/>
      <c r="AP753" s="45"/>
      <c r="AQ753" s="36"/>
      <c r="AR753" s="36"/>
      <c r="AS753" s="36"/>
      <c r="AT753" s="36"/>
      <c r="AU753" s="36"/>
      <c r="AV753" s="36"/>
      <c r="AW753" s="36"/>
      <c r="AX753" s="36"/>
      <c r="AY753" s="36"/>
      <c r="AZ753" s="36"/>
      <c r="BA753" s="36"/>
      <c r="BB753" s="36"/>
      <c r="BC753" s="36"/>
      <c r="BD753" s="36"/>
      <c r="BE753" s="36"/>
      <c r="BF753" s="36"/>
      <c r="BG753" s="36"/>
      <c r="BH753" s="36"/>
      <c r="BI753" s="36"/>
      <c r="BJ753" s="36"/>
      <c r="BK753" s="36"/>
      <c r="BL753" s="36"/>
      <c r="BM753" s="36"/>
      <c r="BN753" s="36"/>
      <c r="BO753" s="36"/>
      <c r="BP753" s="36"/>
      <c r="BQ753" s="36"/>
    </row>
    <row r="754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51"/>
      <c r="S754" s="51"/>
      <c r="T754" s="51"/>
      <c r="U754" s="51"/>
      <c r="V754" s="51"/>
      <c r="W754" s="51"/>
      <c r="X754" s="51"/>
      <c r="Y754" s="45"/>
      <c r="Z754" s="45"/>
      <c r="AA754" s="45"/>
      <c r="AB754" s="45"/>
      <c r="AC754" s="45"/>
      <c r="AD754" s="45"/>
      <c r="AE754" s="45"/>
      <c r="AF754" s="45"/>
      <c r="AG754" s="45"/>
      <c r="AH754" s="45"/>
      <c r="AI754" s="45"/>
      <c r="AJ754" s="45"/>
      <c r="AK754" s="45"/>
      <c r="AL754" s="45"/>
      <c r="AM754" s="45"/>
      <c r="AN754" s="45"/>
      <c r="AO754" s="45"/>
      <c r="AP754" s="45"/>
      <c r="AQ754" s="36"/>
      <c r="AR754" s="36"/>
      <c r="AS754" s="36"/>
      <c r="AT754" s="36"/>
      <c r="AU754" s="36"/>
      <c r="AV754" s="36"/>
      <c r="AW754" s="36"/>
      <c r="AX754" s="36"/>
      <c r="AY754" s="36"/>
      <c r="AZ754" s="36"/>
      <c r="BA754" s="36"/>
      <c r="BB754" s="36"/>
      <c r="BC754" s="36"/>
      <c r="BD754" s="36"/>
      <c r="BE754" s="36"/>
      <c r="BF754" s="36"/>
      <c r="BG754" s="36"/>
      <c r="BH754" s="36"/>
      <c r="BI754" s="36"/>
      <c r="BJ754" s="36"/>
      <c r="BK754" s="36"/>
      <c r="BL754" s="36"/>
      <c r="BM754" s="36"/>
      <c r="BN754" s="36"/>
      <c r="BO754" s="36"/>
      <c r="BP754" s="36"/>
      <c r="BQ754" s="36"/>
    </row>
    <row r="75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51"/>
      <c r="S755" s="51"/>
      <c r="T755" s="51"/>
      <c r="U755" s="51"/>
      <c r="V755" s="51"/>
      <c r="W755" s="51"/>
      <c r="X755" s="51"/>
      <c r="Y755" s="45"/>
      <c r="Z755" s="45"/>
      <c r="AA755" s="45"/>
      <c r="AB755" s="45"/>
      <c r="AC755" s="45"/>
      <c r="AD755" s="45"/>
      <c r="AE755" s="45"/>
      <c r="AF755" s="45"/>
      <c r="AG755" s="45"/>
      <c r="AH755" s="45"/>
      <c r="AI755" s="45"/>
      <c r="AJ755" s="45"/>
      <c r="AK755" s="45"/>
      <c r="AL755" s="45"/>
      <c r="AM755" s="45"/>
      <c r="AN755" s="45"/>
      <c r="AO755" s="45"/>
      <c r="AP755" s="45"/>
      <c r="AQ755" s="36"/>
      <c r="AR755" s="36"/>
      <c r="AS755" s="36"/>
      <c r="AT755" s="36"/>
      <c r="AU755" s="36"/>
      <c r="AV755" s="36"/>
      <c r="AW755" s="36"/>
      <c r="AX755" s="36"/>
      <c r="AY755" s="36"/>
      <c r="AZ755" s="36"/>
      <c r="BA755" s="36"/>
      <c r="BB755" s="36"/>
      <c r="BC755" s="36"/>
      <c r="BD755" s="36"/>
      <c r="BE755" s="36"/>
      <c r="BF755" s="36"/>
      <c r="BG755" s="36"/>
      <c r="BH755" s="36"/>
      <c r="BI755" s="36"/>
      <c r="BJ755" s="36"/>
      <c r="BK755" s="36"/>
      <c r="BL755" s="36"/>
      <c r="BM755" s="36"/>
      <c r="BN755" s="36"/>
      <c r="BO755" s="36"/>
      <c r="BP755" s="36"/>
      <c r="BQ755" s="36"/>
    </row>
    <row r="756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51"/>
      <c r="S756" s="51"/>
      <c r="T756" s="51"/>
      <c r="U756" s="51"/>
      <c r="V756" s="51"/>
      <c r="W756" s="51"/>
      <c r="X756" s="51"/>
      <c r="Y756" s="45"/>
      <c r="Z756" s="45"/>
      <c r="AA756" s="45"/>
      <c r="AB756" s="45"/>
      <c r="AC756" s="45"/>
      <c r="AD756" s="45"/>
      <c r="AE756" s="45"/>
      <c r="AF756" s="45"/>
      <c r="AG756" s="45"/>
      <c r="AH756" s="45"/>
      <c r="AI756" s="45"/>
      <c r="AJ756" s="45"/>
      <c r="AK756" s="45"/>
      <c r="AL756" s="45"/>
      <c r="AM756" s="45"/>
      <c r="AN756" s="45"/>
      <c r="AO756" s="45"/>
      <c r="AP756" s="45"/>
      <c r="AQ756" s="36"/>
      <c r="AR756" s="36"/>
      <c r="AS756" s="36"/>
      <c r="AT756" s="36"/>
      <c r="AU756" s="36"/>
      <c r="AV756" s="36"/>
      <c r="AW756" s="36"/>
      <c r="AX756" s="36"/>
      <c r="AY756" s="36"/>
      <c r="AZ756" s="36"/>
      <c r="BA756" s="36"/>
      <c r="BB756" s="36"/>
      <c r="BC756" s="36"/>
      <c r="BD756" s="36"/>
      <c r="BE756" s="36"/>
      <c r="BF756" s="36"/>
      <c r="BG756" s="36"/>
      <c r="BH756" s="36"/>
      <c r="BI756" s="36"/>
      <c r="BJ756" s="36"/>
      <c r="BK756" s="36"/>
      <c r="BL756" s="36"/>
      <c r="BM756" s="36"/>
      <c r="BN756" s="36"/>
      <c r="BO756" s="36"/>
      <c r="BP756" s="36"/>
      <c r="BQ756" s="36"/>
    </row>
    <row r="757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51"/>
      <c r="S757" s="51"/>
      <c r="T757" s="51"/>
      <c r="U757" s="51"/>
      <c r="V757" s="51"/>
      <c r="W757" s="51"/>
      <c r="X757" s="51"/>
      <c r="Y757" s="45"/>
      <c r="Z757" s="45"/>
      <c r="AA757" s="45"/>
      <c r="AB757" s="45"/>
      <c r="AC757" s="45"/>
      <c r="AD757" s="45"/>
      <c r="AE757" s="45"/>
      <c r="AF757" s="45"/>
      <c r="AG757" s="45"/>
      <c r="AH757" s="45"/>
      <c r="AI757" s="45"/>
      <c r="AJ757" s="45"/>
      <c r="AK757" s="45"/>
      <c r="AL757" s="45"/>
      <c r="AM757" s="45"/>
      <c r="AN757" s="45"/>
      <c r="AO757" s="45"/>
      <c r="AP757" s="45"/>
      <c r="AQ757" s="36"/>
      <c r="AR757" s="36"/>
      <c r="AS757" s="36"/>
      <c r="AT757" s="36"/>
      <c r="AU757" s="36"/>
      <c r="AV757" s="36"/>
      <c r="AW757" s="36"/>
      <c r="AX757" s="36"/>
      <c r="AY757" s="36"/>
      <c r="AZ757" s="36"/>
      <c r="BA757" s="36"/>
      <c r="BB757" s="36"/>
      <c r="BC757" s="36"/>
      <c r="BD757" s="36"/>
      <c r="BE757" s="36"/>
      <c r="BF757" s="36"/>
      <c r="BG757" s="36"/>
      <c r="BH757" s="36"/>
      <c r="BI757" s="36"/>
      <c r="BJ757" s="36"/>
      <c r="BK757" s="36"/>
      <c r="BL757" s="36"/>
      <c r="BM757" s="36"/>
      <c r="BN757" s="36"/>
      <c r="BO757" s="36"/>
      <c r="BP757" s="36"/>
      <c r="BQ757" s="36"/>
    </row>
    <row r="758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51"/>
      <c r="S758" s="51"/>
      <c r="T758" s="51"/>
      <c r="U758" s="51"/>
      <c r="V758" s="51"/>
      <c r="W758" s="51"/>
      <c r="X758" s="51"/>
      <c r="Y758" s="45"/>
      <c r="Z758" s="45"/>
      <c r="AA758" s="45"/>
      <c r="AB758" s="45"/>
      <c r="AC758" s="45"/>
      <c r="AD758" s="45"/>
      <c r="AE758" s="45"/>
      <c r="AF758" s="45"/>
      <c r="AG758" s="45"/>
      <c r="AH758" s="45"/>
      <c r="AI758" s="45"/>
      <c r="AJ758" s="45"/>
      <c r="AK758" s="45"/>
      <c r="AL758" s="45"/>
      <c r="AM758" s="45"/>
      <c r="AN758" s="45"/>
      <c r="AO758" s="45"/>
      <c r="AP758" s="45"/>
      <c r="AQ758" s="36"/>
      <c r="AR758" s="36"/>
      <c r="AS758" s="36"/>
      <c r="AT758" s="36"/>
      <c r="AU758" s="36"/>
      <c r="AV758" s="36"/>
      <c r="AW758" s="36"/>
      <c r="AX758" s="36"/>
      <c r="AY758" s="36"/>
      <c r="AZ758" s="36"/>
      <c r="BA758" s="36"/>
      <c r="BB758" s="36"/>
      <c r="BC758" s="36"/>
      <c r="BD758" s="36"/>
      <c r="BE758" s="36"/>
      <c r="BF758" s="36"/>
      <c r="BG758" s="36"/>
      <c r="BH758" s="36"/>
      <c r="BI758" s="36"/>
      <c r="BJ758" s="36"/>
      <c r="BK758" s="36"/>
      <c r="BL758" s="36"/>
      <c r="BM758" s="36"/>
      <c r="BN758" s="36"/>
      <c r="BO758" s="36"/>
      <c r="BP758" s="36"/>
      <c r="BQ758" s="36"/>
    </row>
    <row r="759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51"/>
      <c r="S759" s="51"/>
      <c r="T759" s="51"/>
      <c r="U759" s="51"/>
      <c r="V759" s="51"/>
      <c r="W759" s="51"/>
      <c r="X759" s="51"/>
      <c r="Y759" s="45"/>
      <c r="Z759" s="45"/>
      <c r="AA759" s="45"/>
      <c r="AB759" s="45"/>
      <c r="AC759" s="45"/>
      <c r="AD759" s="45"/>
      <c r="AE759" s="45"/>
      <c r="AF759" s="45"/>
      <c r="AG759" s="45"/>
      <c r="AH759" s="45"/>
      <c r="AI759" s="45"/>
      <c r="AJ759" s="45"/>
      <c r="AK759" s="45"/>
      <c r="AL759" s="45"/>
      <c r="AM759" s="45"/>
      <c r="AN759" s="45"/>
      <c r="AO759" s="45"/>
      <c r="AP759" s="45"/>
      <c r="AQ759" s="36"/>
      <c r="AR759" s="36"/>
      <c r="AS759" s="36"/>
      <c r="AT759" s="36"/>
      <c r="AU759" s="36"/>
      <c r="AV759" s="36"/>
      <c r="AW759" s="36"/>
      <c r="AX759" s="36"/>
      <c r="AY759" s="36"/>
      <c r="AZ759" s="36"/>
      <c r="BA759" s="36"/>
      <c r="BB759" s="36"/>
      <c r="BC759" s="36"/>
      <c r="BD759" s="36"/>
      <c r="BE759" s="36"/>
      <c r="BF759" s="36"/>
      <c r="BG759" s="36"/>
      <c r="BH759" s="36"/>
      <c r="BI759" s="36"/>
      <c r="BJ759" s="36"/>
      <c r="BK759" s="36"/>
      <c r="BL759" s="36"/>
      <c r="BM759" s="36"/>
      <c r="BN759" s="36"/>
      <c r="BO759" s="36"/>
      <c r="BP759" s="36"/>
      <c r="BQ759" s="36"/>
    </row>
    <row r="760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51"/>
      <c r="S760" s="51"/>
      <c r="T760" s="51"/>
      <c r="U760" s="51"/>
      <c r="V760" s="51"/>
      <c r="W760" s="51"/>
      <c r="X760" s="51"/>
      <c r="Y760" s="45"/>
      <c r="Z760" s="45"/>
      <c r="AA760" s="45"/>
      <c r="AB760" s="45"/>
      <c r="AC760" s="45"/>
      <c r="AD760" s="45"/>
      <c r="AE760" s="45"/>
      <c r="AF760" s="45"/>
      <c r="AG760" s="45"/>
      <c r="AH760" s="45"/>
      <c r="AI760" s="45"/>
      <c r="AJ760" s="45"/>
      <c r="AK760" s="45"/>
      <c r="AL760" s="45"/>
      <c r="AM760" s="45"/>
      <c r="AN760" s="45"/>
      <c r="AO760" s="45"/>
      <c r="AP760" s="45"/>
      <c r="AQ760" s="36"/>
      <c r="AR760" s="36"/>
      <c r="AS760" s="36"/>
      <c r="AT760" s="36"/>
      <c r="AU760" s="36"/>
      <c r="AV760" s="36"/>
      <c r="AW760" s="36"/>
      <c r="AX760" s="36"/>
      <c r="AY760" s="36"/>
      <c r="AZ760" s="36"/>
      <c r="BA760" s="36"/>
      <c r="BB760" s="36"/>
      <c r="BC760" s="36"/>
      <c r="BD760" s="36"/>
      <c r="BE760" s="36"/>
      <c r="BF760" s="36"/>
      <c r="BG760" s="36"/>
      <c r="BH760" s="36"/>
      <c r="BI760" s="36"/>
      <c r="BJ760" s="36"/>
      <c r="BK760" s="36"/>
      <c r="BL760" s="36"/>
      <c r="BM760" s="36"/>
      <c r="BN760" s="36"/>
      <c r="BO760" s="36"/>
      <c r="BP760" s="36"/>
      <c r="BQ760" s="36"/>
    </row>
    <row r="76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51"/>
      <c r="S761" s="51"/>
      <c r="T761" s="51"/>
      <c r="U761" s="51"/>
      <c r="V761" s="51"/>
      <c r="W761" s="51"/>
      <c r="X761" s="51"/>
      <c r="Y761" s="45"/>
      <c r="Z761" s="45"/>
      <c r="AA761" s="45"/>
      <c r="AB761" s="45"/>
      <c r="AC761" s="45"/>
      <c r="AD761" s="45"/>
      <c r="AE761" s="45"/>
      <c r="AF761" s="45"/>
      <c r="AG761" s="45"/>
      <c r="AH761" s="45"/>
      <c r="AI761" s="45"/>
      <c r="AJ761" s="45"/>
      <c r="AK761" s="45"/>
      <c r="AL761" s="45"/>
      <c r="AM761" s="45"/>
      <c r="AN761" s="45"/>
      <c r="AO761" s="45"/>
      <c r="AP761" s="45"/>
      <c r="AQ761" s="36"/>
      <c r="AR761" s="36"/>
      <c r="AS761" s="36"/>
      <c r="AT761" s="36"/>
      <c r="AU761" s="36"/>
      <c r="AV761" s="36"/>
      <c r="AW761" s="36"/>
      <c r="AX761" s="36"/>
      <c r="AY761" s="36"/>
      <c r="AZ761" s="36"/>
      <c r="BA761" s="36"/>
      <c r="BB761" s="36"/>
      <c r="BC761" s="36"/>
      <c r="BD761" s="36"/>
      <c r="BE761" s="36"/>
      <c r="BF761" s="36"/>
      <c r="BG761" s="36"/>
      <c r="BH761" s="36"/>
      <c r="BI761" s="36"/>
      <c r="BJ761" s="36"/>
      <c r="BK761" s="36"/>
      <c r="BL761" s="36"/>
      <c r="BM761" s="36"/>
      <c r="BN761" s="36"/>
      <c r="BO761" s="36"/>
      <c r="BP761" s="36"/>
      <c r="BQ761" s="36"/>
    </row>
    <row r="76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51"/>
      <c r="S762" s="51"/>
      <c r="T762" s="51"/>
      <c r="U762" s="51"/>
      <c r="V762" s="51"/>
      <c r="W762" s="51"/>
      <c r="X762" s="51"/>
      <c r="Y762" s="45"/>
      <c r="Z762" s="45"/>
      <c r="AA762" s="45"/>
      <c r="AB762" s="45"/>
      <c r="AC762" s="45"/>
      <c r="AD762" s="45"/>
      <c r="AE762" s="45"/>
      <c r="AF762" s="45"/>
      <c r="AG762" s="45"/>
      <c r="AH762" s="45"/>
      <c r="AI762" s="45"/>
      <c r="AJ762" s="45"/>
      <c r="AK762" s="45"/>
      <c r="AL762" s="45"/>
      <c r="AM762" s="45"/>
      <c r="AN762" s="45"/>
      <c r="AO762" s="45"/>
      <c r="AP762" s="45"/>
      <c r="AQ762" s="36"/>
      <c r="AR762" s="36"/>
      <c r="AS762" s="36"/>
      <c r="AT762" s="36"/>
      <c r="AU762" s="36"/>
      <c r="AV762" s="36"/>
      <c r="AW762" s="36"/>
      <c r="AX762" s="36"/>
      <c r="AY762" s="36"/>
      <c r="AZ762" s="36"/>
      <c r="BA762" s="36"/>
      <c r="BB762" s="36"/>
      <c r="BC762" s="36"/>
      <c r="BD762" s="36"/>
      <c r="BE762" s="36"/>
      <c r="BF762" s="36"/>
      <c r="BG762" s="36"/>
      <c r="BH762" s="36"/>
      <c r="BI762" s="36"/>
      <c r="BJ762" s="36"/>
      <c r="BK762" s="36"/>
      <c r="BL762" s="36"/>
      <c r="BM762" s="36"/>
      <c r="BN762" s="36"/>
      <c r="BO762" s="36"/>
      <c r="BP762" s="36"/>
      <c r="BQ762" s="36"/>
    </row>
    <row r="763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51"/>
      <c r="S763" s="51"/>
      <c r="T763" s="51"/>
      <c r="U763" s="51"/>
      <c r="V763" s="51"/>
      <c r="W763" s="51"/>
      <c r="X763" s="51"/>
      <c r="Y763" s="45"/>
      <c r="Z763" s="45"/>
      <c r="AA763" s="45"/>
      <c r="AB763" s="45"/>
      <c r="AC763" s="45"/>
      <c r="AD763" s="45"/>
      <c r="AE763" s="45"/>
      <c r="AF763" s="45"/>
      <c r="AG763" s="45"/>
      <c r="AH763" s="45"/>
      <c r="AI763" s="45"/>
      <c r="AJ763" s="45"/>
      <c r="AK763" s="45"/>
      <c r="AL763" s="45"/>
      <c r="AM763" s="45"/>
      <c r="AN763" s="45"/>
      <c r="AO763" s="45"/>
      <c r="AP763" s="45"/>
      <c r="AQ763" s="36"/>
      <c r="AR763" s="36"/>
      <c r="AS763" s="36"/>
      <c r="AT763" s="36"/>
      <c r="AU763" s="36"/>
      <c r="AV763" s="36"/>
      <c r="AW763" s="36"/>
      <c r="AX763" s="36"/>
      <c r="AY763" s="36"/>
      <c r="AZ763" s="36"/>
      <c r="BA763" s="36"/>
      <c r="BB763" s="36"/>
      <c r="BC763" s="36"/>
      <c r="BD763" s="36"/>
      <c r="BE763" s="36"/>
      <c r="BF763" s="36"/>
      <c r="BG763" s="36"/>
      <c r="BH763" s="36"/>
      <c r="BI763" s="36"/>
      <c r="BJ763" s="36"/>
      <c r="BK763" s="36"/>
      <c r="BL763" s="36"/>
      <c r="BM763" s="36"/>
      <c r="BN763" s="36"/>
      <c r="BO763" s="36"/>
      <c r="BP763" s="36"/>
      <c r="BQ763" s="36"/>
    </row>
    <row r="764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51"/>
      <c r="S764" s="51"/>
      <c r="T764" s="51"/>
      <c r="U764" s="51"/>
      <c r="V764" s="51"/>
      <c r="W764" s="51"/>
      <c r="X764" s="51"/>
      <c r="Y764" s="45"/>
      <c r="Z764" s="45"/>
      <c r="AA764" s="45"/>
      <c r="AB764" s="45"/>
      <c r="AC764" s="45"/>
      <c r="AD764" s="45"/>
      <c r="AE764" s="45"/>
      <c r="AF764" s="45"/>
      <c r="AG764" s="45"/>
      <c r="AH764" s="45"/>
      <c r="AI764" s="45"/>
      <c r="AJ764" s="45"/>
      <c r="AK764" s="45"/>
      <c r="AL764" s="45"/>
      <c r="AM764" s="45"/>
      <c r="AN764" s="45"/>
      <c r="AO764" s="45"/>
      <c r="AP764" s="45"/>
      <c r="AQ764" s="36"/>
      <c r="AR764" s="36"/>
      <c r="AS764" s="36"/>
      <c r="AT764" s="36"/>
      <c r="AU764" s="36"/>
      <c r="AV764" s="36"/>
      <c r="AW764" s="36"/>
      <c r="AX764" s="36"/>
      <c r="AY764" s="36"/>
      <c r="AZ764" s="36"/>
      <c r="BA764" s="36"/>
      <c r="BB764" s="36"/>
      <c r="BC764" s="36"/>
      <c r="BD764" s="36"/>
      <c r="BE764" s="36"/>
      <c r="BF764" s="36"/>
      <c r="BG764" s="36"/>
      <c r="BH764" s="36"/>
      <c r="BI764" s="36"/>
      <c r="BJ764" s="36"/>
      <c r="BK764" s="36"/>
      <c r="BL764" s="36"/>
      <c r="BM764" s="36"/>
      <c r="BN764" s="36"/>
      <c r="BO764" s="36"/>
      <c r="BP764" s="36"/>
      <c r="BQ764" s="36"/>
    </row>
    <row r="76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51"/>
      <c r="S765" s="51"/>
      <c r="T765" s="51"/>
      <c r="U765" s="51"/>
      <c r="V765" s="51"/>
      <c r="W765" s="51"/>
      <c r="X765" s="51"/>
      <c r="Y765" s="45"/>
      <c r="Z765" s="45"/>
      <c r="AA765" s="45"/>
      <c r="AB765" s="45"/>
      <c r="AC765" s="45"/>
      <c r="AD765" s="45"/>
      <c r="AE765" s="45"/>
      <c r="AF765" s="45"/>
      <c r="AG765" s="45"/>
      <c r="AH765" s="45"/>
      <c r="AI765" s="45"/>
      <c r="AJ765" s="45"/>
      <c r="AK765" s="45"/>
      <c r="AL765" s="45"/>
      <c r="AM765" s="45"/>
      <c r="AN765" s="45"/>
      <c r="AO765" s="45"/>
      <c r="AP765" s="45"/>
      <c r="AQ765" s="36"/>
      <c r="AR765" s="36"/>
      <c r="AS765" s="36"/>
      <c r="AT765" s="36"/>
      <c r="AU765" s="36"/>
      <c r="AV765" s="36"/>
      <c r="AW765" s="36"/>
      <c r="AX765" s="36"/>
      <c r="AY765" s="36"/>
      <c r="AZ765" s="36"/>
      <c r="BA765" s="36"/>
      <c r="BB765" s="36"/>
      <c r="BC765" s="36"/>
      <c r="BD765" s="36"/>
      <c r="BE765" s="36"/>
      <c r="BF765" s="36"/>
      <c r="BG765" s="36"/>
      <c r="BH765" s="36"/>
      <c r="BI765" s="36"/>
      <c r="BJ765" s="36"/>
      <c r="BK765" s="36"/>
      <c r="BL765" s="36"/>
      <c r="BM765" s="36"/>
      <c r="BN765" s="36"/>
      <c r="BO765" s="36"/>
      <c r="BP765" s="36"/>
      <c r="BQ765" s="36"/>
    </row>
    <row r="766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51"/>
      <c r="S766" s="51"/>
      <c r="T766" s="51"/>
      <c r="U766" s="51"/>
      <c r="V766" s="51"/>
      <c r="W766" s="51"/>
      <c r="X766" s="51"/>
      <c r="Y766" s="45"/>
      <c r="Z766" s="45"/>
      <c r="AA766" s="45"/>
      <c r="AB766" s="45"/>
      <c r="AC766" s="45"/>
      <c r="AD766" s="45"/>
      <c r="AE766" s="45"/>
      <c r="AF766" s="45"/>
      <c r="AG766" s="45"/>
      <c r="AH766" s="45"/>
      <c r="AI766" s="45"/>
      <c r="AJ766" s="45"/>
      <c r="AK766" s="45"/>
      <c r="AL766" s="45"/>
      <c r="AM766" s="45"/>
      <c r="AN766" s="45"/>
      <c r="AO766" s="45"/>
      <c r="AP766" s="45"/>
      <c r="AQ766" s="36"/>
      <c r="AR766" s="36"/>
      <c r="AS766" s="36"/>
      <c r="AT766" s="36"/>
      <c r="AU766" s="36"/>
      <c r="AV766" s="36"/>
      <c r="AW766" s="36"/>
      <c r="AX766" s="36"/>
      <c r="AY766" s="36"/>
      <c r="AZ766" s="36"/>
      <c r="BA766" s="36"/>
      <c r="BB766" s="36"/>
      <c r="BC766" s="36"/>
      <c r="BD766" s="36"/>
      <c r="BE766" s="36"/>
      <c r="BF766" s="36"/>
      <c r="BG766" s="36"/>
      <c r="BH766" s="36"/>
      <c r="BI766" s="36"/>
      <c r="BJ766" s="36"/>
      <c r="BK766" s="36"/>
      <c r="BL766" s="36"/>
      <c r="BM766" s="36"/>
      <c r="BN766" s="36"/>
      <c r="BO766" s="36"/>
      <c r="BP766" s="36"/>
      <c r="BQ766" s="36"/>
    </row>
    <row r="767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51"/>
      <c r="S767" s="51"/>
      <c r="T767" s="51"/>
      <c r="U767" s="51"/>
      <c r="V767" s="51"/>
      <c r="W767" s="51"/>
      <c r="X767" s="51"/>
      <c r="Y767" s="45"/>
      <c r="Z767" s="45"/>
      <c r="AA767" s="45"/>
      <c r="AB767" s="45"/>
      <c r="AC767" s="45"/>
      <c r="AD767" s="45"/>
      <c r="AE767" s="45"/>
      <c r="AF767" s="45"/>
      <c r="AG767" s="45"/>
      <c r="AH767" s="45"/>
      <c r="AI767" s="45"/>
      <c r="AJ767" s="45"/>
      <c r="AK767" s="45"/>
      <c r="AL767" s="45"/>
      <c r="AM767" s="45"/>
      <c r="AN767" s="45"/>
      <c r="AO767" s="45"/>
      <c r="AP767" s="45"/>
      <c r="AQ767" s="36"/>
      <c r="AR767" s="36"/>
      <c r="AS767" s="36"/>
      <c r="AT767" s="36"/>
      <c r="AU767" s="36"/>
      <c r="AV767" s="36"/>
      <c r="AW767" s="36"/>
      <c r="AX767" s="36"/>
      <c r="AY767" s="36"/>
      <c r="AZ767" s="36"/>
      <c r="BA767" s="36"/>
      <c r="BB767" s="36"/>
      <c r="BC767" s="36"/>
      <c r="BD767" s="36"/>
      <c r="BE767" s="36"/>
      <c r="BF767" s="36"/>
      <c r="BG767" s="36"/>
      <c r="BH767" s="36"/>
      <c r="BI767" s="36"/>
      <c r="BJ767" s="36"/>
      <c r="BK767" s="36"/>
      <c r="BL767" s="36"/>
      <c r="BM767" s="36"/>
      <c r="BN767" s="36"/>
      <c r="BO767" s="36"/>
      <c r="BP767" s="36"/>
      <c r="BQ767" s="36"/>
    </row>
    <row r="768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51"/>
      <c r="S768" s="51"/>
      <c r="T768" s="51"/>
      <c r="U768" s="51"/>
      <c r="V768" s="51"/>
      <c r="W768" s="51"/>
      <c r="X768" s="51"/>
      <c r="Y768" s="45"/>
      <c r="Z768" s="45"/>
      <c r="AA768" s="45"/>
      <c r="AB768" s="45"/>
      <c r="AC768" s="45"/>
      <c r="AD768" s="45"/>
      <c r="AE768" s="45"/>
      <c r="AF768" s="45"/>
      <c r="AG768" s="45"/>
      <c r="AH768" s="45"/>
      <c r="AI768" s="45"/>
      <c r="AJ768" s="45"/>
      <c r="AK768" s="45"/>
      <c r="AL768" s="45"/>
      <c r="AM768" s="45"/>
      <c r="AN768" s="45"/>
      <c r="AO768" s="45"/>
      <c r="AP768" s="45"/>
      <c r="AQ768" s="36"/>
      <c r="AR768" s="36"/>
      <c r="AS768" s="36"/>
      <c r="AT768" s="36"/>
      <c r="AU768" s="36"/>
      <c r="AV768" s="36"/>
      <c r="AW768" s="36"/>
      <c r="AX768" s="36"/>
      <c r="AY768" s="36"/>
      <c r="AZ768" s="36"/>
      <c r="BA768" s="36"/>
      <c r="BB768" s="36"/>
      <c r="BC768" s="36"/>
      <c r="BD768" s="36"/>
      <c r="BE768" s="36"/>
      <c r="BF768" s="36"/>
      <c r="BG768" s="36"/>
      <c r="BH768" s="36"/>
      <c r="BI768" s="36"/>
      <c r="BJ768" s="36"/>
      <c r="BK768" s="36"/>
      <c r="BL768" s="36"/>
      <c r="BM768" s="36"/>
      <c r="BN768" s="36"/>
      <c r="BO768" s="36"/>
      <c r="BP768" s="36"/>
      <c r="BQ768" s="36"/>
    </row>
    <row r="769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51"/>
      <c r="S769" s="51"/>
      <c r="T769" s="51"/>
      <c r="U769" s="51"/>
      <c r="V769" s="51"/>
      <c r="W769" s="51"/>
      <c r="X769" s="51"/>
      <c r="Y769" s="45"/>
      <c r="Z769" s="45"/>
      <c r="AA769" s="45"/>
      <c r="AB769" s="45"/>
      <c r="AC769" s="45"/>
      <c r="AD769" s="45"/>
      <c r="AE769" s="45"/>
      <c r="AF769" s="45"/>
      <c r="AG769" s="45"/>
      <c r="AH769" s="45"/>
      <c r="AI769" s="45"/>
      <c r="AJ769" s="45"/>
      <c r="AK769" s="45"/>
      <c r="AL769" s="45"/>
      <c r="AM769" s="45"/>
      <c r="AN769" s="45"/>
      <c r="AO769" s="45"/>
      <c r="AP769" s="45"/>
      <c r="AQ769" s="36"/>
      <c r="AR769" s="36"/>
      <c r="AS769" s="36"/>
      <c r="AT769" s="36"/>
      <c r="AU769" s="36"/>
      <c r="AV769" s="36"/>
      <c r="AW769" s="36"/>
      <c r="AX769" s="36"/>
      <c r="AY769" s="36"/>
      <c r="AZ769" s="36"/>
      <c r="BA769" s="36"/>
      <c r="BB769" s="36"/>
      <c r="BC769" s="36"/>
      <c r="BD769" s="36"/>
      <c r="BE769" s="36"/>
      <c r="BF769" s="36"/>
      <c r="BG769" s="36"/>
      <c r="BH769" s="36"/>
      <c r="BI769" s="36"/>
      <c r="BJ769" s="36"/>
      <c r="BK769" s="36"/>
      <c r="BL769" s="36"/>
      <c r="BM769" s="36"/>
      <c r="BN769" s="36"/>
      <c r="BO769" s="36"/>
      <c r="BP769" s="36"/>
      <c r="BQ769" s="36"/>
    </row>
    <row r="770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51"/>
      <c r="S770" s="51"/>
      <c r="T770" s="51"/>
      <c r="U770" s="51"/>
      <c r="V770" s="51"/>
      <c r="W770" s="51"/>
      <c r="X770" s="51"/>
      <c r="Y770" s="45"/>
      <c r="Z770" s="45"/>
      <c r="AA770" s="45"/>
      <c r="AB770" s="45"/>
      <c r="AC770" s="45"/>
      <c r="AD770" s="45"/>
      <c r="AE770" s="45"/>
      <c r="AF770" s="45"/>
      <c r="AG770" s="45"/>
      <c r="AH770" s="45"/>
      <c r="AI770" s="45"/>
      <c r="AJ770" s="45"/>
      <c r="AK770" s="45"/>
      <c r="AL770" s="45"/>
      <c r="AM770" s="45"/>
      <c r="AN770" s="45"/>
      <c r="AO770" s="45"/>
      <c r="AP770" s="45"/>
      <c r="AQ770" s="36"/>
      <c r="AR770" s="36"/>
      <c r="AS770" s="36"/>
      <c r="AT770" s="36"/>
      <c r="AU770" s="36"/>
      <c r="AV770" s="36"/>
      <c r="AW770" s="36"/>
      <c r="AX770" s="36"/>
      <c r="AY770" s="36"/>
      <c r="AZ770" s="36"/>
      <c r="BA770" s="36"/>
      <c r="BB770" s="36"/>
      <c r="BC770" s="36"/>
      <c r="BD770" s="36"/>
      <c r="BE770" s="36"/>
      <c r="BF770" s="36"/>
      <c r="BG770" s="36"/>
      <c r="BH770" s="36"/>
      <c r="BI770" s="36"/>
      <c r="BJ770" s="36"/>
      <c r="BK770" s="36"/>
      <c r="BL770" s="36"/>
      <c r="BM770" s="36"/>
      <c r="BN770" s="36"/>
      <c r="BO770" s="36"/>
      <c r="BP770" s="36"/>
      <c r="BQ770" s="36"/>
    </row>
    <row r="77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51"/>
      <c r="S771" s="51"/>
      <c r="T771" s="51"/>
      <c r="U771" s="51"/>
      <c r="V771" s="51"/>
      <c r="W771" s="51"/>
      <c r="X771" s="51"/>
      <c r="Y771" s="45"/>
      <c r="Z771" s="45"/>
      <c r="AA771" s="45"/>
      <c r="AB771" s="45"/>
      <c r="AC771" s="45"/>
      <c r="AD771" s="45"/>
      <c r="AE771" s="45"/>
      <c r="AF771" s="45"/>
      <c r="AG771" s="45"/>
      <c r="AH771" s="45"/>
      <c r="AI771" s="45"/>
      <c r="AJ771" s="45"/>
      <c r="AK771" s="45"/>
      <c r="AL771" s="45"/>
      <c r="AM771" s="45"/>
      <c r="AN771" s="45"/>
      <c r="AO771" s="45"/>
      <c r="AP771" s="45"/>
      <c r="AQ771" s="36"/>
      <c r="AR771" s="36"/>
      <c r="AS771" s="36"/>
      <c r="AT771" s="36"/>
      <c r="AU771" s="36"/>
      <c r="AV771" s="36"/>
      <c r="AW771" s="36"/>
      <c r="AX771" s="36"/>
      <c r="AY771" s="36"/>
      <c r="AZ771" s="36"/>
      <c r="BA771" s="36"/>
      <c r="BB771" s="36"/>
      <c r="BC771" s="36"/>
      <c r="BD771" s="36"/>
      <c r="BE771" s="36"/>
      <c r="BF771" s="36"/>
      <c r="BG771" s="36"/>
      <c r="BH771" s="36"/>
      <c r="BI771" s="36"/>
      <c r="BJ771" s="36"/>
      <c r="BK771" s="36"/>
      <c r="BL771" s="36"/>
      <c r="BM771" s="36"/>
      <c r="BN771" s="36"/>
      <c r="BO771" s="36"/>
      <c r="BP771" s="36"/>
      <c r="BQ771" s="36"/>
    </row>
    <row r="77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51"/>
      <c r="S772" s="51"/>
      <c r="T772" s="51"/>
      <c r="U772" s="51"/>
      <c r="V772" s="51"/>
      <c r="W772" s="51"/>
      <c r="X772" s="51"/>
      <c r="Y772" s="45"/>
      <c r="Z772" s="45"/>
      <c r="AA772" s="45"/>
      <c r="AB772" s="45"/>
      <c r="AC772" s="45"/>
      <c r="AD772" s="45"/>
      <c r="AE772" s="45"/>
      <c r="AF772" s="45"/>
      <c r="AG772" s="45"/>
      <c r="AH772" s="45"/>
      <c r="AI772" s="45"/>
      <c r="AJ772" s="45"/>
      <c r="AK772" s="45"/>
      <c r="AL772" s="45"/>
      <c r="AM772" s="45"/>
      <c r="AN772" s="45"/>
      <c r="AO772" s="45"/>
      <c r="AP772" s="45"/>
      <c r="AQ772" s="36"/>
      <c r="AR772" s="36"/>
      <c r="AS772" s="36"/>
      <c r="AT772" s="36"/>
      <c r="AU772" s="36"/>
      <c r="AV772" s="36"/>
      <c r="AW772" s="36"/>
      <c r="AX772" s="36"/>
      <c r="AY772" s="36"/>
      <c r="AZ772" s="36"/>
      <c r="BA772" s="36"/>
      <c r="BB772" s="36"/>
      <c r="BC772" s="36"/>
      <c r="BD772" s="36"/>
      <c r="BE772" s="36"/>
      <c r="BF772" s="36"/>
      <c r="BG772" s="36"/>
      <c r="BH772" s="36"/>
      <c r="BI772" s="36"/>
      <c r="BJ772" s="36"/>
      <c r="BK772" s="36"/>
      <c r="BL772" s="36"/>
      <c r="BM772" s="36"/>
      <c r="BN772" s="36"/>
      <c r="BO772" s="36"/>
      <c r="BP772" s="36"/>
      <c r="BQ772" s="36"/>
    </row>
    <row r="773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51"/>
      <c r="S773" s="51"/>
      <c r="T773" s="51"/>
      <c r="U773" s="51"/>
      <c r="V773" s="51"/>
      <c r="W773" s="51"/>
      <c r="X773" s="51"/>
      <c r="Y773" s="45"/>
      <c r="Z773" s="45"/>
      <c r="AA773" s="45"/>
      <c r="AB773" s="45"/>
      <c r="AC773" s="45"/>
      <c r="AD773" s="45"/>
      <c r="AE773" s="45"/>
      <c r="AF773" s="45"/>
      <c r="AG773" s="45"/>
      <c r="AH773" s="45"/>
      <c r="AI773" s="45"/>
      <c r="AJ773" s="45"/>
      <c r="AK773" s="45"/>
      <c r="AL773" s="45"/>
      <c r="AM773" s="45"/>
      <c r="AN773" s="45"/>
      <c r="AO773" s="45"/>
      <c r="AP773" s="45"/>
      <c r="AQ773" s="36"/>
      <c r="AR773" s="36"/>
      <c r="AS773" s="36"/>
      <c r="AT773" s="36"/>
      <c r="AU773" s="36"/>
      <c r="AV773" s="36"/>
      <c r="AW773" s="36"/>
      <c r="AX773" s="36"/>
      <c r="AY773" s="36"/>
      <c r="AZ773" s="36"/>
      <c r="BA773" s="36"/>
      <c r="BB773" s="36"/>
      <c r="BC773" s="36"/>
      <c r="BD773" s="36"/>
      <c r="BE773" s="36"/>
      <c r="BF773" s="36"/>
      <c r="BG773" s="36"/>
      <c r="BH773" s="36"/>
      <c r="BI773" s="36"/>
      <c r="BJ773" s="36"/>
      <c r="BK773" s="36"/>
      <c r="BL773" s="36"/>
      <c r="BM773" s="36"/>
      <c r="BN773" s="36"/>
      <c r="BO773" s="36"/>
      <c r="BP773" s="36"/>
      <c r="BQ773" s="36"/>
    </row>
    <row r="774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51"/>
      <c r="S774" s="51"/>
      <c r="T774" s="51"/>
      <c r="U774" s="51"/>
      <c r="V774" s="51"/>
      <c r="W774" s="51"/>
      <c r="X774" s="51"/>
      <c r="Y774" s="45"/>
      <c r="Z774" s="45"/>
      <c r="AA774" s="45"/>
      <c r="AB774" s="45"/>
      <c r="AC774" s="45"/>
      <c r="AD774" s="45"/>
      <c r="AE774" s="45"/>
      <c r="AF774" s="45"/>
      <c r="AG774" s="45"/>
      <c r="AH774" s="45"/>
      <c r="AI774" s="45"/>
      <c r="AJ774" s="45"/>
      <c r="AK774" s="45"/>
      <c r="AL774" s="45"/>
      <c r="AM774" s="45"/>
      <c r="AN774" s="45"/>
      <c r="AO774" s="45"/>
      <c r="AP774" s="45"/>
      <c r="AQ774" s="36"/>
      <c r="AR774" s="36"/>
      <c r="AS774" s="36"/>
      <c r="AT774" s="36"/>
      <c r="AU774" s="36"/>
      <c r="AV774" s="36"/>
      <c r="AW774" s="36"/>
      <c r="AX774" s="36"/>
      <c r="AY774" s="36"/>
      <c r="AZ774" s="36"/>
      <c r="BA774" s="36"/>
      <c r="BB774" s="36"/>
      <c r="BC774" s="36"/>
      <c r="BD774" s="36"/>
      <c r="BE774" s="36"/>
      <c r="BF774" s="36"/>
      <c r="BG774" s="36"/>
      <c r="BH774" s="36"/>
      <c r="BI774" s="36"/>
      <c r="BJ774" s="36"/>
      <c r="BK774" s="36"/>
      <c r="BL774" s="36"/>
      <c r="BM774" s="36"/>
      <c r="BN774" s="36"/>
      <c r="BO774" s="36"/>
      <c r="BP774" s="36"/>
      <c r="BQ774" s="36"/>
    </row>
    <row r="77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51"/>
      <c r="S775" s="51"/>
      <c r="T775" s="51"/>
      <c r="U775" s="51"/>
      <c r="V775" s="51"/>
      <c r="W775" s="51"/>
      <c r="X775" s="51"/>
      <c r="Y775" s="45"/>
      <c r="Z775" s="45"/>
      <c r="AA775" s="45"/>
      <c r="AB775" s="45"/>
      <c r="AC775" s="45"/>
      <c r="AD775" s="45"/>
      <c r="AE775" s="45"/>
      <c r="AF775" s="45"/>
      <c r="AG775" s="45"/>
      <c r="AH775" s="45"/>
      <c r="AI775" s="45"/>
      <c r="AJ775" s="45"/>
      <c r="AK775" s="45"/>
      <c r="AL775" s="45"/>
      <c r="AM775" s="45"/>
      <c r="AN775" s="45"/>
      <c r="AO775" s="45"/>
      <c r="AP775" s="45"/>
      <c r="AQ775" s="36"/>
      <c r="AR775" s="36"/>
      <c r="AS775" s="36"/>
      <c r="AT775" s="36"/>
      <c r="AU775" s="36"/>
      <c r="AV775" s="36"/>
      <c r="AW775" s="36"/>
      <c r="AX775" s="36"/>
      <c r="AY775" s="36"/>
      <c r="AZ775" s="36"/>
      <c r="BA775" s="36"/>
      <c r="BB775" s="36"/>
      <c r="BC775" s="36"/>
      <c r="BD775" s="36"/>
      <c r="BE775" s="36"/>
      <c r="BF775" s="36"/>
      <c r="BG775" s="36"/>
      <c r="BH775" s="36"/>
      <c r="BI775" s="36"/>
      <c r="BJ775" s="36"/>
      <c r="BK775" s="36"/>
      <c r="BL775" s="36"/>
      <c r="BM775" s="36"/>
      <c r="BN775" s="36"/>
      <c r="BO775" s="36"/>
      <c r="BP775" s="36"/>
      <c r="BQ775" s="36"/>
    </row>
    <row r="776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51"/>
      <c r="S776" s="51"/>
      <c r="T776" s="51"/>
      <c r="U776" s="51"/>
      <c r="V776" s="51"/>
      <c r="W776" s="51"/>
      <c r="X776" s="51"/>
      <c r="Y776" s="45"/>
      <c r="Z776" s="45"/>
      <c r="AA776" s="45"/>
      <c r="AB776" s="45"/>
      <c r="AC776" s="45"/>
      <c r="AD776" s="45"/>
      <c r="AE776" s="45"/>
      <c r="AF776" s="45"/>
      <c r="AG776" s="45"/>
      <c r="AH776" s="45"/>
      <c r="AI776" s="45"/>
      <c r="AJ776" s="45"/>
      <c r="AK776" s="45"/>
      <c r="AL776" s="45"/>
      <c r="AM776" s="45"/>
      <c r="AN776" s="45"/>
      <c r="AO776" s="45"/>
      <c r="AP776" s="45"/>
      <c r="AQ776" s="36"/>
      <c r="AR776" s="36"/>
      <c r="AS776" s="36"/>
      <c r="AT776" s="36"/>
      <c r="AU776" s="36"/>
      <c r="AV776" s="36"/>
      <c r="AW776" s="36"/>
      <c r="AX776" s="36"/>
      <c r="AY776" s="36"/>
      <c r="AZ776" s="36"/>
      <c r="BA776" s="36"/>
      <c r="BB776" s="36"/>
      <c r="BC776" s="36"/>
      <c r="BD776" s="36"/>
      <c r="BE776" s="36"/>
      <c r="BF776" s="36"/>
      <c r="BG776" s="36"/>
      <c r="BH776" s="36"/>
      <c r="BI776" s="36"/>
      <c r="BJ776" s="36"/>
      <c r="BK776" s="36"/>
      <c r="BL776" s="36"/>
      <c r="BM776" s="36"/>
      <c r="BN776" s="36"/>
      <c r="BO776" s="36"/>
      <c r="BP776" s="36"/>
      <c r="BQ776" s="36"/>
    </row>
    <row r="777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51"/>
      <c r="S777" s="51"/>
      <c r="T777" s="51"/>
      <c r="U777" s="51"/>
      <c r="V777" s="51"/>
      <c r="W777" s="51"/>
      <c r="X777" s="51"/>
      <c r="Y777" s="45"/>
      <c r="Z777" s="45"/>
      <c r="AA777" s="45"/>
      <c r="AB777" s="45"/>
      <c r="AC777" s="45"/>
      <c r="AD777" s="45"/>
      <c r="AE777" s="45"/>
      <c r="AF777" s="45"/>
      <c r="AG777" s="45"/>
      <c r="AH777" s="45"/>
      <c r="AI777" s="45"/>
      <c r="AJ777" s="45"/>
      <c r="AK777" s="45"/>
      <c r="AL777" s="45"/>
      <c r="AM777" s="45"/>
      <c r="AN777" s="45"/>
      <c r="AO777" s="45"/>
      <c r="AP777" s="45"/>
      <c r="AQ777" s="36"/>
      <c r="AR777" s="36"/>
      <c r="AS777" s="36"/>
      <c r="AT777" s="36"/>
      <c r="AU777" s="36"/>
      <c r="AV777" s="36"/>
      <c r="AW777" s="36"/>
      <c r="AX777" s="36"/>
      <c r="AY777" s="36"/>
      <c r="AZ777" s="36"/>
      <c r="BA777" s="36"/>
      <c r="BB777" s="36"/>
      <c r="BC777" s="36"/>
      <c r="BD777" s="36"/>
      <c r="BE777" s="36"/>
      <c r="BF777" s="36"/>
      <c r="BG777" s="36"/>
      <c r="BH777" s="36"/>
      <c r="BI777" s="36"/>
      <c r="BJ777" s="36"/>
      <c r="BK777" s="36"/>
      <c r="BL777" s="36"/>
      <c r="BM777" s="36"/>
      <c r="BN777" s="36"/>
      <c r="BO777" s="36"/>
      <c r="BP777" s="36"/>
      <c r="BQ777" s="36"/>
    </row>
    <row r="778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51"/>
      <c r="S778" s="51"/>
      <c r="T778" s="51"/>
      <c r="U778" s="51"/>
      <c r="V778" s="51"/>
      <c r="W778" s="51"/>
      <c r="X778" s="51"/>
      <c r="Y778" s="45"/>
      <c r="Z778" s="45"/>
      <c r="AA778" s="45"/>
      <c r="AB778" s="45"/>
      <c r="AC778" s="45"/>
      <c r="AD778" s="45"/>
      <c r="AE778" s="45"/>
      <c r="AF778" s="45"/>
      <c r="AG778" s="45"/>
      <c r="AH778" s="45"/>
      <c r="AI778" s="45"/>
      <c r="AJ778" s="45"/>
      <c r="AK778" s="45"/>
      <c r="AL778" s="45"/>
      <c r="AM778" s="45"/>
      <c r="AN778" s="45"/>
      <c r="AO778" s="45"/>
      <c r="AP778" s="45"/>
      <c r="AQ778" s="36"/>
      <c r="AR778" s="36"/>
      <c r="AS778" s="36"/>
      <c r="AT778" s="36"/>
      <c r="AU778" s="36"/>
      <c r="AV778" s="36"/>
      <c r="AW778" s="36"/>
      <c r="AX778" s="36"/>
      <c r="AY778" s="36"/>
      <c r="AZ778" s="36"/>
      <c r="BA778" s="36"/>
      <c r="BB778" s="36"/>
      <c r="BC778" s="36"/>
      <c r="BD778" s="36"/>
      <c r="BE778" s="36"/>
      <c r="BF778" s="36"/>
      <c r="BG778" s="36"/>
      <c r="BH778" s="36"/>
      <c r="BI778" s="36"/>
      <c r="BJ778" s="36"/>
      <c r="BK778" s="36"/>
      <c r="BL778" s="36"/>
      <c r="BM778" s="36"/>
      <c r="BN778" s="36"/>
      <c r="BO778" s="36"/>
      <c r="BP778" s="36"/>
      <c r="BQ778" s="36"/>
    </row>
    <row r="779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51"/>
      <c r="S779" s="51"/>
      <c r="T779" s="51"/>
      <c r="U779" s="51"/>
      <c r="V779" s="51"/>
      <c r="W779" s="51"/>
      <c r="X779" s="51"/>
      <c r="Y779" s="45"/>
      <c r="Z779" s="45"/>
      <c r="AA779" s="45"/>
      <c r="AB779" s="45"/>
      <c r="AC779" s="45"/>
      <c r="AD779" s="45"/>
      <c r="AE779" s="45"/>
      <c r="AF779" s="45"/>
      <c r="AG779" s="45"/>
      <c r="AH779" s="45"/>
      <c r="AI779" s="45"/>
      <c r="AJ779" s="45"/>
      <c r="AK779" s="45"/>
      <c r="AL779" s="45"/>
      <c r="AM779" s="45"/>
      <c r="AN779" s="45"/>
      <c r="AO779" s="45"/>
      <c r="AP779" s="45"/>
      <c r="AQ779" s="36"/>
      <c r="AR779" s="36"/>
      <c r="AS779" s="36"/>
      <c r="AT779" s="36"/>
      <c r="AU779" s="36"/>
      <c r="AV779" s="36"/>
      <c r="AW779" s="36"/>
      <c r="AX779" s="36"/>
      <c r="AY779" s="36"/>
      <c r="AZ779" s="36"/>
      <c r="BA779" s="36"/>
      <c r="BB779" s="36"/>
      <c r="BC779" s="36"/>
      <c r="BD779" s="36"/>
      <c r="BE779" s="36"/>
      <c r="BF779" s="36"/>
      <c r="BG779" s="36"/>
      <c r="BH779" s="36"/>
      <c r="BI779" s="36"/>
      <c r="BJ779" s="36"/>
      <c r="BK779" s="36"/>
      <c r="BL779" s="36"/>
      <c r="BM779" s="36"/>
      <c r="BN779" s="36"/>
      <c r="BO779" s="36"/>
      <c r="BP779" s="36"/>
      <c r="BQ779" s="36"/>
    </row>
    <row r="780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51"/>
      <c r="S780" s="51"/>
      <c r="T780" s="51"/>
      <c r="U780" s="51"/>
      <c r="V780" s="51"/>
      <c r="W780" s="51"/>
      <c r="X780" s="51"/>
      <c r="Y780" s="45"/>
      <c r="Z780" s="45"/>
      <c r="AA780" s="45"/>
      <c r="AB780" s="45"/>
      <c r="AC780" s="45"/>
      <c r="AD780" s="45"/>
      <c r="AE780" s="45"/>
      <c r="AF780" s="45"/>
      <c r="AG780" s="45"/>
      <c r="AH780" s="45"/>
      <c r="AI780" s="45"/>
      <c r="AJ780" s="45"/>
      <c r="AK780" s="45"/>
      <c r="AL780" s="45"/>
      <c r="AM780" s="45"/>
      <c r="AN780" s="45"/>
      <c r="AO780" s="45"/>
      <c r="AP780" s="45"/>
      <c r="AQ780" s="36"/>
      <c r="AR780" s="36"/>
      <c r="AS780" s="36"/>
      <c r="AT780" s="36"/>
      <c r="AU780" s="36"/>
      <c r="AV780" s="36"/>
      <c r="AW780" s="36"/>
      <c r="AX780" s="36"/>
      <c r="AY780" s="36"/>
      <c r="AZ780" s="36"/>
      <c r="BA780" s="36"/>
      <c r="BB780" s="36"/>
      <c r="BC780" s="36"/>
      <c r="BD780" s="36"/>
      <c r="BE780" s="36"/>
      <c r="BF780" s="36"/>
      <c r="BG780" s="36"/>
      <c r="BH780" s="36"/>
      <c r="BI780" s="36"/>
      <c r="BJ780" s="36"/>
      <c r="BK780" s="36"/>
      <c r="BL780" s="36"/>
      <c r="BM780" s="36"/>
      <c r="BN780" s="36"/>
      <c r="BO780" s="36"/>
      <c r="BP780" s="36"/>
      <c r="BQ780" s="36"/>
    </row>
    <row r="78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51"/>
      <c r="S781" s="51"/>
      <c r="T781" s="51"/>
      <c r="U781" s="51"/>
      <c r="V781" s="51"/>
      <c r="W781" s="51"/>
      <c r="X781" s="51"/>
      <c r="Y781" s="45"/>
      <c r="Z781" s="45"/>
      <c r="AA781" s="45"/>
      <c r="AB781" s="45"/>
      <c r="AC781" s="45"/>
      <c r="AD781" s="45"/>
      <c r="AE781" s="45"/>
      <c r="AF781" s="45"/>
      <c r="AG781" s="45"/>
      <c r="AH781" s="45"/>
      <c r="AI781" s="45"/>
      <c r="AJ781" s="45"/>
      <c r="AK781" s="45"/>
      <c r="AL781" s="45"/>
      <c r="AM781" s="45"/>
      <c r="AN781" s="45"/>
      <c r="AO781" s="45"/>
      <c r="AP781" s="45"/>
      <c r="AQ781" s="36"/>
      <c r="AR781" s="36"/>
      <c r="AS781" s="36"/>
      <c r="AT781" s="36"/>
      <c r="AU781" s="36"/>
      <c r="AV781" s="36"/>
      <c r="AW781" s="36"/>
      <c r="AX781" s="36"/>
      <c r="AY781" s="36"/>
      <c r="AZ781" s="36"/>
      <c r="BA781" s="36"/>
      <c r="BB781" s="36"/>
      <c r="BC781" s="36"/>
      <c r="BD781" s="36"/>
      <c r="BE781" s="36"/>
      <c r="BF781" s="36"/>
      <c r="BG781" s="36"/>
      <c r="BH781" s="36"/>
      <c r="BI781" s="36"/>
      <c r="BJ781" s="36"/>
      <c r="BK781" s="36"/>
      <c r="BL781" s="36"/>
      <c r="BM781" s="36"/>
      <c r="BN781" s="36"/>
      <c r="BO781" s="36"/>
      <c r="BP781" s="36"/>
      <c r="BQ781" s="36"/>
    </row>
    <row r="78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51"/>
      <c r="S782" s="51"/>
      <c r="T782" s="51"/>
      <c r="U782" s="51"/>
      <c r="V782" s="51"/>
      <c r="W782" s="51"/>
      <c r="X782" s="51"/>
      <c r="Y782" s="45"/>
      <c r="Z782" s="45"/>
      <c r="AA782" s="45"/>
      <c r="AB782" s="45"/>
      <c r="AC782" s="45"/>
      <c r="AD782" s="45"/>
      <c r="AE782" s="45"/>
      <c r="AF782" s="45"/>
      <c r="AG782" s="45"/>
      <c r="AH782" s="45"/>
      <c r="AI782" s="45"/>
      <c r="AJ782" s="45"/>
      <c r="AK782" s="45"/>
      <c r="AL782" s="45"/>
      <c r="AM782" s="45"/>
      <c r="AN782" s="45"/>
      <c r="AO782" s="45"/>
      <c r="AP782" s="45"/>
      <c r="AQ782" s="36"/>
      <c r="AR782" s="36"/>
      <c r="AS782" s="36"/>
      <c r="AT782" s="36"/>
      <c r="AU782" s="36"/>
      <c r="AV782" s="36"/>
      <c r="AW782" s="36"/>
      <c r="AX782" s="36"/>
      <c r="AY782" s="36"/>
      <c r="AZ782" s="36"/>
      <c r="BA782" s="36"/>
      <c r="BB782" s="36"/>
      <c r="BC782" s="36"/>
      <c r="BD782" s="36"/>
      <c r="BE782" s="36"/>
      <c r="BF782" s="36"/>
      <c r="BG782" s="36"/>
      <c r="BH782" s="36"/>
      <c r="BI782" s="36"/>
      <c r="BJ782" s="36"/>
      <c r="BK782" s="36"/>
      <c r="BL782" s="36"/>
      <c r="BM782" s="36"/>
      <c r="BN782" s="36"/>
      <c r="BO782" s="36"/>
      <c r="BP782" s="36"/>
      <c r="BQ782" s="36"/>
    </row>
    <row r="783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51"/>
      <c r="S783" s="51"/>
      <c r="T783" s="51"/>
      <c r="U783" s="51"/>
      <c r="V783" s="51"/>
      <c r="W783" s="51"/>
      <c r="X783" s="51"/>
      <c r="Y783" s="45"/>
      <c r="Z783" s="45"/>
      <c r="AA783" s="45"/>
      <c r="AB783" s="45"/>
      <c r="AC783" s="45"/>
      <c r="AD783" s="45"/>
      <c r="AE783" s="45"/>
      <c r="AF783" s="45"/>
      <c r="AG783" s="45"/>
      <c r="AH783" s="45"/>
      <c r="AI783" s="45"/>
      <c r="AJ783" s="45"/>
      <c r="AK783" s="45"/>
      <c r="AL783" s="45"/>
      <c r="AM783" s="45"/>
      <c r="AN783" s="45"/>
      <c r="AO783" s="45"/>
      <c r="AP783" s="45"/>
      <c r="AQ783" s="36"/>
      <c r="AR783" s="36"/>
      <c r="AS783" s="36"/>
      <c r="AT783" s="36"/>
      <c r="AU783" s="36"/>
      <c r="AV783" s="36"/>
      <c r="AW783" s="36"/>
      <c r="AX783" s="36"/>
      <c r="AY783" s="36"/>
      <c r="AZ783" s="36"/>
      <c r="BA783" s="36"/>
      <c r="BB783" s="36"/>
      <c r="BC783" s="36"/>
      <c r="BD783" s="36"/>
      <c r="BE783" s="36"/>
      <c r="BF783" s="36"/>
      <c r="BG783" s="36"/>
      <c r="BH783" s="36"/>
      <c r="BI783" s="36"/>
      <c r="BJ783" s="36"/>
      <c r="BK783" s="36"/>
      <c r="BL783" s="36"/>
      <c r="BM783" s="36"/>
      <c r="BN783" s="36"/>
      <c r="BO783" s="36"/>
      <c r="BP783" s="36"/>
      <c r="BQ783" s="36"/>
    </row>
    <row r="784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51"/>
      <c r="S784" s="51"/>
      <c r="T784" s="51"/>
      <c r="U784" s="51"/>
      <c r="V784" s="51"/>
      <c r="W784" s="51"/>
      <c r="X784" s="51"/>
      <c r="Y784" s="45"/>
      <c r="Z784" s="45"/>
      <c r="AA784" s="45"/>
      <c r="AB784" s="45"/>
      <c r="AC784" s="45"/>
      <c r="AD784" s="45"/>
      <c r="AE784" s="45"/>
      <c r="AF784" s="45"/>
      <c r="AG784" s="45"/>
      <c r="AH784" s="45"/>
      <c r="AI784" s="45"/>
      <c r="AJ784" s="45"/>
      <c r="AK784" s="45"/>
      <c r="AL784" s="45"/>
      <c r="AM784" s="45"/>
      <c r="AN784" s="45"/>
      <c r="AO784" s="45"/>
      <c r="AP784" s="45"/>
      <c r="AQ784" s="36"/>
      <c r="AR784" s="36"/>
      <c r="AS784" s="36"/>
      <c r="AT784" s="36"/>
      <c r="AU784" s="36"/>
      <c r="AV784" s="36"/>
      <c r="AW784" s="36"/>
      <c r="AX784" s="36"/>
      <c r="AY784" s="36"/>
      <c r="AZ784" s="36"/>
      <c r="BA784" s="36"/>
      <c r="BB784" s="36"/>
      <c r="BC784" s="36"/>
      <c r="BD784" s="36"/>
      <c r="BE784" s="36"/>
      <c r="BF784" s="36"/>
      <c r="BG784" s="36"/>
      <c r="BH784" s="36"/>
      <c r="BI784" s="36"/>
      <c r="BJ784" s="36"/>
      <c r="BK784" s="36"/>
      <c r="BL784" s="36"/>
      <c r="BM784" s="36"/>
      <c r="BN784" s="36"/>
      <c r="BO784" s="36"/>
      <c r="BP784" s="36"/>
      <c r="BQ784" s="36"/>
    </row>
    <row r="78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51"/>
      <c r="S785" s="51"/>
      <c r="T785" s="51"/>
      <c r="U785" s="51"/>
      <c r="V785" s="51"/>
      <c r="W785" s="51"/>
      <c r="X785" s="51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5"/>
      <c r="AM785" s="45"/>
      <c r="AN785" s="45"/>
      <c r="AO785" s="45"/>
      <c r="AP785" s="45"/>
      <c r="AQ785" s="36"/>
      <c r="AR785" s="36"/>
      <c r="AS785" s="36"/>
      <c r="AT785" s="36"/>
      <c r="AU785" s="36"/>
      <c r="AV785" s="36"/>
      <c r="AW785" s="36"/>
      <c r="AX785" s="36"/>
      <c r="AY785" s="36"/>
      <c r="AZ785" s="36"/>
      <c r="BA785" s="36"/>
      <c r="BB785" s="36"/>
      <c r="BC785" s="36"/>
      <c r="BD785" s="36"/>
      <c r="BE785" s="36"/>
      <c r="BF785" s="36"/>
      <c r="BG785" s="36"/>
      <c r="BH785" s="36"/>
      <c r="BI785" s="36"/>
      <c r="BJ785" s="36"/>
      <c r="BK785" s="36"/>
      <c r="BL785" s="36"/>
      <c r="BM785" s="36"/>
      <c r="BN785" s="36"/>
      <c r="BO785" s="36"/>
      <c r="BP785" s="36"/>
      <c r="BQ785" s="36"/>
    </row>
    <row r="786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51"/>
      <c r="S786" s="51"/>
      <c r="T786" s="51"/>
      <c r="U786" s="51"/>
      <c r="V786" s="51"/>
      <c r="W786" s="51"/>
      <c r="X786" s="51"/>
      <c r="Y786" s="45"/>
      <c r="Z786" s="45"/>
      <c r="AA786" s="45"/>
      <c r="AB786" s="45"/>
      <c r="AC786" s="45"/>
      <c r="AD786" s="45"/>
      <c r="AE786" s="45"/>
      <c r="AF786" s="45"/>
      <c r="AG786" s="45"/>
      <c r="AH786" s="45"/>
      <c r="AI786" s="45"/>
      <c r="AJ786" s="45"/>
      <c r="AK786" s="45"/>
      <c r="AL786" s="45"/>
      <c r="AM786" s="45"/>
      <c r="AN786" s="45"/>
      <c r="AO786" s="45"/>
      <c r="AP786" s="45"/>
      <c r="AQ786" s="36"/>
      <c r="AR786" s="36"/>
      <c r="AS786" s="36"/>
      <c r="AT786" s="36"/>
      <c r="AU786" s="36"/>
      <c r="AV786" s="36"/>
      <c r="AW786" s="36"/>
      <c r="AX786" s="36"/>
      <c r="AY786" s="36"/>
      <c r="AZ786" s="36"/>
      <c r="BA786" s="36"/>
      <c r="BB786" s="36"/>
      <c r="BC786" s="36"/>
      <c r="BD786" s="36"/>
      <c r="BE786" s="36"/>
      <c r="BF786" s="36"/>
      <c r="BG786" s="36"/>
      <c r="BH786" s="36"/>
      <c r="BI786" s="36"/>
      <c r="BJ786" s="36"/>
      <c r="BK786" s="36"/>
      <c r="BL786" s="36"/>
      <c r="BM786" s="36"/>
      <c r="BN786" s="36"/>
      <c r="BO786" s="36"/>
      <c r="BP786" s="36"/>
      <c r="BQ786" s="36"/>
    </row>
    <row r="787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51"/>
      <c r="S787" s="51"/>
      <c r="T787" s="51"/>
      <c r="U787" s="51"/>
      <c r="V787" s="51"/>
      <c r="W787" s="51"/>
      <c r="X787" s="51"/>
      <c r="Y787" s="45"/>
      <c r="Z787" s="45"/>
      <c r="AA787" s="45"/>
      <c r="AB787" s="45"/>
      <c r="AC787" s="45"/>
      <c r="AD787" s="45"/>
      <c r="AE787" s="45"/>
      <c r="AF787" s="45"/>
      <c r="AG787" s="45"/>
      <c r="AH787" s="45"/>
      <c r="AI787" s="45"/>
      <c r="AJ787" s="45"/>
      <c r="AK787" s="45"/>
      <c r="AL787" s="45"/>
      <c r="AM787" s="45"/>
      <c r="AN787" s="45"/>
      <c r="AO787" s="45"/>
      <c r="AP787" s="45"/>
      <c r="AQ787" s="36"/>
      <c r="AR787" s="36"/>
      <c r="AS787" s="36"/>
      <c r="AT787" s="36"/>
      <c r="AU787" s="36"/>
      <c r="AV787" s="36"/>
      <c r="AW787" s="36"/>
      <c r="AX787" s="36"/>
      <c r="AY787" s="36"/>
      <c r="AZ787" s="36"/>
      <c r="BA787" s="36"/>
      <c r="BB787" s="36"/>
      <c r="BC787" s="36"/>
      <c r="BD787" s="36"/>
      <c r="BE787" s="36"/>
      <c r="BF787" s="36"/>
      <c r="BG787" s="36"/>
      <c r="BH787" s="36"/>
      <c r="BI787" s="36"/>
      <c r="BJ787" s="36"/>
      <c r="BK787" s="36"/>
      <c r="BL787" s="36"/>
      <c r="BM787" s="36"/>
      <c r="BN787" s="36"/>
      <c r="BO787" s="36"/>
      <c r="BP787" s="36"/>
      <c r="BQ787" s="36"/>
    </row>
    <row r="788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51"/>
      <c r="S788" s="51"/>
      <c r="T788" s="51"/>
      <c r="U788" s="51"/>
      <c r="V788" s="51"/>
      <c r="W788" s="51"/>
      <c r="X788" s="51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5"/>
      <c r="AM788" s="45"/>
      <c r="AN788" s="45"/>
      <c r="AO788" s="45"/>
      <c r="AP788" s="45"/>
      <c r="AQ788" s="36"/>
      <c r="AR788" s="36"/>
      <c r="AS788" s="36"/>
      <c r="AT788" s="36"/>
      <c r="AU788" s="36"/>
      <c r="AV788" s="36"/>
      <c r="AW788" s="36"/>
      <c r="AX788" s="36"/>
      <c r="AY788" s="36"/>
      <c r="AZ788" s="36"/>
      <c r="BA788" s="36"/>
      <c r="BB788" s="36"/>
      <c r="BC788" s="36"/>
      <c r="BD788" s="36"/>
      <c r="BE788" s="36"/>
      <c r="BF788" s="36"/>
      <c r="BG788" s="36"/>
      <c r="BH788" s="36"/>
      <c r="BI788" s="36"/>
      <c r="BJ788" s="36"/>
      <c r="BK788" s="36"/>
      <c r="BL788" s="36"/>
      <c r="BM788" s="36"/>
      <c r="BN788" s="36"/>
      <c r="BO788" s="36"/>
      <c r="BP788" s="36"/>
      <c r="BQ788" s="36"/>
    </row>
    <row r="789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51"/>
      <c r="S789" s="51"/>
      <c r="T789" s="51"/>
      <c r="U789" s="51"/>
      <c r="V789" s="51"/>
      <c r="W789" s="51"/>
      <c r="X789" s="51"/>
      <c r="Y789" s="45"/>
      <c r="Z789" s="45"/>
      <c r="AA789" s="45"/>
      <c r="AB789" s="45"/>
      <c r="AC789" s="45"/>
      <c r="AD789" s="45"/>
      <c r="AE789" s="45"/>
      <c r="AF789" s="45"/>
      <c r="AG789" s="45"/>
      <c r="AH789" s="45"/>
      <c r="AI789" s="45"/>
      <c r="AJ789" s="45"/>
      <c r="AK789" s="45"/>
      <c r="AL789" s="45"/>
      <c r="AM789" s="45"/>
      <c r="AN789" s="45"/>
      <c r="AO789" s="45"/>
      <c r="AP789" s="45"/>
      <c r="AQ789" s="36"/>
      <c r="AR789" s="36"/>
      <c r="AS789" s="36"/>
      <c r="AT789" s="36"/>
      <c r="AU789" s="36"/>
      <c r="AV789" s="36"/>
      <c r="AW789" s="36"/>
      <c r="AX789" s="36"/>
      <c r="AY789" s="36"/>
      <c r="AZ789" s="36"/>
      <c r="BA789" s="36"/>
      <c r="BB789" s="36"/>
      <c r="BC789" s="36"/>
      <c r="BD789" s="36"/>
      <c r="BE789" s="36"/>
      <c r="BF789" s="36"/>
      <c r="BG789" s="36"/>
      <c r="BH789" s="36"/>
      <c r="BI789" s="36"/>
      <c r="BJ789" s="36"/>
      <c r="BK789" s="36"/>
      <c r="BL789" s="36"/>
      <c r="BM789" s="36"/>
      <c r="BN789" s="36"/>
      <c r="BO789" s="36"/>
      <c r="BP789" s="36"/>
      <c r="BQ789" s="36"/>
    </row>
    <row r="790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51"/>
      <c r="S790" s="51"/>
      <c r="T790" s="51"/>
      <c r="U790" s="51"/>
      <c r="V790" s="51"/>
      <c r="W790" s="51"/>
      <c r="X790" s="51"/>
      <c r="Y790" s="45"/>
      <c r="Z790" s="45"/>
      <c r="AA790" s="45"/>
      <c r="AB790" s="45"/>
      <c r="AC790" s="45"/>
      <c r="AD790" s="45"/>
      <c r="AE790" s="45"/>
      <c r="AF790" s="45"/>
      <c r="AG790" s="45"/>
      <c r="AH790" s="45"/>
      <c r="AI790" s="45"/>
      <c r="AJ790" s="45"/>
      <c r="AK790" s="45"/>
      <c r="AL790" s="45"/>
      <c r="AM790" s="45"/>
      <c r="AN790" s="45"/>
      <c r="AO790" s="45"/>
      <c r="AP790" s="45"/>
      <c r="AQ790" s="36"/>
      <c r="AR790" s="36"/>
      <c r="AS790" s="36"/>
      <c r="AT790" s="36"/>
      <c r="AU790" s="36"/>
      <c r="AV790" s="36"/>
      <c r="AW790" s="36"/>
      <c r="AX790" s="36"/>
      <c r="AY790" s="36"/>
      <c r="AZ790" s="36"/>
      <c r="BA790" s="36"/>
      <c r="BB790" s="36"/>
      <c r="BC790" s="36"/>
      <c r="BD790" s="36"/>
      <c r="BE790" s="36"/>
      <c r="BF790" s="36"/>
      <c r="BG790" s="36"/>
      <c r="BH790" s="36"/>
      <c r="BI790" s="36"/>
      <c r="BJ790" s="36"/>
      <c r="BK790" s="36"/>
      <c r="BL790" s="36"/>
      <c r="BM790" s="36"/>
      <c r="BN790" s="36"/>
      <c r="BO790" s="36"/>
      <c r="BP790" s="36"/>
      <c r="BQ790" s="36"/>
    </row>
    <row r="79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51"/>
      <c r="S791" s="51"/>
      <c r="T791" s="51"/>
      <c r="U791" s="51"/>
      <c r="V791" s="51"/>
      <c r="W791" s="51"/>
      <c r="X791" s="51"/>
      <c r="Y791" s="45"/>
      <c r="Z791" s="45"/>
      <c r="AA791" s="45"/>
      <c r="AB791" s="45"/>
      <c r="AC791" s="45"/>
      <c r="AD791" s="45"/>
      <c r="AE791" s="45"/>
      <c r="AF791" s="45"/>
      <c r="AG791" s="45"/>
      <c r="AH791" s="45"/>
      <c r="AI791" s="45"/>
      <c r="AJ791" s="45"/>
      <c r="AK791" s="45"/>
      <c r="AL791" s="45"/>
      <c r="AM791" s="45"/>
      <c r="AN791" s="45"/>
      <c r="AO791" s="45"/>
      <c r="AP791" s="45"/>
      <c r="AQ791" s="36"/>
      <c r="AR791" s="36"/>
      <c r="AS791" s="36"/>
      <c r="AT791" s="36"/>
      <c r="AU791" s="36"/>
      <c r="AV791" s="36"/>
      <c r="AW791" s="36"/>
      <c r="AX791" s="36"/>
      <c r="AY791" s="36"/>
      <c r="AZ791" s="36"/>
      <c r="BA791" s="36"/>
      <c r="BB791" s="36"/>
      <c r="BC791" s="36"/>
      <c r="BD791" s="36"/>
      <c r="BE791" s="36"/>
      <c r="BF791" s="36"/>
      <c r="BG791" s="36"/>
      <c r="BH791" s="36"/>
      <c r="BI791" s="36"/>
      <c r="BJ791" s="36"/>
      <c r="BK791" s="36"/>
      <c r="BL791" s="36"/>
      <c r="BM791" s="36"/>
      <c r="BN791" s="36"/>
      <c r="BO791" s="36"/>
      <c r="BP791" s="36"/>
      <c r="BQ791" s="36"/>
    </row>
    <row r="79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51"/>
      <c r="S792" s="51"/>
      <c r="T792" s="51"/>
      <c r="U792" s="51"/>
      <c r="V792" s="51"/>
      <c r="W792" s="51"/>
      <c r="X792" s="51"/>
      <c r="Y792" s="45"/>
      <c r="Z792" s="45"/>
      <c r="AA792" s="45"/>
      <c r="AB792" s="45"/>
      <c r="AC792" s="45"/>
      <c r="AD792" s="45"/>
      <c r="AE792" s="45"/>
      <c r="AF792" s="45"/>
      <c r="AG792" s="45"/>
      <c r="AH792" s="45"/>
      <c r="AI792" s="45"/>
      <c r="AJ792" s="45"/>
      <c r="AK792" s="45"/>
      <c r="AL792" s="45"/>
      <c r="AM792" s="45"/>
      <c r="AN792" s="45"/>
      <c r="AO792" s="45"/>
      <c r="AP792" s="45"/>
      <c r="AQ792" s="36"/>
      <c r="AR792" s="36"/>
      <c r="AS792" s="36"/>
      <c r="AT792" s="36"/>
      <c r="AU792" s="36"/>
      <c r="AV792" s="36"/>
      <c r="AW792" s="36"/>
      <c r="AX792" s="36"/>
      <c r="AY792" s="36"/>
      <c r="AZ792" s="36"/>
      <c r="BA792" s="36"/>
      <c r="BB792" s="36"/>
      <c r="BC792" s="36"/>
      <c r="BD792" s="36"/>
      <c r="BE792" s="36"/>
      <c r="BF792" s="36"/>
      <c r="BG792" s="36"/>
      <c r="BH792" s="36"/>
      <c r="BI792" s="36"/>
      <c r="BJ792" s="36"/>
      <c r="BK792" s="36"/>
      <c r="BL792" s="36"/>
      <c r="BM792" s="36"/>
      <c r="BN792" s="36"/>
      <c r="BO792" s="36"/>
      <c r="BP792" s="36"/>
      <c r="BQ792" s="36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51"/>
      <c r="S793" s="51"/>
      <c r="T793" s="51"/>
      <c r="U793" s="51"/>
      <c r="V793" s="51"/>
      <c r="W793" s="51"/>
      <c r="X793" s="51"/>
      <c r="Y793" s="45"/>
      <c r="Z793" s="45"/>
      <c r="AA793" s="45"/>
      <c r="AB793" s="45"/>
      <c r="AC793" s="45"/>
      <c r="AD793" s="45"/>
      <c r="AE793" s="45"/>
      <c r="AF793" s="45"/>
      <c r="AG793" s="45"/>
      <c r="AH793" s="45"/>
      <c r="AI793" s="45"/>
      <c r="AJ793" s="45"/>
      <c r="AK793" s="45"/>
      <c r="AL793" s="45"/>
      <c r="AM793" s="45"/>
      <c r="AN793" s="45"/>
      <c r="AO793" s="45"/>
      <c r="AP793" s="45"/>
      <c r="AQ793" s="36"/>
      <c r="AR793" s="36"/>
      <c r="AS793" s="36"/>
      <c r="AT793" s="36"/>
      <c r="AU793" s="36"/>
      <c r="AV793" s="36"/>
      <c r="AW793" s="36"/>
      <c r="AX793" s="36"/>
      <c r="AY793" s="36"/>
      <c r="AZ793" s="36"/>
      <c r="BA793" s="36"/>
      <c r="BB793" s="36"/>
      <c r="BC793" s="36"/>
      <c r="BD793" s="36"/>
      <c r="BE793" s="36"/>
      <c r="BF793" s="36"/>
      <c r="BG793" s="36"/>
      <c r="BH793" s="36"/>
      <c r="BI793" s="36"/>
      <c r="BJ793" s="36"/>
      <c r="BK793" s="36"/>
      <c r="BL793" s="36"/>
      <c r="BM793" s="36"/>
      <c r="BN793" s="36"/>
      <c r="BO793" s="36"/>
      <c r="BP793" s="36"/>
      <c r="BQ793" s="36"/>
    </row>
    <row r="794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51"/>
      <c r="S794" s="51"/>
      <c r="T794" s="51"/>
      <c r="U794" s="51"/>
      <c r="V794" s="51"/>
      <c r="W794" s="51"/>
      <c r="X794" s="51"/>
      <c r="Y794" s="45"/>
      <c r="Z794" s="45"/>
      <c r="AA794" s="45"/>
      <c r="AB794" s="45"/>
      <c r="AC794" s="45"/>
      <c r="AD794" s="45"/>
      <c r="AE794" s="45"/>
      <c r="AF794" s="45"/>
      <c r="AG794" s="45"/>
      <c r="AH794" s="45"/>
      <c r="AI794" s="45"/>
      <c r="AJ794" s="45"/>
      <c r="AK794" s="45"/>
      <c r="AL794" s="45"/>
      <c r="AM794" s="45"/>
      <c r="AN794" s="45"/>
      <c r="AO794" s="45"/>
      <c r="AP794" s="45"/>
      <c r="AQ794" s="36"/>
      <c r="AR794" s="36"/>
      <c r="AS794" s="36"/>
      <c r="AT794" s="36"/>
      <c r="AU794" s="36"/>
      <c r="AV794" s="36"/>
      <c r="AW794" s="36"/>
      <c r="AX794" s="36"/>
      <c r="AY794" s="36"/>
      <c r="AZ794" s="36"/>
      <c r="BA794" s="36"/>
      <c r="BB794" s="36"/>
      <c r="BC794" s="36"/>
      <c r="BD794" s="36"/>
      <c r="BE794" s="36"/>
      <c r="BF794" s="36"/>
      <c r="BG794" s="36"/>
      <c r="BH794" s="36"/>
      <c r="BI794" s="36"/>
      <c r="BJ794" s="36"/>
      <c r="BK794" s="36"/>
      <c r="BL794" s="36"/>
      <c r="BM794" s="36"/>
      <c r="BN794" s="36"/>
      <c r="BO794" s="36"/>
      <c r="BP794" s="36"/>
      <c r="BQ794" s="36"/>
    </row>
    <row r="79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51"/>
      <c r="S795" s="51"/>
      <c r="T795" s="51"/>
      <c r="U795" s="51"/>
      <c r="V795" s="51"/>
      <c r="W795" s="51"/>
      <c r="X795" s="51"/>
      <c r="Y795" s="45"/>
      <c r="Z795" s="45"/>
      <c r="AA795" s="45"/>
      <c r="AB795" s="45"/>
      <c r="AC795" s="45"/>
      <c r="AD795" s="45"/>
      <c r="AE795" s="45"/>
      <c r="AF795" s="45"/>
      <c r="AG795" s="45"/>
      <c r="AH795" s="45"/>
      <c r="AI795" s="45"/>
      <c r="AJ795" s="45"/>
      <c r="AK795" s="45"/>
      <c r="AL795" s="45"/>
      <c r="AM795" s="45"/>
      <c r="AN795" s="45"/>
      <c r="AO795" s="45"/>
      <c r="AP795" s="45"/>
      <c r="AQ795" s="36"/>
      <c r="AR795" s="36"/>
      <c r="AS795" s="36"/>
      <c r="AT795" s="36"/>
      <c r="AU795" s="36"/>
      <c r="AV795" s="36"/>
      <c r="AW795" s="36"/>
      <c r="AX795" s="36"/>
      <c r="AY795" s="36"/>
      <c r="AZ795" s="36"/>
      <c r="BA795" s="36"/>
      <c r="BB795" s="36"/>
      <c r="BC795" s="36"/>
      <c r="BD795" s="36"/>
      <c r="BE795" s="36"/>
      <c r="BF795" s="36"/>
      <c r="BG795" s="36"/>
      <c r="BH795" s="36"/>
      <c r="BI795" s="36"/>
      <c r="BJ795" s="36"/>
      <c r="BK795" s="36"/>
      <c r="BL795" s="36"/>
      <c r="BM795" s="36"/>
      <c r="BN795" s="36"/>
      <c r="BO795" s="36"/>
      <c r="BP795" s="36"/>
      <c r="BQ795" s="36"/>
    </row>
    <row r="796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51"/>
      <c r="S796" s="51"/>
      <c r="T796" s="51"/>
      <c r="U796" s="51"/>
      <c r="V796" s="51"/>
      <c r="W796" s="51"/>
      <c r="X796" s="51"/>
      <c r="Y796" s="45"/>
      <c r="Z796" s="45"/>
      <c r="AA796" s="45"/>
      <c r="AB796" s="45"/>
      <c r="AC796" s="45"/>
      <c r="AD796" s="45"/>
      <c r="AE796" s="45"/>
      <c r="AF796" s="45"/>
      <c r="AG796" s="45"/>
      <c r="AH796" s="45"/>
      <c r="AI796" s="45"/>
      <c r="AJ796" s="45"/>
      <c r="AK796" s="45"/>
      <c r="AL796" s="45"/>
      <c r="AM796" s="45"/>
      <c r="AN796" s="45"/>
      <c r="AO796" s="45"/>
      <c r="AP796" s="45"/>
      <c r="AQ796" s="36"/>
      <c r="AR796" s="36"/>
      <c r="AS796" s="36"/>
      <c r="AT796" s="36"/>
      <c r="AU796" s="36"/>
      <c r="AV796" s="36"/>
      <c r="AW796" s="36"/>
      <c r="AX796" s="36"/>
      <c r="AY796" s="36"/>
      <c r="AZ796" s="36"/>
      <c r="BA796" s="36"/>
      <c r="BB796" s="36"/>
      <c r="BC796" s="36"/>
      <c r="BD796" s="36"/>
      <c r="BE796" s="36"/>
      <c r="BF796" s="36"/>
      <c r="BG796" s="36"/>
      <c r="BH796" s="36"/>
      <c r="BI796" s="36"/>
      <c r="BJ796" s="36"/>
      <c r="BK796" s="36"/>
      <c r="BL796" s="36"/>
      <c r="BM796" s="36"/>
      <c r="BN796" s="36"/>
      <c r="BO796" s="36"/>
      <c r="BP796" s="36"/>
      <c r="BQ796" s="36"/>
    </row>
    <row r="797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51"/>
      <c r="S797" s="51"/>
      <c r="T797" s="51"/>
      <c r="U797" s="51"/>
      <c r="V797" s="51"/>
      <c r="W797" s="51"/>
      <c r="X797" s="51"/>
      <c r="Y797" s="45"/>
      <c r="Z797" s="45"/>
      <c r="AA797" s="45"/>
      <c r="AB797" s="45"/>
      <c r="AC797" s="45"/>
      <c r="AD797" s="45"/>
      <c r="AE797" s="45"/>
      <c r="AF797" s="45"/>
      <c r="AG797" s="45"/>
      <c r="AH797" s="45"/>
      <c r="AI797" s="45"/>
      <c r="AJ797" s="45"/>
      <c r="AK797" s="45"/>
      <c r="AL797" s="45"/>
      <c r="AM797" s="45"/>
      <c r="AN797" s="45"/>
      <c r="AO797" s="45"/>
      <c r="AP797" s="45"/>
      <c r="AQ797" s="36"/>
      <c r="AR797" s="36"/>
      <c r="AS797" s="36"/>
      <c r="AT797" s="36"/>
      <c r="AU797" s="36"/>
      <c r="AV797" s="36"/>
      <c r="AW797" s="36"/>
      <c r="AX797" s="36"/>
      <c r="AY797" s="36"/>
      <c r="AZ797" s="36"/>
      <c r="BA797" s="36"/>
      <c r="BB797" s="36"/>
      <c r="BC797" s="36"/>
      <c r="BD797" s="36"/>
      <c r="BE797" s="36"/>
      <c r="BF797" s="36"/>
      <c r="BG797" s="36"/>
      <c r="BH797" s="36"/>
      <c r="BI797" s="36"/>
      <c r="BJ797" s="36"/>
      <c r="BK797" s="36"/>
      <c r="BL797" s="36"/>
      <c r="BM797" s="36"/>
      <c r="BN797" s="36"/>
      <c r="BO797" s="36"/>
      <c r="BP797" s="36"/>
      <c r="BQ797" s="36"/>
    </row>
    <row r="798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51"/>
      <c r="S798" s="51"/>
      <c r="T798" s="51"/>
      <c r="U798" s="51"/>
      <c r="V798" s="51"/>
      <c r="W798" s="51"/>
      <c r="X798" s="51"/>
      <c r="Y798" s="45"/>
      <c r="Z798" s="45"/>
      <c r="AA798" s="45"/>
      <c r="AB798" s="45"/>
      <c r="AC798" s="45"/>
      <c r="AD798" s="45"/>
      <c r="AE798" s="45"/>
      <c r="AF798" s="45"/>
      <c r="AG798" s="45"/>
      <c r="AH798" s="45"/>
      <c r="AI798" s="45"/>
      <c r="AJ798" s="45"/>
      <c r="AK798" s="45"/>
      <c r="AL798" s="45"/>
      <c r="AM798" s="45"/>
      <c r="AN798" s="45"/>
      <c r="AO798" s="45"/>
      <c r="AP798" s="45"/>
      <c r="AQ798" s="36"/>
      <c r="AR798" s="36"/>
      <c r="AS798" s="36"/>
      <c r="AT798" s="36"/>
      <c r="AU798" s="36"/>
      <c r="AV798" s="36"/>
      <c r="AW798" s="36"/>
      <c r="AX798" s="36"/>
      <c r="AY798" s="36"/>
      <c r="AZ798" s="36"/>
      <c r="BA798" s="36"/>
      <c r="BB798" s="36"/>
      <c r="BC798" s="36"/>
      <c r="BD798" s="36"/>
      <c r="BE798" s="36"/>
      <c r="BF798" s="36"/>
      <c r="BG798" s="36"/>
      <c r="BH798" s="36"/>
      <c r="BI798" s="36"/>
      <c r="BJ798" s="36"/>
      <c r="BK798" s="36"/>
      <c r="BL798" s="36"/>
      <c r="BM798" s="36"/>
      <c r="BN798" s="36"/>
      <c r="BO798" s="36"/>
      <c r="BP798" s="36"/>
      <c r="BQ798" s="36"/>
    </row>
    <row r="799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51"/>
      <c r="S799" s="51"/>
      <c r="T799" s="51"/>
      <c r="U799" s="51"/>
      <c r="V799" s="51"/>
      <c r="W799" s="51"/>
      <c r="X799" s="51"/>
      <c r="Y799" s="45"/>
      <c r="Z799" s="45"/>
      <c r="AA799" s="45"/>
      <c r="AB799" s="45"/>
      <c r="AC799" s="45"/>
      <c r="AD799" s="45"/>
      <c r="AE799" s="45"/>
      <c r="AF799" s="45"/>
      <c r="AG799" s="45"/>
      <c r="AH799" s="45"/>
      <c r="AI799" s="45"/>
      <c r="AJ799" s="45"/>
      <c r="AK799" s="45"/>
      <c r="AL799" s="45"/>
      <c r="AM799" s="45"/>
      <c r="AN799" s="45"/>
      <c r="AO799" s="45"/>
      <c r="AP799" s="45"/>
      <c r="AQ799" s="36"/>
      <c r="AR799" s="36"/>
      <c r="AS799" s="36"/>
      <c r="AT799" s="36"/>
      <c r="AU799" s="36"/>
      <c r="AV799" s="36"/>
      <c r="AW799" s="36"/>
      <c r="AX799" s="36"/>
      <c r="AY799" s="36"/>
      <c r="AZ799" s="36"/>
      <c r="BA799" s="36"/>
      <c r="BB799" s="36"/>
      <c r="BC799" s="36"/>
      <c r="BD799" s="36"/>
      <c r="BE799" s="36"/>
      <c r="BF799" s="36"/>
      <c r="BG799" s="36"/>
      <c r="BH799" s="36"/>
      <c r="BI799" s="36"/>
      <c r="BJ799" s="36"/>
      <c r="BK799" s="36"/>
      <c r="BL799" s="36"/>
      <c r="BM799" s="36"/>
      <c r="BN799" s="36"/>
      <c r="BO799" s="36"/>
      <c r="BP799" s="36"/>
      <c r="BQ799" s="36"/>
    </row>
    <row r="800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51"/>
      <c r="S800" s="51"/>
      <c r="T800" s="51"/>
      <c r="U800" s="51"/>
      <c r="V800" s="51"/>
      <c r="W800" s="51"/>
      <c r="X800" s="51"/>
      <c r="Y800" s="45"/>
      <c r="Z800" s="45"/>
      <c r="AA800" s="45"/>
      <c r="AB800" s="45"/>
      <c r="AC800" s="45"/>
      <c r="AD800" s="45"/>
      <c r="AE800" s="45"/>
      <c r="AF800" s="45"/>
      <c r="AG800" s="45"/>
      <c r="AH800" s="45"/>
      <c r="AI800" s="45"/>
      <c r="AJ800" s="45"/>
      <c r="AK800" s="45"/>
      <c r="AL800" s="45"/>
      <c r="AM800" s="45"/>
      <c r="AN800" s="45"/>
      <c r="AO800" s="45"/>
      <c r="AP800" s="45"/>
      <c r="AQ800" s="36"/>
      <c r="AR800" s="36"/>
      <c r="AS800" s="36"/>
      <c r="AT800" s="36"/>
      <c r="AU800" s="36"/>
      <c r="AV800" s="36"/>
      <c r="AW800" s="36"/>
      <c r="AX800" s="36"/>
      <c r="AY800" s="36"/>
      <c r="AZ800" s="36"/>
      <c r="BA800" s="36"/>
      <c r="BB800" s="36"/>
      <c r="BC800" s="36"/>
      <c r="BD800" s="36"/>
      <c r="BE800" s="36"/>
      <c r="BF800" s="36"/>
      <c r="BG800" s="36"/>
      <c r="BH800" s="36"/>
      <c r="BI800" s="36"/>
      <c r="BJ800" s="36"/>
      <c r="BK800" s="36"/>
      <c r="BL800" s="36"/>
      <c r="BM800" s="36"/>
      <c r="BN800" s="36"/>
      <c r="BO800" s="36"/>
      <c r="BP800" s="36"/>
      <c r="BQ800" s="36"/>
    </row>
    <row r="80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51"/>
      <c r="S801" s="51"/>
      <c r="T801" s="51"/>
      <c r="U801" s="51"/>
      <c r="V801" s="51"/>
      <c r="W801" s="51"/>
      <c r="X801" s="51"/>
      <c r="Y801" s="45"/>
      <c r="Z801" s="45"/>
      <c r="AA801" s="45"/>
      <c r="AB801" s="45"/>
      <c r="AC801" s="45"/>
      <c r="AD801" s="45"/>
      <c r="AE801" s="45"/>
      <c r="AF801" s="45"/>
      <c r="AG801" s="45"/>
      <c r="AH801" s="45"/>
      <c r="AI801" s="45"/>
      <c r="AJ801" s="45"/>
      <c r="AK801" s="45"/>
      <c r="AL801" s="45"/>
      <c r="AM801" s="45"/>
      <c r="AN801" s="45"/>
      <c r="AO801" s="45"/>
      <c r="AP801" s="45"/>
      <c r="AQ801" s="36"/>
      <c r="AR801" s="36"/>
      <c r="AS801" s="36"/>
      <c r="AT801" s="36"/>
      <c r="AU801" s="36"/>
      <c r="AV801" s="36"/>
      <c r="AW801" s="36"/>
      <c r="AX801" s="36"/>
      <c r="AY801" s="36"/>
      <c r="AZ801" s="36"/>
      <c r="BA801" s="36"/>
      <c r="BB801" s="36"/>
      <c r="BC801" s="36"/>
      <c r="BD801" s="36"/>
      <c r="BE801" s="36"/>
      <c r="BF801" s="36"/>
      <c r="BG801" s="36"/>
      <c r="BH801" s="36"/>
      <c r="BI801" s="36"/>
      <c r="BJ801" s="36"/>
      <c r="BK801" s="36"/>
      <c r="BL801" s="36"/>
      <c r="BM801" s="36"/>
      <c r="BN801" s="36"/>
      <c r="BO801" s="36"/>
      <c r="BP801" s="36"/>
      <c r="BQ801" s="36"/>
    </row>
    <row r="80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51"/>
      <c r="S802" s="51"/>
      <c r="T802" s="51"/>
      <c r="U802" s="51"/>
      <c r="V802" s="51"/>
      <c r="W802" s="51"/>
      <c r="X802" s="51"/>
      <c r="Y802" s="45"/>
      <c r="Z802" s="45"/>
      <c r="AA802" s="45"/>
      <c r="AB802" s="45"/>
      <c r="AC802" s="45"/>
      <c r="AD802" s="45"/>
      <c r="AE802" s="45"/>
      <c r="AF802" s="45"/>
      <c r="AG802" s="45"/>
      <c r="AH802" s="45"/>
      <c r="AI802" s="45"/>
      <c r="AJ802" s="45"/>
      <c r="AK802" s="45"/>
      <c r="AL802" s="45"/>
      <c r="AM802" s="45"/>
      <c r="AN802" s="45"/>
      <c r="AO802" s="45"/>
      <c r="AP802" s="45"/>
      <c r="AQ802" s="36"/>
      <c r="AR802" s="36"/>
      <c r="AS802" s="36"/>
      <c r="AT802" s="36"/>
      <c r="AU802" s="36"/>
      <c r="AV802" s="36"/>
      <c r="AW802" s="36"/>
      <c r="AX802" s="36"/>
      <c r="AY802" s="36"/>
      <c r="AZ802" s="36"/>
      <c r="BA802" s="36"/>
      <c r="BB802" s="36"/>
      <c r="BC802" s="36"/>
      <c r="BD802" s="36"/>
      <c r="BE802" s="36"/>
      <c r="BF802" s="36"/>
      <c r="BG802" s="36"/>
      <c r="BH802" s="36"/>
      <c r="BI802" s="36"/>
      <c r="BJ802" s="36"/>
      <c r="BK802" s="36"/>
      <c r="BL802" s="36"/>
      <c r="BM802" s="36"/>
      <c r="BN802" s="36"/>
      <c r="BO802" s="36"/>
      <c r="BP802" s="36"/>
      <c r="BQ802" s="36"/>
    </row>
    <row r="803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51"/>
      <c r="S803" s="51"/>
      <c r="T803" s="51"/>
      <c r="U803" s="51"/>
      <c r="V803" s="51"/>
      <c r="W803" s="51"/>
      <c r="X803" s="51"/>
      <c r="Y803" s="45"/>
      <c r="Z803" s="45"/>
      <c r="AA803" s="45"/>
      <c r="AB803" s="45"/>
      <c r="AC803" s="45"/>
      <c r="AD803" s="45"/>
      <c r="AE803" s="45"/>
      <c r="AF803" s="45"/>
      <c r="AG803" s="45"/>
      <c r="AH803" s="45"/>
      <c r="AI803" s="45"/>
      <c r="AJ803" s="45"/>
      <c r="AK803" s="45"/>
      <c r="AL803" s="45"/>
      <c r="AM803" s="45"/>
      <c r="AN803" s="45"/>
      <c r="AO803" s="45"/>
      <c r="AP803" s="45"/>
      <c r="AQ803" s="36"/>
      <c r="AR803" s="36"/>
      <c r="AS803" s="36"/>
      <c r="AT803" s="36"/>
      <c r="AU803" s="36"/>
      <c r="AV803" s="36"/>
      <c r="AW803" s="36"/>
      <c r="AX803" s="36"/>
      <c r="AY803" s="36"/>
      <c r="AZ803" s="36"/>
      <c r="BA803" s="36"/>
      <c r="BB803" s="36"/>
      <c r="BC803" s="36"/>
      <c r="BD803" s="36"/>
      <c r="BE803" s="36"/>
      <c r="BF803" s="36"/>
      <c r="BG803" s="36"/>
      <c r="BH803" s="36"/>
      <c r="BI803" s="36"/>
      <c r="BJ803" s="36"/>
      <c r="BK803" s="36"/>
      <c r="BL803" s="36"/>
      <c r="BM803" s="36"/>
      <c r="BN803" s="36"/>
      <c r="BO803" s="36"/>
      <c r="BP803" s="36"/>
      <c r="BQ803" s="36"/>
    </row>
    <row r="804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51"/>
      <c r="S804" s="51"/>
      <c r="T804" s="51"/>
      <c r="U804" s="51"/>
      <c r="V804" s="51"/>
      <c r="W804" s="51"/>
      <c r="X804" s="51"/>
      <c r="Y804" s="45"/>
      <c r="Z804" s="45"/>
      <c r="AA804" s="45"/>
      <c r="AB804" s="45"/>
      <c r="AC804" s="45"/>
      <c r="AD804" s="45"/>
      <c r="AE804" s="45"/>
      <c r="AF804" s="45"/>
      <c r="AG804" s="45"/>
      <c r="AH804" s="45"/>
      <c r="AI804" s="45"/>
      <c r="AJ804" s="45"/>
      <c r="AK804" s="45"/>
      <c r="AL804" s="45"/>
      <c r="AM804" s="45"/>
      <c r="AN804" s="45"/>
      <c r="AO804" s="45"/>
      <c r="AP804" s="45"/>
      <c r="AQ804" s="36"/>
      <c r="AR804" s="36"/>
      <c r="AS804" s="36"/>
      <c r="AT804" s="36"/>
      <c r="AU804" s="36"/>
      <c r="AV804" s="36"/>
      <c r="AW804" s="36"/>
      <c r="AX804" s="36"/>
      <c r="AY804" s="36"/>
      <c r="AZ804" s="36"/>
      <c r="BA804" s="36"/>
      <c r="BB804" s="36"/>
      <c r="BC804" s="36"/>
      <c r="BD804" s="36"/>
      <c r="BE804" s="36"/>
      <c r="BF804" s="36"/>
      <c r="BG804" s="36"/>
      <c r="BH804" s="36"/>
      <c r="BI804" s="36"/>
      <c r="BJ804" s="36"/>
      <c r="BK804" s="36"/>
      <c r="BL804" s="36"/>
      <c r="BM804" s="36"/>
      <c r="BN804" s="36"/>
      <c r="BO804" s="36"/>
      <c r="BP804" s="36"/>
      <c r="BQ804" s="36"/>
    </row>
    <row r="80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51"/>
      <c r="S805" s="51"/>
      <c r="T805" s="51"/>
      <c r="U805" s="51"/>
      <c r="V805" s="51"/>
      <c r="W805" s="51"/>
      <c r="X805" s="51"/>
      <c r="Y805" s="45"/>
      <c r="Z805" s="45"/>
      <c r="AA805" s="45"/>
      <c r="AB805" s="45"/>
      <c r="AC805" s="45"/>
      <c r="AD805" s="45"/>
      <c r="AE805" s="45"/>
      <c r="AF805" s="45"/>
      <c r="AG805" s="45"/>
      <c r="AH805" s="45"/>
      <c r="AI805" s="45"/>
      <c r="AJ805" s="45"/>
      <c r="AK805" s="45"/>
      <c r="AL805" s="45"/>
      <c r="AM805" s="45"/>
      <c r="AN805" s="45"/>
      <c r="AO805" s="45"/>
      <c r="AP805" s="45"/>
      <c r="AQ805" s="36"/>
      <c r="AR805" s="36"/>
      <c r="AS805" s="36"/>
      <c r="AT805" s="36"/>
      <c r="AU805" s="36"/>
      <c r="AV805" s="36"/>
      <c r="AW805" s="36"/>
      <c r="AX805" s="36"/>
      <c r="AY805" s="36"/>
      <c r="AZ805" s="36"/>
      <c r="BA805" s="36"/>
      <c r="BB805" s="36"/>
      <c r="BC805" s="36"/>
      <c r="BD805" s="36"/>
      <c r="BE805" s="36"/>
      <c r="BF805" s="36"/>
      <c r="BG805" s="36"/>
      <c r="BH805" s="36"/>
      <c r="BI805" s="36"/>
      <c r="BJ805" s="36"/>
      <c r="BK805" s="36"/>
      <c r="BL805" s="36"/>
      <c r="BM805" s="36"/>
      <c r="BN805" s="36"/>
      <c r="BO805" s="36"/>
      <c r="BP805" s="36"/>
      <c r="BQ805" s="36"/>
    </row>
    <row r="806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51"/>
      <c r="S806" s="51"/>
      <c r="T806" s="51"/>
      <c r="U806" s="51"/>
      <c r="V806" s="51"/>
      <c r="W806" s="51"/>
      <c r="X806" s="51"/>
      <c r="Y806" s="45"/>
      <c r="Z806" s="45"/>
      <c r="AA806" s="45"/>
      <c r="AB806" s="45"/>
      <c r="AC806" s="45"/>
      <c r="AD806" s="45"/>
      <c r="AE806" s="45"/>
      <c r="AF806" s="45"/>
      <c r="AG806" s="45"/>
      <c r="AH806" s="45"/>
      <c r="AI806" s="45"/>
      <c r="AJ806" s="45"/>
      <c r="AK806" s="45"/>
      <c r="AL806" s="45"/>
      <c r="AM806" s="45"/>
      <c r="AN806" s="45"/>
      <c r="AO806" s="45"/>
      <c r="AP806" s="45"/>
      <c r="AQ806" s="36"/>
      <c r="AR806" s="36"/>
      <c r="AS806" s="36"/>
      <c r="AT806" s="36"/>
      <c r="AU806" s="36"/>
      <c r="AV806" s="36"/>
      <c r="AW806" s="36"/>
      <c r="AX806" s="36"/>
      <c r="AY806" s="36"/>
      <c r="AZ806" s="36"/>
      <c r="BA806" s="36"/>
      <c r="BB806" s="36"/>
      <c r="BC806" s="36"/>
      <c r="BD806" s="36"/>
      <c r="BE806" s="36"/>
      <c r="BF806" s="36"/>
      <c r="BG806" s="36"/>
      <c r="BH806" s="36"/>
      <c r="BI806" s="36"/>
      <c r="BJ806" s="36"/>
      <c r="BK806" s="36"/>
      <c r="BL806" s="36"/>
      <c r="BM806" s="36"/>
      <c r="BN806" s="36"/>
      <c r="BO806" s="36"/>
      <c r="BP806" s="36"/>
      <c r="BQ806" s="36"/>
    </row>
    <row r="807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51"/>
      <c r="S807" s="51"/>
      <c r="T807" s="51"/>
      <c r="U807" s="51"/>
      <c r="V807" s="51"/>
      <c r="W807" s="51"/>
      <c r="X807" s="51"/>
      <c r="Y807" s="45"/>
      <c r="Z807" s="45"/>
      <c r="AA807" s="45"/>
      <c r="AB807" s="45"/>
      <c r="AC807" s="45"/>
      <c r="AD807" s="45"/>
      <c r="AE807" s="45"/>
      <c r="AF807" s="45"/>
      <c r="AG807" s="45"/>
      <c r="AH807" s="45"/>
      <c r="AI807" s="45"/>
      <c r="AJ807" s="45"/>
      <c r="AK807" s="45"/>
      <c r="AL807" s="45"/>
      <c r="AM807" s="45"/>
      <c r="AN807" s="45"/>
      <c r="AO807" s="45"/>
      <c r="AP807" s="45"/>
      <c r="AQ807" s="36"/>
      <c r="AR807" s="36"/>
      <c r="AS807" s="36"/>
      <c r="AT807" s="36"/>
      <c r="AU807" s="36"/>
      <c r="AV807" s="36"/>
      <c r="AW807" s="36"/>
      <c r="AX807" s="36"/>
      <c r="AY807" s="36"/>
      <c r="AZ807" s="36"/>
      <c r="BA807" s="36"/>
      <c r="BB807" s="36"/>
      <c r="BC807" s="36"/>
      <c r="BD807" s="36"/>
      <c r="BE807" s="36"/>
      <c r="BF807" s="36"/>
      <c r="BG807" s="36"/>
      <c r="BH807" s="36"/>
      <c r="BI807" s="36"/>
      <c r="BJ807" s="36"/>
      <c r="BK807" s="36"/>
      <c r="BL807" s="36"/>
      <c r="BM807" s="36"/>
      <c r="BN807" s="36"/>
      <c r="BO807" s="36"/>
      <c r="BP807" s="36"/>
      <c r="BQ807" s="36"/>
    </row>
    <row r="808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51"/>
      <c r="S808" s="51"/>
      <c r="T808" s="51"/>
      <c r="U808" s="51"/>
      <c r="V808" s="51"/>
      <c r="W808" s="51"/>
      <c r="X808" s="51"/>
      <c r="Y808" s="45"/>
      <c r="Z808" s="45"/>
      <c r="AA808" s="45"/>
      <c r="AB808" s="45"/>
      <c r="AC808" s="45"/>
      <c r="AD808" s="45"/>
      <c r="AE808" s="45"/>
      <c r="AF808" s="45"/>
      <c r="AG808" s="45"/>
      <c r="AH808" s="45"/>
      <c r="AI808" s="45"/>
      <c r="AJ808" s="45"/>
      <c r="AK808" s="45"/>
      <c r="AL808" s="45"/>
      <c r="AM808" s="45"/>
      <c r="AN808" s="45"/>
      <c r="AO808" s="45"/>
      <c r="AP808" s="45"/>
      <c r="AQ808" s="36"/>
      <c r="AR808" s="36"/>
      <c r="AS808" s="36"/>
      <c r="AT808" s="36"/>
      <c r="AU808" s="36"/>
      <c r="AV808" s="36"/>
      <c r="AW808" s="36"/>
      <c r="AX808" s="36"/>
      <c r="AY808" s="36"/>
      <c r="AZ808" s="36"/>
      <c r="BA808" s="36"/>
      <c r="BB808" s="36"/>
      <c r="BC808" s="36"/>
      <c r="BD808" s="36"/>
      <c r="BE808" s="36"/>
      <c r="BF808" s="36"/>
      <c r="BG808" s="36"/>
      <c r="BH808" s="36"/>
      <c r="BI808" s="36"/>
      <c r="BJ808" s="36"/>
      <c r="BK808" s="36"/>
      <c r="BL808" s="36"/>
      <c r="BM808" s="36"/>
      <c r="BN808" s="36"/>
      <c r="BO808" s="36"/>
      <c r="BP808" s="36"/>
      <c r="BQ808" s="36"/>
    </row>
    <row r="809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51"/>
      <c r="S809" s="51"/>
      <c r="T809" s="51"/>
      <c r="U809" s="51"/>
      <c r="V809" s="51"/>
      <c r="W809" s="51"/>
      <c r="X809" s="51"/>
      <c r="Y809" s="45"/>
      <c r="Z809" s="45"/>
      <c r="AA809" s="45"/>
      <c r="AB809" s="45"/>
      <c r="AC809" s="45"/>
      <c r="AD809" s="45"/>
      <c r="AE809" s="45"/>
      <c r="AF809" s="45"/>
      <c r="AG809" s="45"/>
      <c r="AH809" s="45"/>
      <c r="AI809" s="45"/>
      <c r="AJ809" s="45"/>
      <c r="AK809" s="45"/>
      <c r="AL809" s="45"/>
      <c r="AM809" s="45"/>
      <c r="AN809" s="45"/>
      <c r="AO809" s="45"/>
      <c r="AP809" s="45"/>
      <c r="AQ809" s="36"/>
      <c r="AR809" s="36"/>
      <c r="AS809" s="36"/>
      <c r="AT809" s="36"/>
      <c r="AU809" s="36"/>
      <c r="AV809" s="36"/>
      <c r="AW809" s="36"/>
      <c r="AX809" s="36"/>
      <c r="AY809" s="36"/>
      <c r="AZ809" s="36"/>
      <c r="BA809" s="36"/>
      <c r="BB809" s="36"/>
      <c r="BC809" s="36"/>
      <c r="BD809" s="36"/>
      <c r="BE809" s="36"/>
      <c r="BF809" s="36"/>
      <c r="BG809" s="36"/>
      <c r="BH809" s="36"/>
      <c r="BI809" s="36"/>
      <c r="BJ809" s="36"/>
      <c r="BK809" s="36"/>
      <c r="BL809" s="36"/>
      <c r="BM809" s="36"/>
      <c r="BN809" s="36"/>
      <c r="BO809" s="36"/>
      <c r="BP809" s="36"/>
      <c r="BQ809" s="36"/>
    </row>
    <row r="810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51"/>
      <c r="S810" s="51"/>
      <c r="T810" s="51"/>
      <c r="U810" s="51"/>
      <c r="V810" s="51"/>
      <c r="W810" s="51"/>
      <c r="X810" s="51"/>
      <c r="Y810" s="45"/>
      <c r="Z810" s="45"/>
      <c r="AA810" s="45"/>
      <c r="AB810" s="45"/>
      <c r="AC810" s="45"/>
      <c r="AD810" s="45"/>
      <c r="AE810" s="45"/>
      <c r="AF810" s="45"/>
      <c r="AG810" s="45"/>
      <c r="AH810" s="45"/>
      <c r="AI810" s="45"/>
      <c r="AJ810" s="45"/>
      <c r="AK810" s="45"/>
      <c r="AL810" s="45"/>
      <c r="AM810" s="45"/>
      <c r="AN810" s="45"/>
      <c r="AO810" s="45"/>
      <c r="AP810" s="45"/>
      <c r="AQ810" s="36"/>
      <c r="AR810" s="36"/>
      <c r="AS810" s="36"/>
      <c r="AT810" s="36"/>
      <c r="AU810" s="36"/>
      <c r="AV810" s="36"/>
      <c r="AW810" s="36"/>
      <c r="AX810" s="36"/>
      <c r="AY810" s="36"/>
      <c r="AZ810" s="36"/>
      <c r="BA810" s="36"/>
      <c r="BB810" s="36"/>
      <c r="BC810" s="36"/>
      <c r="BD810" s="36"/>
      <c r="BE810" s="36"/>
      <c r="BF810" s="36"/>
      <c r="BG810" s="36"/>
      <c r="BH810" s="36"/>
      <c r="BI810" s="36"/>
      <c r="BJ810" s="36"/>
      <c r="BK810" s="36"/>
      <c r="BL810" s="36"/>
      <c r="BM810" s="36"/>
      <c r="BN810" s="36"/>
      <c r="BO810" s="36"/>
      <c r="BP810" s="36"/>
      <c r="BQ810" s="36"/>
    </row>
    <row r="81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51"/>
      <c r="S811" s="51"/>
      <c r="T811" s="51"/>
      <c r="U811" s="51"/>
      <c r="V811" s="51"/>
      <c r="W811" s="51"/>
      <c r="X811" s="51"/>
      <c r="Y811" s="45"/>
      <c r="Z811" s="45"/>
      <c r="AA811" s="45"/>
      <c r="AB811" s="45"/>
      <c r="AC811" s="45"/>
      <c r="AD811" s="45"/>
      <c r="AE811" s="45"/>
      <c r="AF811" s="45"/>
      <c r="AG811" s="45"/>
      <c r="AH811" s="45"/>
      <c r="AI811" s="45"/>
      <c r="AJ811" s="45"/>
      <c r="AK811" s="45"/>
      <c r="AL811" s="45"/>
      <c r="AM811" s="45"/>
      <c r="AN811" s="45"/>
      <c r="AO811" s="45"/>
      <c r="AP811" s="45"/>
      <c r="AQ811" s="36"/>
      <c r="AR811" s="36"/>
      <c r="AS811" s="36"/>
      <c r="AT811" s="36"/>
      <c r="AU811" s="36"/>
      <c r="AV811" s="36"/>
      <c r="AW811" s="36"/>
      <c r="AX811" s="36"/>
      <c r="AY811" s="36"/>
      <c r="AZ811" s="36"/>
      <c r="BA811" s="36"/>
      <c r="BB811" s="36"/>
      <c r="BC811" s="36"/>
      <c r="BD811" s="36"/>
      <c r="BE811" s="36"/>
      <c r="BF811" s="36"/>
      <c r="BG811" s="36"/>
      <c r="BH811" s="36"/>
      <c r="BI811" s="36"/>
      <c r="BJ811" s="36"/>
      <c r="BK811" s="36"/>
      <c r="BL811" s="36"/>
      <c r="BM811" s="36"/>
      <c r="BN811" s="36"/>
      <c r="BO811" s="36"/>
      <c r="BP811" s="36"/>
      <c r="BQ811" s="36"/>
    </row>
    <row r="81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51"/>
      <c r="S812" s="51"/>
      <c r="T812" s="51"/>
      <c r="U812" s="51"/>
      <c r="V812" s="51"/>
      <c r="W812" s="51"/>
      <c r="X812" s="51"/>
      <c r="Y812" s="45"/>
      <c r="Z812" s="45"/>
      <c r="AA812" s="45"/>
      <c r="AB812" s="45"/>
      <c r="AC812" s="45"/>
      <c r="AD812" s="45"/>
      <c r="AE812" s="45"/>
      <c r="AF812" s="45"/>
      <c r="AG812" s="45"/>
      <c r="AH812" s="45"/>
      <c r="AI812" s="45"/>
      <c r="AJ812" s="45"/>
      <c r="AK812" s="45"/>
      <c r="AL812" s="45"/>
      <c r="AM812" s="45"/>
      <c r="AN812" s="45"/>
      <c r="AO812" s="45"/>
      <c r="AP812" s="45"/>
      <c r="AQ812" s="36"/>
      <c r="AR812" s="36"/>
      <c r="AS812" s="36"/>
      <c r="AT812" s="36"/>
      <c r="AU812" s="36"/>
      <c r="AV812" s="36"/>
      <c r="AW812" s="36"/>
      <c r="AX812" s="36"/>
      <c r="AY812" s="36"/>
      <c r="AZ812" s="36"/>
      <c r="BA812" s="36"/>
      <c r="BB812" s="36"/>
      <c r="BC812" s="36"/>
      <c r="BD812" s="36"/>
      <c r="BE812" s="36"/>
      <c r="BF812" s="36"/>
      <c r="BG812" s="36"/>
      <c r="BH812" s="36"/>
      <c r="BI812" s="36"/>
      <c r="BJ812" s="36"/>
      <c r="BK812" s="36"/>
      <c r="BL812" s="36"/>
      <c r="BM812" s="36"/>
      <c r="BN812" s="36"/>
      <c r="BO812" s="36"/>
      <c r="BP812" s="36"/>
      <c r="BQ812" s="36"/>
    </row>
    <row r="813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51"/>
      <c r="S813" s="51"/>
      <c r="T813" s="51"/>
      <c r="U813" s="51"/>
      <c r="V813" s="51"/>
      <c r="W813" s="51"/>
      <c r="X813" s="51"/>
      <c r="Y813" s="45"/>
      <c r="Z813" s="45"/>
      <c r="AA813" s="45"/>
      <c r="AB813" s="45"/>
      <c r="AC813" s="45"/>
      <c r="AD813" s="45"/>
      <c r="AE813" s="45"/>
      <c r="AF813" s="45"/>
      <c r="AG813" s="45"/>
      <c r="AH813" s="45"/>
      <c r="AI813" s="45"/>
      <c r="AJ813" s="45"/>
      <c r="AK813" s="45"/>
      <c r="AL813" s="45"/>
      <c r="AM813" s="45"/>
      <c r="AN813" s="45"/>
      <c r="AO813" s="45"/>
      <c r="AP813" s="45"/>
      <c r="AQ813" s="36"/>
      <c r="AR813" s="36"/>
      <c r="AS813" s="36"/>
      <c r="AT813" s="36"/>
      <c r="AU813" s="36"/>
      <c r="AV813" s="36"/>
      <c r="AW813" s="36"/>
      <c r="AX813" s="36"/>
      <c r="AY813" s="36"/>
      <c r="AZ813" s="36"/>
      <c r="BA813" s="36"/>
      <c r="BB813" s="36"/>
      <c r="BC813" s="36"/>
      <c r="BD813" s="36"/>
      <c r="BE813" s="36"/>
      <c r="BF813" s="36"/>
      <c r="BG813" s="36"/>
      <c r="BH813" s="36"/>
      <c r="BI813" s="36"/>
      <c r="BJ813" s="36"/>
      <c r="BK813" s="36"/>
      <c r="BL813" s="36"/>
      <c r="BM813" s="36"/>
      <c r="BN813" s="36"/>
      <c r="BO813" s="36"/>
      <c r="BP813" s="36"/>
      <c r="BQ813" s="36"/>
    </row>
    <row r="814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51"/>
      <c r="S814" s="51"/>
      <c r="T814" s="51"/>
      <c r="U814" s="51"/>
      <c r="V814" s="51"/>
      <c r="W814" s="51"/>
      <c r="X814" s="51"/>
      <c r="Y814" s="45"/>
      <c r="Z814" s="45"/>
      <c r="AA814" s="45"/>
      <c r="AB814" s="45"/>
      <c r="AC814" s="45"/>
      <c r="AD814" s="45"/>
      <c r="AE814" s="45"/>
      <c r="AF814" s="45"/>
      <c r="AG814" s="45"/>
      <c r="AH814" s="45"/>
      <c r="AI814" s="45"/>
      <c r="AJ814" s="45"/>
      <c r="AK814" s="45"/>
      <c r="AL814" s="45"/>
      <c r="AM814" s="45"/>
      <c r="AN814" s="45"/>
      <c r="AO814" s="45"/>
      <c r="AP814" s="45"/>
      <c r="AQ814" s="36"/>
      <c r="AR814" s="36"/>
      <c r="AS814" s="36"/>
      <c r="AT814" s="36"/>
      <c r="AU814" s="36"/>
      <c r="AV814" s="36"/>
      <c r="AW814" s="36"/>
      <c r="AX814" s="36"/>
      <c r="AY814" s="36"/>
      <c r="AZ814" s="36"/>
      <c r="BA814" s="36"/>
      <c r="BB814" s="36"/>
      <c r="BC814" s="36"/>
      <c r="BD814" s="36"/>
      <c r="BE814" s="36"/>
      <c r="BF814" s="36"/>
      <c r="BG814" s="36"/>
      <c r="BH814" s="36"/>
      <c r="BI814" s="36"/>
      <c r="BJ814" s="36"/>
      <c r="BK814" s="36"/>
      <c r="BL814" s="36"/>
      <c r="BM814" s="36"/>
      <c r="BN814" s="36"/>
      <c r="BO814" s="36"/>
      <c r="BP814" s="36"/>
      <c r="BQ814" s="36"/>
    </row>
    <row r="81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51"/>
      <c r="S815" s="51"/>
      <c r="T815" s="51"/>
      <c r="U815" s="51"/>
      <c r="V815" s="51"/>
      <c r="W815" s="51"/>
      <c r="X815" s="51"/>
      <c r="Y815" s="45"/>
      <c r="Z815" s="45"/>
      <c r="AA815" s="45"/>
      <c r="AB815" s="45"/>
      <c r="AC815" s="45"/>
      <c r="AD815" s="45"/>
      <c r="AE815" s="45"/>
      <c r="AF815" s="45"/>
      <c r="AG815" s="45"/>
      <c r="AH815" s="45"/>
      <c r="AI815" s="45"/>
      <c r="AJ815" s="45"/>
      <c r="AK815" s="45"/>
      <c r="AL815" s="45"/>
      <c r="AM815" s="45"/>
      <c r="AN815" s="45"/>
      <c r="AO815" s="45"/>
      <c r="AP815" s="45"/>
      <c r="AQ815" s="36"/>
      <c r="AR815" s="36"/>
      <c r="AS815" s="36"/>
      <c r="AT815" s="36"/>
      <c r="AU815" s="36"/>
      <c r="AV815" s="36"/>
      <c r="AW815" s="36"/>
      <c r="AX815" s="36"/>
      <c r="AY815" s="36"/>
      <c r="AZ815" s="36"/>
      <c r="BA815" s="36"/>
      <c r="BB815" s="36"/>
      <c r="BC815" s="36"/>
      <c r="BD815" s="36"/>
      <c r="BE815" s="36"/>
      <c r="BF815" s="36"/>
      <c r="BG815" s="36"/>
      <c r="BH815" s="36"/>
      <c r="BI815" s="36"/>
      <c r="BJ815" s="36"/>
      <c r="BK815" s="36"/>
      <c r="BL815" s="36"/>
      <c r="BM815" s="36"/>
      <c r="BN815" s="36"/>
      <c r="BO815" s="36"/>
      <c r="BP815" s="36"/>
      <c r="BQ815" s="36"/>
    </row>
    <row r="816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51"/>
      <c r="S816" s="51"/>
      <c r="T816" s="51"/>
      <c r="U816" s="51"/>
      <c r="V816" s="51"/>
      <c r="W816" s="51"/>
      <c r="X816" s="51"/>
      <c r="Y816" s="45"/>
      <c r="Z816" s="45"/>
      <c r="AA816" s="45"/>
      <c r="AB816" s="45"/>
      <c r="AC816" s="45"/>
      <c r="AD816" s="45"/>
      <c r="AE816" s="45"/>
      <c r="AF816" s="45"/>
      <c r="AG816" s="45"/>
      <c r="AH816" s="45"/>
      <c r="AI816" s="45"/>
      <c r="AJ816" s="45"/>
      <c r="AK816" s="45"/>
      <c r="AL816" s="45"/>
      <c r="AM816" s="45"/>
      <c r="AN816" s="45"/>
      <c r="AO816" s="45"/>
      <c r="AP816" s="45"/>
      <c r="AQ816" s="36"/>
      <c r="AR816" s="36"/>
      <c r="AS816" s="36"/>
      <c r="AT816" s="36"/>
      <c r="AU816" s="36"/>
      <c r="AV816" s="36"/>
      <c r="AW816" s="36"/>
      <c r="AX816" s="36"/>
      <c r="AY816" s="36"/>
      <c r="AZ816" s="36"/>
      <c r="BA816" s="36"/>
      <c r="BB816" s="36"/>
      <c r="BC816" s="36"/>
      <c r="BD816" s="36"/>
      <c r="BE816" s="36"/>
      <c r="BF816" s="36"/>
      <c r="BG816" s="36"/>
      <c r="BH816" s="36"/>
      <c r="BI816" s="36"/>
      <c r="BJ816" s="36"/>
      <c r="BK816" s="36"/>
      <c r="BL816" s="36"/>
      <c r="BM816" s="36"/>
      <c r="BN816" s="36"/>
      <c r="BO816" s="36"/>
      <c r="BP816" s="36"/>
      <c r="BQ816" s="36"/>
    </row>
    <row r="817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51"/>
      <c r="S817" s="51"/>
      <c r="T817" s="51"/>
      <c r="U817" s="51"/>
      <c r="V817" s="51"/>
      <c r="W817" s="51"/>
      <c r="X817" s="51"/>
      <c r="Y817" s="45"/>
      <c r="Z817" s="45"/>
      <c r="AA817" s="45"/>
      <c r="AB817" s="45"/>
      <c r="AC817" s="45"/>
      <c r="AD817" s="45"/>
      <c r="AE817" s="45"/>
      <c r="AF817" s="45"/>
      <c r="AG817" s="45"/>
      <c r="AH817" s="45"/>
      <c r="AI817" s="45"/>
      <c r="AJ817" s="45"/>
      <c r="AK817" s="45"/>
      <c r="AL817" s="45"/>
      <c r="AM817" s="45"/>
      <c r="AN817" s="45"/>
      <c r="AO817" s="45"/>
      <c r="AP817" s="45"/>
      <c r="AQ817" s="36"/>
      <c r="AR817" s="36"/>
      <c r="AS817" s="36"/>
      <c r="AT817" s="36"/>
      <c r="AU817" s="36"/>
      <c r="AV817" s="36"/>
      <c r="AW817" s="36"/>
      <c r="AX817" s="36"/>
      <c r="AY817" s="36"/>
      <c r="AZ817" s="36"/>
      <c r="BA817" s="36"/>
      <c r="BB817" s="36"/>
      <c r="BC817" s="36"/>
      <c r="BD817" s="36"/>
      <c r="BE817" s="36"/>
      <c r="BF817" s="36"/>
      <c r="BG817" s="36"/>
      <c r="BH817" s="36"/>
      <c r="BI817" s="36"/>
      <c r="BJ817" s="36"/>
      <c r="BK817" s="36"/>
      <c r="BL817" s="36"/>
      <c r="BM817" s="36"/>
      <c r="BN817" s="36"/>
      <c r="BO817" s="36"/>
      <c r="BP817" s="36"/>
      <c r="BQ817" s="36"/>
    </row>
    <row r="818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51"/>
      <c r="S818" s="51"/>
      <c r="T818" s="51"/>
      <c r="U818" s="51"/>
      <c r="V818" s="51"/>
      <c r="W818" s="51"/>
      <c r="X818" s="51"/>
      <c r="Y818" s="45"/>
      <c r="Z818" s="45"/>
      <c r="AA818" s="45"/>
      <c r="AB818" s="45"/>
      <c r="AC818" s="45"/>
      <c r="AD818" s="45"/>
      <c r="AE818" s="45"/>
      <c r="AF818" s="45"/>
      <c r="AG818" s="45"/>
      <c r="AH818" s="45"/>
      <c r="AI818" s="45"/>
      <c r="AJ818" s="45"/>
      <c r="AK818" s="45"/>
      <c r="AL818" s="45"/>
      <c r="AM818" s="45"/>
      <c r="AN818" s="45"/>
      <c r="AO818" s="45"/>
      <c r="AP818" s="45"/>
      <c r="AQ818" s="36"/>
      <c r="AR818" s="36"/>
      <c r="AS818" s="36"/>
      <c r="AT818" s="36"/>
      <c r="AU818" s="36"/>
      <c r="AV818" s="36"/>
      <c r="AW818" s="36"/>
      <c r="AX818" s="36"/>
      <c r="AY818" s="36"/>
      <c r="AZ818" s="36"/>
      <c r="BA818" s="36"/>
      <c r="BB818" s="36"/>
      <c r="BC818" s="36"/>
      <c r="BD818" s="36"/>
      <c r="BE818" s="36"/>
      <c r="BF818" s="36"/>
      <c r="BG818" s="36"/>
      <c r="BH818" s="36"/>
      <c r="BI818" s="36"/>
      <c r="BJ818" s="36"/>
      <c r="BK818" s="36"/>
      <c r="BL818" s="36"/>
      <c r="BM818" s="36"/>
      <c r="BN818" s="36"/>
      <c r="BO818" s="36"/>
      <c r="BP818" s="36"/>
      <c r="BQ818" s="36"/>
    </row>
    <row r="819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51"/>
      <c r="S819" s="51"/>
      <c r="T819" s="51"/>
      <c r="U819" s="51"/>
      <c r="V819" s="51"/>
      <c r="W819" s="51"/>
      <c r="X819" s="51"/>
      <c r="Y819" s="45"/>
      <c r="Z819" s="45"/>
      <c r="AA819" s="45"/>
      <c r="AB819" s="45"/>
      <c r="AC819" s="45"/>
      <c r="AD819" s="45"/>
      <c r="AE819" s="45"/>
      <c r="AF819" s="45"/>
      <c r="AG819" s="45"/>
      <c r="AH819" s="45"/>
      <c r="AI819" s="45"/>
      <c r="AJ819" s="45"/>
      <c r="AK819" s="45"/>
      <c r="AL819" s="45"/>
      <c r="AM819" s="45"/>
      <c r="AN819" s="45"/>
      <c r="AO819" s="45"/>
      <c r="AP819" s="45"/>
      <c r="AQ819" s="36"/>
      <c r="AR819" s="36"/>
      <c r="AS819" s="36"/>
      <c r="AT819" s="36"/>
      <c r="AU819" s="36"/>
      <c r="AV819" s="36"/>
      <c r="AW819" s="36"/>
      <c r="AX819" s="36"/>
      <c r="AY819" s="36"/>
      <c r="AZ819" s="36"/>
      <c r="BA819" s="36"/>
      <c r="BB819" s="36"/>
      <c r="BC819" s="36"/>
      <c r="BD819" s="36"/>
      <c r="BE819" s="36"/>
      <c r="BF819" s="36"/>
      <c r="BG819" s="36"/>
      <c r="BH819" s="36"/>
      <c r="BI819" s="36"/>
      <c r="BJ819" s="36"/>
      <c r="BK819" s="36"/>
      <c r="BL819" s="36"/>
      <c r="BM819" s="36"/>
      <c r="BN819" s="36"/>
      <c r="BO819" s="36"/>
      <c r="BP819" s="36"/>
      <c r="BQ819" s="36"/>
    </row>
    <row r="820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51"/>
      <c r="S820" s="51"/>
      <c r="T820" s="51"/>
      <c r="U820" s="51"/>
      <c r="V820" s="51"/>
      <c r="W820" s="51"/>
      <c r="X820" s="51"/>
      <c r="Y820" s="45"/>
      <c r="Z820" s="45"/>
      <c r="AA820" s="45"/>
      <c r="AB820" s="45"/>
      <c r="AC820" s="45"/>
      <c r="AD820" s="45"/>
      <c r="AE820" s="45"/>
      <c r="AF820" s="45"/>
      <c r="AG820" s="45"/>
      <c r="AH820" s="45"/>
      <c r="AI820" s="45"/>
      <c r="AJ820" s="45"/>
      <c r="AK820" s="45"/>
      <c r="AL820" s="45"/>
      <c r="AM820" s="45"/>
      <c r="AN820" s="45"/>
      <c r="AO820" s="45"/>
      <c r="AP820" s="45"/>
      <c r="AQ820" s="36"/>
      <c r="AR820" s="36"/>
      <c r="AS820" s="36"/>
      <c r="AT820" s="36"/>
      <c r="AU820" s="36"/>
      <c r="AV820" s="36"/>
      <c r="AW820" s="36"/>
      <c r="AX820" s="36"/>
      <c r="AY820" s="36"/>
      <c r="AZ820" s="36"/>
      <c r="BA820" s="36"/>
      <c r="BB820" s="36"/>
      <c r="BC820" s="36"/>
      <c r="BD820" s="36"/>
      <c r="BE820" s="36"/>
      <c r="BF820" s="36"/>
      <c r="BG820" s="36"/>
      <c r="BH820" s="36"/>
      <c r="BI820" s="36"/>
      <c r="BJ820" s="36"/>
      <c r="BK820" s="36"/>
      <c r="BL820" s="36"/>
      <c r="BM820" s="36"/>
      <c r="BN820" s="36"/>
      <c r="BO820" s="36"/>
      <c r="BP820" s="36"/>
      <c r="BQ820" s="36"/>
    </row>
    <row r="82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51"/>
      <c r="S821" s="51"/>
      <c r="T821" s="51"/>
      <c r="U821" s="51"/>
      <c r="V821" s="51"/>
      <c r="W821" s="51"/>
      <c r="X821" s="51"/>
      <c r="Y821" s="45"/>
      <c r="Z821" s="45"/>
      <c r="AA821" s="45"/>
      <c r="AB821" s="45"/>
      <c r="AC821" s="45"/>
      <c r="AD821" s="45"/>
      <c r="AE821" s="45"/>
      <c r="AF821" s="45"/>
      <c r="AG821" s="45"/>
      <c r="AH821" s="45"/>
      <c r="AI821" s="45"/>
      <c r="AJ821" s="45"/>
      <c r="AK821" s="45"/>
      <c r="AL821" s="45"/>
      <c r="AM821" s="45"/>
      <c r="AN821" s="45"/>
      <c r="AO821" s="45"/>
      <c r="AP821" s="45"/>
      <c r="AQ821" s="36"/>
      <c r="AR821" s="36"/>
      <c r="AS821" s="36"/>
      <c r="AT821" s="36"/>
      <c r="AU821" s="36"/>
      <c r="AV821" s="36"/>
      <c r="AW821" s="36"/>
      <c r="AX821" s="36"/>
      <c r="AY821" s="36"/>
      <c r="AZ821" s="36"/>
      <c r="BA821" s="36"/>
      <c r="BB821" s="36"/>
      <c r="BC821" s="36"/>
      <c r="BD821" s="36"/>
      <c r="BE821" s="36"/>
      <c r="BF821" s="36"/>
      <c r="BG821" s="36"/>
      <c r="BH821" s="36"/>
      <c r="BI821" s="36"/>
      <c r="BJ821" s="36"/>
      <c r="BK821" s="36"/>
      <c r="BL821" s="36"/>
      <c r="BM821" s="36"/>
      <c r="BN821" s="36"/>
      <c r="BO821" s="36"/>
      <c r="BP821" s="36"/>
      <c r="BQ821" s="36"/>
    </row>
    <row r="82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51"/>
      <c r="S822" s="51"/>
      <c r="T822" s="51"/>
      <c r="U822" s="51"/>
      <c r="V822" s="51"/>
      <c r="W822" s="51"/>
      <c r="X822" s="51"/>
      <c r="Y822" s="45"/>
      <c r="Z822" s="45"/>
      <c r="AA822" s="45"/>
      <c r="AB822" s="45"/>
      <c r="AC822" s="45"/>
      <c r="AD822" s="45"/>
      <c r="AE822" s="45"/>
      <c r="AF822" s="45"/>
      <c r="AG822" s="45"/>
      <c r="AH822" s="45"/>
      <c r="AI822" s="45"/>
      <c r="AJ822" s="45"/>
      <c r="AK822" s="45"/>
      <c r="AL822" s="45"/>
      <c r="AM822" s="45"/>
      <c r="AN822" s="45"/>
      <c r="AO822" s="45"/>
      <c r="AP822" s="45"/>
      <c r="AQ822" s="36"/>
      <c r="AR822" s="36"/>
      <c r="AS822" s="36"/>
      <c r="AT822" s="36"/>
      <c r="AU822" s="36"/>
      <c r="AV822" s="36"/>
      <c r="AW822" s="36"/>
      <c r="AX822" s="36"/>
      <c r="AY822" s="36"/>
      <c r="AZ822" s="36"/>
      <c r="BA822" s="36"/>
      <c r="BB822" s="36"/>
      <c r="BC822" s="36"/>
      <c r="BD822" s="36"/>
      <c r="BE822" s="36"/>
      <c r="BF822" s="36"/>
      <c r="BG822" s="36"/>
      <c r="BH822" s="36"/>
      <c r="BI822" s="36"/>
      <c r="BJ822" s="36"/>
      <c r="BK822" s="36"/>
      <c r="BL822" s="36"/>
      <c r="BM822" s="36"/>
      <c r="BN822" s="36"/>
      <c r="BO822" s="36"/>
      <c r="BP822" s="36"/>
      <c r="BQ822" s="36"/>
    </row>
    <row r="823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51"/>
      <c r="S823" s="51"/>
      <c r="T823" s="51"/>
      <c r="U823" s="51"/>
      <c r="V823" s="51"/>
      <c r="W823" s="51"/>
      <c r="X823" s="51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5"/>
      <c r="AM823" s="45"/>
      <c r="AN823" s="45"/>
      <c r="AO823" s="45"/>
      <c r="AP823" s="45"/>
      <c r="AQ823" s="36"/>
      <c r="AR823" s="36"/>
      <c r="AS823" s="36"/>
      <c r="AT823" s="36"/>
      <c r="AU823" s="36"/>
      <c r="AV823" s="36"/>
      <c r="AW823" s="36"/>
      <c r="AX823" s="36"/>
      <c r="AY823" s="36"/>
      <c r="AZ823" s="36"/>
      <c r="BA823" s="36"/>
      <c r="BB823" s="36"/>
      <c r="BC823" s="36"/>
      <c r="BD823" s="36"/>
      <c r="BE823" s="36"/>
      <c r="BF823" s="36"/>
      <c r="BG823" s="36"/>
      <c r="BH823" s="36"/>
      <c r="BI823" s="36"/>
      <c r="BJ823" s="36"/>
      <c r="BK823" s="36"/>
      <c r="BL823" s="36"/>
      <c r="BM823" s="36"/>
      <c r="BN823" s="36"/>
      <c r="BO823" s="36"/>
      <c r="BP823" s="36"/>
      <c r="BQ823" s="36"/>
    </row>
    <row r="824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51"/>
      <c r="S824" s="51"/>
      <c r="T824" s="51"/>
      <c r="U824" s="51"/>
      <c r="V824" s="51"/>
      <c r="W824" s="51"/>
      <c r="X824" s="51"/>
      <c r="Y824" s="45"/>
      <c r="Z824" s="45"/>
      <c r="AA824" s="45"/>
      <c r="AB824" s="45"/>
      <c r="AC824" s="45"/>
      <c r="AD824" s="45"/>
      <c r="AE824" s="45"/>
      <c r="AF824" s="45"/>
      <c r="AG824" s="45"/>
      <c r="AH824" s="45"/>
      <c r="AI824" s="45"/>
      <c r="AJ824" s="45"/>
      <c r="AK824" s="45"/>
      <c r="AL824" s="45"/>
      <c r="AM824" s="45"/>
      <c r="AN824" s="45"/>
      <c r="AO824" s="45"/>
      <c r="AP824" s="45"/>
      <c r="AQ824" s="36"/>
      <c r="AR824" s="36"/>
      <c r="AS824" s="36"/>
      <c r="AT824" s="36"/>
      <c r="AU824" s="36"/>
      <c r="AV824" s="36"/>
      <c r="AW824" s="36"/>
      <c r="AX824" s="36"/>
      <c r="AY824" s="36"/>
      <c r="AZ824" s="36"/>
      <c r="BA824" s="36"/>
      <c r="BB824" s="36"/>
      <c r="BC824" s="36"/>
      <c r="BD824" s="36"/>
      <c r="BE824" s="36"/>
      <c r="BF824" s="36"/>
      <c r="BG824" s="36"/>
      <c r="BH824" s="36"/>
      <c r="BI824" s="36"/>
      <c r="BJ824" s="36"/>
      <c r="BK824" s="36"/>
      <c r="BL824" s="36"/>
      <c r="BM824" s="36"/>
      <c r="BN824" s="36"/>
      <c r="BO824" s="36"/>
      <c r="BP824" s="36"/>
      <c r="BQ824" s="36"/>
    </row>
    <row r="8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51"/>
      <c r="S825" s="51"/>
      <c r="T825" s="51"/>
      <c r="U825" s="51"/>
      <c r="V825" s="51"/>
      <c r="W825" s="51"/>
      <c r="X825" s="51"/>
      <c r="Y825" s="45"/>
      <c r="Z825" s="45"/>
      <c r="AA825" s="45"/>
      <c r="AB825" s="45"/>
      <c r="AC825" s="45"/>
      <c r="AD825" s="45"/>
      <c r="AE825" s="45"/>
      <c r="AF825" s="45"/>
      <c r="AG825" s="45"/>
      <c r="AH825" s="45"/>
      <c r="AI825" s="45"/>
      <c r="AJ825" s="45"/>
      <c r="AK825" s="45"/>
      <c r="AL825" s="45"/>
      <c r="AM825" s="45"/>
      <c r="AN825" s="45"/>
      <c r="AO825" s="45"/>
      <c r="AP825" s="45"/>
      <c r="AQ825" s="36"/>
      <c r="AR825" s="36"/>
      <c r="AS825" s="36"/>
      <c r="AT825" s="36"/>
      <c r="AU825" s="36"/>
      <c r="AV825" s="36"/>
      <c r="AW825" s="36"/>
      <c r="AX825" s="36"/>
      <c r="AY825" s="36"/>
      <c r="AZ825" s="36"/>
      <c r="BA825" s="36"/>
      <c r="BB825" s="36"/>
      <c r="BC825" s="36"/>
      <c r="BD825" s="36"/>
      <c r="BE825" s="36"/>
      <c r="BF825" s="36"/>
      <c r="BG825" s="36"/>
      <c r="BH825" s="36"/>
      <c r="BI825" s="36"/>
      <c r="BJ825" s="36"/>
      <c r="BK825" s="36"/>
      <c r="BL825" s="36"/>
      <c r="BM825" s="36"/>
      <c r="BN825" s="36"/>
      <c r="BO825" s="36"/>
      <c r="BP825" s="36"/>
      <c r="BQ825" s="36"/>
    </row>
    <row r="826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51"/>
      <c r="S826" s="51"/>
      <c r="T826" s="51"/>
      <c r="U826" s="51"/>
      <c r="V826" s="51"/>
      <c r="W826" s="51"/>
      <c r="X826" s="51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5"/>
      <c r="AM826" s="45"/>
      <c r="AN826" s="45"/>
      <c r="AO826" s="45"/>
      <c r="AP826" s="45"/>
      <c r="AQ826" s="36"/>
      <c r="AR826" s="36"/>
      <c r="AS826" s="36"/>
      <c r="AT826" s="36"/>
      <c r="AU826" s="36"/>
      <c r="AV826" s="36"/>
      <c r="AW826" s="36"/>
      <c r="AX826" s="36"/>
      <c r="AY826" s="36"/>
      <c r="AZ826" s="36"/>
      <c r="BA826" s="36"/>
      <c r="BB826" s="36"/>
      <c r="BC826" s="36"/>
      <c r="BD826" s="36"/>
      <c r="BE826" s="36"/>
      <c r="BF826" s="36"/>
      <c r="BG826" s="36"/>
      <c r="BH826" s="36"/>
      <c r="BI826" s="36"/>
      <c r="BJ826" s="36"/>
      <c r="BK826" s="36"/>
      <c r="BL826" s="36"/>
      <c r="BM826" s="36"/>
      <c r="BN826" s="36"/>
      <c r="BO826" s="36"/>
      <c r="BP826" s="36"/>
      <c r="BQ826" s="36"/>
    </row>
    <row r="827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51"/>
      <c r="S827" s="51"/>
      <c r="T827" s="51"/>
      <c r="U827" s="51"/>
      <c r="V827" s="51"/>
      <c r="W827" s="51"/>
      <c r="X827" s="51"/>
      <c r="Y827" s="45"/>
      <c r="Z827" s="45"/>
      <c r="AA827" s="45"/>
      <c r="AB827" s="45"/>
      <c r="AC827" s="45"/>
      <c r="AD827" s="45"/>
      <c r="AE827" s="45"/>
      <c r="AF827" s="45"/>
      <c r="AG827" s="45"/>
      <c r="AH827" s="45"/>
      <c r="AI827" s="45"/>
      <c r="AJ827" s="45"/>
      <c r="AK827" s="45"/>
      <c r="AL827" s="45"/>
      <c r="AM827" s="45"/>
      <c r="AN827" s="45"/>
      <c r="AO827" s="45"/>
      <c r="AP827" s="45"/>
      <c r="AQ827" s="36"/>
      <c r="AR827" s="36"/>
      <c r="AS827" s="36"/>
      <c r="AT827" s="36"/>
      <c r="AU827" s="36"/>
      <c r="AV827" s="36"/>
      <c r="AW827" s="36"/>
      <c r="AX827" s="36"/>
      <c r="AY827" s="36"/>
      <c r="AZ827" s="36"/>
      <c r="BA827" s="36"/>
      <c r="BB827" s="36"/>
      <c r="BC827" s="36"/>
      <c r="BD827" s="36"/>
      <c r="BE827" s="36"/>
      <c r="BF827" s="36"/>
      <c r="BG827" s="36"/>
      <c r="BH827" s="36"/>
      <c r="BI827" s="36"/>
      <c r="BJ827" s="36"/>
      <c r="BK827" s="36"/>
      <c r="BL827" s="36"/>
      <c r="BM827" s="36"/>
      <c r="BN827" s="36"/>
      <c r="BO827" s="36"/>
      <c r="BP827" s="36"/>
      <c r="BQ827" s="36"/>
    </row>
    <row r="828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51"/>
      <c r="S828" s="51"/>
      <c r="T828" s="51"/>
      <c r="U828" s="51"/>
      <c r="V828" s="51"/>
      <c r="W828" s="51"/>
      <c r="X828" s="51"/>
      <c r="Y828" s="45"/>
      <c r="Z828" s="45"/>
      <c r="AA828" s="45"/>
      <c r="AB828" s="45"/>
      <c r="AC828" s="45"/>
      <c r="AD828" s="45"/>
      <c r="AE828" s="45"/>
      <c r="AF828" s="45"/>
      <c r="AG828" s="45"/>
      <c r="AH828" s="45"/>
      <c r="AI828" s="45"/>
      <c r="AJ828" s="45"/>
      <c r="AK828" s="45"/>
      <c r="AL828" s="45"/>
      <c r="AM828" s="45"/>
      <c r="AN828" s="45"/>
      <c r="AO828" s="45"/>
      <c r="AP828" s="45"/>
      <c r="AQ828" s="36"/>
      <c r="AR828" s="36"/>
      <c r="AS828" s="36"/>
      <c r="AT828" s="36"/>
      <c r="AU828" s="36"/>
      <c r="AV828" s="36"/>
      <c r="AW828" s="36"/>
      <c r="AX828" s="36"/>
      <c r="AY828" s="36"/>
      <c r="AZ828" s="36"/>
      <c r="BA828" s="36"/>
      <c r="BB828" s="36"/>
      <c r="BC828" s="36"/>
      <c r="BD828" s="36"/>
      <c r="BE828" s="36"/>
      <c r="BF828" s="36"/>
      <c r="BG828" s="36"/>
      <c r="BH828" s="36"/>
      <c r="BI828" s="36"/>
      <c r="BJ828" s="36"/>
      <c r="BK828" s="36"/>
      <c r="BL828" s="36"/>
      <c r="BM828" s="36"/>
      <c r="BN828" s="36"/>
      <c r="BO828" s="36"/>
      <c r="BP828" s="36"/>
      <c r="BQ828" s="36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51"/>
      <c r="S829" s="51"/>
      <c r="T829" s="51"/>
      <c r="U829" s="51"/>
      <c r="V829" s="51"/>
      <c r="W829" s="51"/>
      <c r="X829" s="51"/>
      <c r="Y829" s="45"/>
      <c r="Z829" s="45"/>
      <c r="AA829" s="45"/>
      <c r="AB829" s="45"/>
      <c r="AC829" s="45"/>
      <c r="AD829" s="45"/>
      <c r="AE829" s="45"/>
      <c r="AF829" s="45"/>
      <c r="AG829" s="45"/>
      <c r="AH829" s="45"/>
      <c r="AI829" s="45"/>
      <c r="AJ829" s="45"/>
      <c r="AK829" s="45"/>
      <c r="AL829" s="45"/>
      <c r="AM829" s="45"/>
      <c r="AN829" s="45"/>
      <c r="AO829" s="45"/>
      <c r="AP829" s="45"/>
      <c r="AQ829" s="36"/>
      <c r="AR829" s="36"/>
      <c r="AS829" s="36"/>
      <c r="AT829" s="36"/>
      <c r="AU829" s="36"/>
      <c r="AV829" s="36"/>
      <c r="AW829" s="36"/>
      <c r="AX829" s="36"/>
      <c r="AY829" s="36"/>
      <c r="AZ829" s="36"/>
      <c r="BA829" s="36"/>
      <c r="BB829" s="36"/>
      <c r="BC829" s="36"/>
      <c r="BD829" s="36"/>
      <c r="BE829" s="36"/>
      <c r="BF829" s="36"/>
      <c r="BG829" s="36"/>
      <c r="BH829" s="36"/>
      <c r="BI829" s="36"/>
      <c r="BJ829" s="36"/>
      <c r="BK829" s="36"/>
      <c r="BL829" s="36"/>
      <c r="BM829" s="36"/>
      <c r="BN829" s="36"/>
      <c r="BO829" s="36"/>
      <c r="BP829" s="36"/>
      <c r="BQ829" s="36"/>
    </row>
    <row r="830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51"/>
      <c r="S830" s="51"/>
      <c r="T830" s="51"/>
      <c r="U830" s="51"/>
      <c r="V830" s="51"/>
      <c r="W830" s="51"/>
      <c r="X830" s="51"/>
      <c r="Y830" s="45"/>
      <c r="Z830" s="45"/>
      <c r="AA830" s="45"/>
      <c r="AB830" s="45"/>
      <c r="AC830" s="45"/>
      <c r="AD830" s="45"/>
      <c r="AE830" s="45"/>
      <c r="AF830" s="45"/>
      <c r="AG830" s="45"/>
      <c r="AH830" s="45"/>
      <c r="AI830" s="45"/>
      <c r="AJ830" s="45"/>
      <c r="AK830" s="45"/>
      <c r="AL830" s="45"/>
      <c r="AM830" s="45"/>
      <c r="AN830" s="45"/>
      <c r="AO830" s="45"/>
      <c r="AP830" s="45"/>
      <c r="AQ830" s="36"/>
      <c r="AR830" s="36"/>
      <c r="AS830" s="36"/>
      <c r="AT830" s="36"/>
      <c r="AU830" s="36"/>
      <c r="AV830" s="36"/>
      <c r="AW830" s="36"/>
      <c r="AX830" s="36"/>
      <c r="AY830" s="36"/>
      <c r="AZ830" s="36"/>
      <c r="BA830" s="36"/>
      <c r="BB830" s="36"/>
      <c r="BC830" s="36"/>
      <c r="BD830" s="36"/>
      <c r="BE830" s="36"/>
      <c r="BF830" s="36"/>
      <c r="BG830" s="36"/>
      <c r="BH830" s="36"/>
      <c r="BI830" s="36"/>
      <c r="BJ830" s="36"/>
      <c r="BK830" s="36"/>
      <c r="BL830" s="36"/>
      <c r="BM830" s="36"/>
      <c r="BN830" s="36"/>
      <c r="BO830" s="36"/>
      <c r="BP830" s="36"/>
      <c r="BQ830" s="36"/>
    </row>
    <row r="83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51"/>
      <c r="S831" s="51"/>
      <c r="T831" s="51"/>
      <c r="U831" s="51"/>
      <c r="V831" s="51"/>
      <c r="W831" s="51"/>
      <c r="X831" s="51"/>
      <c r="Y831" s="45"/>
      <c r="Z831" s="45"/>
      <c r="AA831" s="45"/>
      <c r="AB831" s="45"/>
      <c r="AC831" s="45"/>
      <c r="AD831" s="45"/>
      <c r="AE831" s="45"/>
      <c r="AF831" s="45"/>
      <c r="AG831" s="45"/>
      <c r="AH831" s="45"/>
      <c r="AI831" s="45"/>
      <c r="AJ831" s="45"/>
      <c r="AK831" s="45"/>
      <c r="AL831" s="45"/>
      <c r="AM831" s="45"/>
      <c r="AN831" s="45"/>
      <c r="AO831" s="45"/>
      <c r="AP831" s="45"/>
      <c r="AQ831" s="36"/>
      <c r="AR831" s="36"/>
      <c r="AS831" s="36"/>
      <c r="AT831" s="36"/>
      <c r="AU831" s="36"/>
      <c r="AV831" s="36"/>
      <c r="AW831" s="36"/>
      <c r="AX831" s="36"/>
      <c r="AY831" s="36"/>
      <c r="AZ831" s="36"/>
      <c r="BA831" s="36"/>
      <c r="BB831" s="36"/>
      <c r="BC831" s="36"/>
      <c r="BD831" s="36"/>
      <c r="BE831" s="36"/>
      <c r="BF831" s="36"/>
      <c r="BG831" s="36"/>
      <c r="BH831" s="36"/>
      <c r="BI831" s="36"/>
      <c r="BJ831" s="36"/>
      <c r="BK831" s="36"/>
      <c r="BL831" s="36"/>
      <c r="BM831" s="36"/>
      <c r="BN831" s="36"/>
      <c r="BO831" s="36"/>
      <c r="BP831" s="36"/>
      <c r="BQ831" s="36"/>
    </row>
    <row r="83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51"/>
      <c r="S832" s="51"/>
      <c r="T832" s="51"/>
      <c r="U832" s="51"/>
      <c r="V832" s="51"/>
      <c r="W832" s="51"/>
      <c r="X832" s="51"/>
      <c r="Y832" s="45"/>
      <c r="Z832" s="45"/>
      <c r="AA832" s="45"/>
      <c r="AB832" s="45"/>
      <c r="AC832" s="45"/>
      <c r="AD832" s="45"/>
      <c r="AE832" s="45"/>
      <c r="AF832" s="45"/>
      <c r="AG832" s="45"/>
      <c r="AH832" s="45"/>
      <c r="AI832" s="45"/>
      <c r="AJ832" s="45"/>
      <c r="AK832" s="45"/>
      <c r="AL832" s="45"/>
      <c r="AM832" s="45"/>
      <c r="AN832" s="45"/>
      <c r="AO832" s="45"/>
      <c r="AP832" s="45"/>
      <c r="AQ832" s="36"/>
      <c r="AR832" s="36"/>
      <c r="AS832" s="36"/>
      <c r="AT832" s="36"/>
      <c r="AU832" s="36"/>
      <c r="AV832" s="36"/>
      <c r="AW832" s="36"/>
      <c r="AX832" s="36"/>
      <c r="AY832" s="36"/>
      <c r="AZ832" s="36"/>
      <c r="BA832" s="36"/>
      <c r="BB832" s="36"/>
      <c r="BC832" s="36"/>
      <c r="BD832" s="36"/>
      <c r="BE832" s="36"/>
      <c r="BF832" s="36"/>
      <c r="BG832" s="36"/>
      <c r="BH832" s="36"/>
      <c r="BI832" s="36"/>
      <c r="BJ832" s="36"/>
      <c r="BK832" s="36"/>
      <c r="BL832" s="36"/>
      <c r="BM832" s="36"/>
      <c r="BN832" s="36"/>
      <c r="BO832" s="36"/>
      <c r="BP832" s="36"/>
      <c r="BQ832" s="36"/>
    </row>
    <row r="833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51"/>
      <c r="S833" s="51"/>
      <c r="T833" s="51"/>
      <c r="U833" s="51"/>
      <c r="V833" s="51"/>
      <c r="W833" s="51"/>
      <c r="X833" s="51"/>
      <c r="Y833" s="45"/>
      <c r="Z833" s="45"/>
      <c r="AA833" s="45"/>
      <c r="AB833" s="45"/>
      <c r="AC833" s="45"/>
      <c r="AD833" s="45"/>
      <c r="AE833" s="45"/>
      <c r="AF833" s="45"/>
      <c r="AG833" s="45"/>
      <c r="AH833" s="45"/>
      <c r="AI833" s="45"/>
      <c r="AJ833" s="45"/>
      <c r="AK833" s="45"/>
      <c r="AL833" s="45"/>
      <c r="AM833" s="45"/>
      <c r="AN833" s="45"/>
      <c r="AO833" s="45"/>
      <c r="AP833" s="45"/>
      <c r="AQ833" s="36"/>
      <c r="AR833" s="36"/>
      <c r="AS833" s="36"/>
      <c r="AT833" s="36"/>
      <c r="AU833" s="36"/>
      <c r="AV833" s="36"/>
      <c r="AW833" s="36"/>
      <c r="AX833" s="36"/>
      <c r="AY833" s="36"/>
      <c r="AZ833" s="36"/>
      <c r="BA833" s="36"/>
      <c r="BB833" s="36"/>
      <c r="BC833" s="36"/>
      <c r="BD833" s="36"/>
      <c r="BE833" s="36"/>
      <c r="BF833" s="36"/>
      <c r="BG833" s="36"/>
      <c r="BH833" s="36"/>
      <c r="BI833" s="36"/>
      <c r="BJ833" s="36"/>
      <c r="BK833" s="36"/>
      <c r="BL833" s="36"/>
      <c r="BM833" s="36"/>
      <c r="BN833" s="36"/>
      <c r="BO833" s="36"/>
      <c r="BP833" s="36"/>
      <c r="BQ833" s="36"/>
    </row>
    <row r="834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51"/>
      <c r="S834" s="51"/>
      <c r="T834" s="51"/>
      <c r="U834" s="51"/>
      <c r="V834" s="51"/>
      <c r="W834" s="51"/>
      <c r="X834" s="51"/>
      <c r="Y834" s="45"/>
      <c r="Z834" s="45"/>
      <c r="AA834" s="45"/>
      <c r="AB834" s="45"/>
      <c r="AC834" s="45"/>
      <c r="AD834" s="45"/>
      <c r="AE834" s="45"/>
      <c r="AF834" s="45"/>
      <c r="AG834" s="45"/>
      <c r="AH834" s="45"/>
      <c r="AI834" s="45"/>
      <c r="AJ834" s="45"/>
      <c r="AK834" s="45"/>
      <c r="AL834" s="45"/>
      <c r="AM834" s="45"/>
      <c r="AN834" s="45"/>
      <c r="AO834" s="45"/>
      <c r="AP834" s="45"/>
      <c r="AQ834" s="36"/>
      <c r="AR834" s="36"/>
      <c r="AS834" s="36"/>
      <c r="AT834" s="36"/>
      <c r="AU834" s="36"/>
      <c r="AV834" s="36"/>
      <c r="AW834" s="36"/>
      <c r="AX834" s="36"/>
      <c r="AY834" s="36"/>
      <c r="AZ834" s="36"/>
      <c r="BA834" s="36"/>
      <c r="BB834" s="36"/>
      <c r="BC834" s="36"/>
      <c r="BD834" s="36"/>
      <c r="BE834" s="36"/>
      <c r="BF834" s="36"/>
      <c r="BG834" s="36"/>
      <c r="BH834" s="36"/>
      <c r="BI834" s="36"/>
      <c r="BJ834" s="36"/>
      <c r="BK834" s="36"/>
      <c r="BL834" s="36"/>
      <c r="BM834" s="36"/>
      <c r="BN834" s="36"/>
      <c r="BO834" s="36"/>
      <c r="BP834" s="36"/>
      <c r="BQ834" s="36"/>
    </row>
    <row r="8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51"/>
      <c r="S835" s="51"/>
      <c r="T835" s="51"/>
      <c r="U835" s="51"/>
      <c r="V835" s="51"/>
      <c r="W835" s="51"/>
      <c r="X835" s="51"/>
      <c r="Y835" s="45"/>
      <c r="Z835" s="45"/>
      <c r="AA835" s="45"/>
      <c r="AB835" s="45"/>
      <c r="AC835" s="45"/>
      <c r="AD835" s="45"/>
      <c r="AE835" s="45"/>
      <c r="AF835" s="45"/>
      <c r="AG835" s="45"/>
      <c r="AH835" s="45"/>
      <c r="AI835" s="45"/>
      <c r="AJ835" s="45"/>
      <c r="AK835" s="45"/>
      <c r="AL835" s="45"/>
      <c r="AM835" s="45"/>
      <c r="AN835" s="45"/>
      <c r="AO835" s="45"/>
      <c r="AP835" s="45"/>
      <c r="AQ835" s="36"/>
      <c r="AR835" s="36"/>
      <c r="AS835" s="36"/>
      <c r="AT835" s="36"/>
      <c r="AU835" s="36"/>
      <c r="AV835" s="36"/>
      <c r="AW835" s="36"/>
      <c r="AX835" s="36"/>
      <c r="AY835" s="36"/>
      <c r="AZ835" s="36"/>
      <c r="BA835" s="36"/>
      <c r="BB835" s="36"/>
      <c r="BC835" s="36"/>
      <c r="BD835" s="36"/>
      <c r="BE835" s="36"/>
      <c r="BF835" s="36"/>
      <c r="BG835" s="36"/>
      <c r="BH835" s="36"/>
      <c r="BI835" s="36"/>
      <c r="BJ835" s="36"/>
      <c r="BK835" s="36"/>
      <c r="BL835" s="36"/>
      <c r="BM835" s="36"/>
      <c r="BN835" s="36"/>
      <c r="BO835" s="36"/>
      <c r="BP835" s="36"/>
      <c r="BQ835" s="36"/>
    </row>
    <row r="836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51"/>
      <c r="S836" s="51"/>
      <c r="T836" s="51"/>
      <c r="U836" s="51"/>
      <c r="V836" s="51"/>
      <c r="W836" s="51"/>
      <c r="X836" s="51"/>
      <c r="Y836" s="45"/>
      <c r="Z836" s="45"/>
      <c r="AA836" s="45"/>
      <c r="AB836" s="45"/>
      <c r="AC836" s="45"/>
      <c r="AD836" s="45"/>
      <c r="AE836" s="45"/>
      <c r="AF836" s="45"/>
      <c r="AG836" s="45"/>
      <c r="AH836" s="45"/>
      <c r="AI836" s="45"/>
      <c r="AJ836" s="45"/>
      <c r="AK836" s="45"/>
      <c r="AL836" s="45"/>
      <c r="AM836" s="45"/>
      <c r="AN836" s="45"/>
      <c r="AO836" s="45"/>
      <c r="AP836" s="45"/>
      <c r="AQ836" s="36"/>
      <c r="AR836" s="36"/>
      <c r="AS836" s="36"/>
      <c r="AT836" s="36"/>
      <c r="AU836" s="36"/>
      <c r="AV836" s="36"/>
      <c r="AW836" s="36"/>
      <c r="AX836" s="36"/>
      <c r="AY836" s="36"/>
      <c r="AZ836" s="36"/>
      <c r="BA836" s="36"/>
      <c r="BB836" s="36"/>
      <c r="BC836" s="36"/>
      <c r="BD836" s="36"/>
      <c r="BE836" s="36"/>
      <c r="BF836" s="36"/>
      <c r="BG836" s="36"/>
      <c r="BH836" s="36"/>
      <c r="BI836" s="36"/>
      <c r="BJ836" s="36"/>
      <c r="BK836" s="36"/>
      <c r="BL836" s="36"/>
      <c r="BM836" s="36"/>
      <c r="BN836" s="36"/>
      <c r="BO836" s="36"/>
      <c r="BP836" s="36"/>
      <c r="BQ836" s="36"/>
    </row>
    <row r="837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51"/>
      <c r="S837" s="51"/>
      <c r="T837" s="51"/>
      <c r="U837" s="51"/>
      <c r="V837" s="51"/>
      <c r="W837" s="51"/>
      <c r="X837" s="51"/>
      <c r="Y837" s="45"/>
      <c r="Z837" s="45"/>
      <c r="AA837" s="45"/>
      <c r="AB837" s="45"/>
      <c r="AC837" s="45"/>
      <c r="AD837" s="45"/>
      <c r="AE837" s="45"/>
      <c r="AF837" s="45"/>
      <c r="AG837" s="45"/>
      <c r="AH837" s="45"/>
      <c r="AI837" s="45"/>
      <c r="AJ837" s="45"/>
      <c r="AK837" s="45"/>
      <c r="AL837" s="45"/>
      <c r="AM837" s="45"/>
      <c r="AN837" s="45"/>
      <c r="AO837" s="45"/>
      <c r="AP837" s="45"/>
      <c r="AQ837" s="36"/>
      <c r="AR837" s="36"/>
      <c r="AS837" s="36"/>
      <c r="AT837" s="36"/>
      <c r="AU837" s="36"/>
      <c r="AV837" s="36"/>
      <c r="AW837" s="36"/>
      <c r="AX837" s="36"/>
      <c r="AY837" s="36"/>
      <c r="AZ837" s="36"/>
      <c r="BA837" s="36"/>
      <c r="BB837" s="36"/>
      <c r="BC837" s="36"/>
      <c r="BD837" s="36"/>
      <c r="BE837" s="36"/>
      <c r="BF837" s="36"/>
      <c r="BG837" s="36"/>
      <c r="BH837" s="36"/>
      <c r="BI837" s="36"/>
      <c r="BJ837" s="36"/>
      <c r="BK837" s="36"/>
      <c r="BL837" s="36"/>
      <c r="BM837" s="36"/>
      <c r="BN837" s="36"/>
      <c r="BO837" s="36"/>
      <c r="BP837" s="36"/>
      <c r="BQ837" s="36"/>
    </row>
    <row r="838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51"/>
      <c r="S838" s="51"/>
      <c r="T838" s="51"/>
      <c r="U838" s="51"/>
      <c r="V838" s="51"/>
      <c r="W838" s="51"/>
      <c r="X838" s="51"/>
      <c r="Y838" s="45"/>
      <c r="Z838" s="45"/>
      <c r="AA838" s="45"/>
      <c r="AB838" s="45"/>
      <c r="AC838" s="45"/>
      <c r="AD838" s="45"/>
      <c r="AE838" s="45"/>
      <c r="AF838" s="45"/>
      <c r="AG838" s="45"/>
      <c r="AH838" s="45"/>
      <c r="AI838" s="45"/>
      <c r="AJ838" s="45"/>
      <c r="AK838" s="45"/>
      <c r="AL838" s="45"/>
      <c r="AM838" s="45"/>
      <c r="AN838" s="45"/>
      <c r="AO838" s="45"/>
      <c r="AP838" s="45"/>
      <c r="AQ838" s="36"/>
      <c r="AR838" s="36"/>
      <c r="AS838" s="36"/>
      <c r="AT838" s="36"/>
      <c r="AU838" s="36"/>
      <c r="AV838" s="36"/>
      <c r="AW838" s="36"/>
      <c r="AX838" s="36"/>
      <c r="AY838" s="36"/>
      <c r="AZ838" s="36"/>
      <c r="BA838" s="36"/>
      <c r="BB838" s="36"/>
      <c r="BC838" s="36"/>
      <c r="BD838" s="36"/>
      <c r="BE838" s="36"/>
      <c r="BF838" s="36"/>
      <c r="BG838" s="36"/>
      <c r="BH838" s="36"/>
      <c r="BI838" s="36"/>
      <c r="BJ838" s="36"/>
      <c r="BK838" s="36"/>
      <c r="BL838" s="36"/>
      <c r="BM838" s="36"/>
      <c r="BN838" s="36"/>
      <c r="BO838" s="36"/>
      <c r="BP838" s="36"/>
      <c r="BQ838" s="36"/>
    </row>
    <row r="839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51"/>
      <c r="S839" s="51"/>
      <c r="T839" s="51"/>
      <c r="U839" s="51"/>
      <c r="V839" s="51"/>
      <c r="W839" s="51"/>
      <c r="X839" s="51"/>
      <c r="Y839" s="45"/>
      <c r="Z839" s="45"/>
      <c r="AA839" s="45"/>
      <c r="AB839" s="45"/>
      <c r="AC839" s="45"/>
      <c r="AD839" s="45"/>
      <c r="AE839" s="45"/>
      <c r="AF839" s="45"/>
      <c r="AG839" s="45"/>
      <c r="AH839" s="45"/>
      <c r="AI839" s="45"/>
      <c r="AJ839" s="45"/>
      <c r="AK839" s="45"/>
      <c r="AL839" s="45"/>
      <c r="AM839" s="45"/>
      <c r="AN839" s="45"/>
      <c r="AO839" s="45"/>
      <c r="AP839" s="45"/>
      <c r="AQ839" s="36"/>
      <c r="AR839" s="36"/>
      <c r="AS839" s="36"/>
      <c r="AT839" s="36"/>
      <c r="AU839" s="36"/>
      <c r="AV839" s="36"/>
      <c r="AW839" s="36"/>
      <c r="AX839" s="36"/>
      <c r="AY839" s="36"/>
      <c r="AZ839" s="36"/>
      <c r="BA839" s="36"/>
      <c r="BB839" s="36"/>
      <c r="BC839" s="36"/>
      <c r="BD839" s="36"/>
      <c r="BE839" s="36"/>
      <c r="BF839" s="36"/>
      <c r="BG839" s="36"/>
      <c r="BH839" s="36"/>
      <c r="BI839" s="36"/>
      <c r="BJ839" s="36"/>
      <c r="BK839" s="36"/>
      <c r="BL839" s="36"/>
      <c r="BM839" s="36"/>
      <c r="BN839" s="36"/>
      <c r="BO839" s="36"/>
      <c r="BP839" s="36"/>
      <c r="BQ839" s="36"/>
    </row>
    <row r="840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51"/>
      <c r="S840" s="51"/>
      <c r="T840" s="51"/>
      <c r="U840" s="51"/>
      <c r="V840" s="51"/>
      <c r="W840" s="51"/>
      <c r="X840" s="51"/>
      <c r="Y840" s="45"/>
      <c r="Z840" s="45"/>
      <c r="AA840" s="45"/>
      <c r="AB840" s="45"/>
      <c r="AC840" s="45"/>
      <c r="AD840" s="45"/>
      <c r="AE840" s="45"/>
      <c r="AF840" s="45"/>
      <c r="AG840" s="45"/>
      <c r="AH840" s="45"/>
      <c r="AI840" s="45"/>
      <c r="AJ840" s="45"/>
      <c r="AK840" s="45"/>
      <c r="AL840" s="45"/>
      <c r="AM840" s="45"/>
      <c r="AN840" s="45"/>
      <c r="AO840" s="45"/>
      <c r="AP840" s="45"/>
      <c r="AQ840" s="36"/>
      <c r="AR840" s="36"/>
      <c r="AS840" s="36"/>
      <c r="AT840" s="36"/>
      <c r="AU840" s="36"/>
      <c r="AV840" s="36"/>
      <c r="AW840" s="36"/>
      <c r="AX840" s="36"/>
      <c r="AY840" s="36"/>
      <c r="AZ840" s="36"/>
      <c r="BA840" s="36"/>
      <c r="BB840" s="36"/>
      <c r="BC840" s="36"/>
      <c r="BD840" s="36"/>
      <c r="BE840" s="36"/>
      <c r="BF840" s="36"/>
      <c r="BG840" s="36"/>
      <c r="BH840" s="36"/>
      <c r="BI840" s="36"/>
      <c r="BJ840" s="36"/>
      <c r="BK840" s="36"/>
      <c r="BL840" s="36"/>
      <c r="BM840" s="36"/>
      <c r="BN840" s="36"/>
      <c r="BO840" s="36"/>
      <c r="BP840" s="36"/>
      <c r="BQ840" s="36"/>
    </row>
    <row r="84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51"/>
      <c r="S841" s="51"/>
      <c r="T841" s="51"/>
      <c r="U841" s="51"/>
      <c r="V841" s="51"/>
      <c r="W841" s="51"/>
      <c r="X841" s="51"/>
      <c r="Y841" s="45"/>
      <c r="Z841" s="45"/>
      <c r="AA841" s="45"/>
      <c r="AB841" s="45"/>
      <c r="AC841" s="45"/>
      <c r="AD841" s="45"/>
      <c r="AE841" s="45"/>
      <c r="AF841" s="45"/>
      <c r="AG841" s="45"/>
      <c r="AH841" s="45"/>
      <c r="AI841" s="45"/>
      <c r="AJ841" s="45"/>
      <c r="AK841" s="45"/>
      <c r="AL841" s="45"/>
      <c r="AM841" s="45"/>
      <c r="AN841" s="45"/>
      <c r="AO841" s="45"/>
      <c r="AP841" s="45"/>
      <c r="AQ841" s="36"/>
      <c r="AR841" s="36"/>
      <c r="AS841" s="36"/>
      <c r="AT841" s="36"/>
      <c r="AU841" s="36"/>
      <c r="AV841" s="36"/>
      <c r="AW841" s="36"/>
      <c r="AX841" s="36"/>
      <c r="AY841" s="36"/>
      <c r="AZ841" s="36"/>
      <c r="BA841" s="36"/>
      <c r="BB841" s="36"/>
      <c r="BC841" s="36"/>
      <c r="BD841" s="36"/>
      <c r="BE841" s="36"/>
      <c r="BF841" s="36"/>
      <c r="BG841" s="36"/>
      <c r="BH841" s="36"/>
      <c r="BI841" s="36"/>
      <c r="BJ841" s="36"/>
      <c r="BK841" s="36"/>
      <c r="BL841" s="36"/>
      <c r="BM841" s="36"/>
      <c r="BN841" s="36"/>
      <c r="BO841" s="36"/>
      <c r="BP841" s="36"/>
      <c r="BQ841" s="36"/>
    </row>
    <row r="84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51"/>
      <c r="S842" s="51"/>
      <c r="T842" s="51"/>
      <c r="U842" s="51"/>
      <c r="V842" s="51"/>
      <c r="W842" s="51"/>
      <c r="X842" s="51"/>
      <c r="Y842" s="45"/>
      <c r="Z842" s="45"/>
      <c r="AA842" s="45"/>
      <c r="AB842" s="45"/>
      <c r="AC842" s="45"/>
      <c r="AD842" s="45"/>
      <c r="AE842" s="45"/>
      <c r="AF842" s="45"/>
      <c r="AG842" s="45"/>
      <c r="AH842" s="45"/>
      <c r="AI842" s="45"/>
      <c r="AJ842" s="45"/>
      <c r="AK842" s="45"/>
      <c r="AL842" s="45"/>
      <c r="AM842" s="45"/>
      <c r="AN842" s="45"/>
      <c r="AO842" s="45"/>
      <c r="AP842" s="45"/>
      <c r="AQ842" s="36"/>
      <c r="AR842" s="36"/>
      <c r="AS842" s="36"/>
      <c r="AT842" s="36"/>
      <c r="AU842" s="36"/>
      <c r="AV842" s="36"/>
      <c r="AW842" s="36"/>
      <c r="AX842" s="36"/>
      <c r="AY842" s="36"/>
      <c r="AZ842" s="36"/>
      <c r="BA842" s="36"/>
      <c r="BB842" s="36"/>
      <c r="BC842" s="36"/>
      <c r="BD842" s="36"/>
      <c r="BE842" s="36"/>
      <c r="BF842" s="36"/>
      <c r="BG842" s="36"/>
      <c r="BH842" s="36"/>
      <c r="BI842" s="36"/>
      <c r="BJ842" s="36"/>
      <c r="BK842" s="36"/>
      <c r="BL842" s="36"/>
      <c r="BM842" s="36"/>
      <c r="BN842" s="36"/>
      <c r="BO842" s="36"/>
      <c r="BP842" s="36"/>
      <c r="BQ842" s="36"/>
    </row>
    <row r="843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51"/>
      <c r="S843" s="51"/>
      <c r="T843" s="51"/>
      <c r="U843" s="51"/>
      <c r="V843" s="51"/>
      <c r="W843" s="51"/>
      <c r="X843" s="51"/>
      <c r="Y843" s="45"/>
      <c r="Z843" s="45"/>
      <c r="AA843" s="45"/>
      <c r="AB843" s="45"/>
      <c r="AC843" s="45"/>
      <c r="AD843" s="45"/>
      <c r="AE843" s="45"/>
      <c r="AF843" s="45"/>
      <c r="AG843" s="45"/>
      <c r="AH843" s="45"/>
      <c r="AI843" s="45"/>
      <c r="AJ843" s="45"/>
      <c r="AK843" s="45"/>
      <c r="AL843" s="45"/>
      <c r="AM843" s="45"/>
      <c r="AN843" s="45"/>
      <c r="AO843" s="45"/>
      <c r="AP843" s="45"/>
      <c r="AQ843" s="36"/>
      <c r="AR843" s="36"/>
      <c r="AS843" s="36"/>
      <c r="AT843" s="36"/>
      <c r="AU843" s="36"/>
      <c r="AV843" s="36"/>
      <c r="AW843" s="36"/>
      <c r="AX843" s="36"/>
      <c r="AY843" s="36"/>
      <c r="AZ843" s="36"/>
      <c r="BA843" s="36"/>
      <c r="BB843" s="36"/>
      <c r="BC843" s="36"/>
      <c r="BD843" s="36"/>
      <c r="BE843" s="36"/>
      <c r="BF843" s="36"/>
      <c r="BG843" s="36"/>
      <c r="BH843" s="36"/>
      <c r="BI843" s="36"/>
      <c r="BJ843" s="36"/>
      <c r="BK843" s="36"/>
      <c r="BL843" s="36"/>
      <c r="BM843" s="36"/>
      <c r="BN843" s="36"/>
      <c r="BO843" s="36"/>
      <c r="BP843" s="36"/>
      <c r="BQ843" s="36"/>
    </row>
    <row r="844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51"/>
      <c r="S844" s="51"/>
      <c r="T844" s="51"/>
      <c r="U844" s="51"/>
      <c r="V844" s="51"/>
      <c r="W844" s="51"/>
      <c r="X844" s="51"/>
      <c r="Y844" s="45"/>
      <c r="Z844" s="45"/>
      <c r="AA844" s="45"/>
      <c r="AB844" s="45"/>
      <c r="AC844" s="45"/>
      <c r="AD844" s="45"/>
      <c r="AE844" s="45"/>
      <c r="AF844" s="45"/>
      <c r="AG844" s="45"/>
      <c r="AH844" s="45"/>
      <c r="AI844" s="45"/>
      <c r="AJ844" s="45"/>
      <c r="AK844" s="45"/>
      <c r="AL844" s="45"/>
      <c r="AM844" s="45"/>
      <c r="AN844" s="45"/>
      <c r="AO844" s="45"/>
      <c r="AP844" s="45"/>
      <c r="AQ844" s="36"/>
      <c r="AR844" s="36"/>
      <c r="AS844" s="36"/>
      <c r="AT844" s="36"/>
      <c r="AU844" s="36"/>
      <c r="AV844" s="36"/>
      <c r="AW844" s="36"/>
      <c r="AX844" s="36"/>
      <c r="AY844" s="36"/>
      <c r="AZ844" s="36"/>
      <c r="BA844" s="36"/>
      <c r="BB844" s="36"/>
      <c r="BC844" s="36"/>
      <c r="BD844" s="36"/>
      <c r="BE844" s="36"/>
      <c r="BF844" s="36"/>
      <c r="BG844" s="36"/>
      <c r="BH844" s="36"/>
      <c r="BI844" s="36"/>
      <c r="BJ844" s="36"/>
      <c r="BK844" s="36"/>
      <c r="BL844" s="36"/>
      <c r="BM844" s="36"/>
      <c r="BN844" s="36"/>
      <c r="BO844" s="36"/>
      <c r="BP844" s="36"/>
      <c r="BQ844" s="36"/>
    </row>
    <row r="84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51"/>
      <c r="S845" s="51"/>
      <c r="T845" s="51"/>
      <c r="U845" s="51"/>
      <c r="V845" s="51"/>
      <c r="W845" s="51"/>
      <c r="X845" s="51"/>
      <c r="Y845" s="45"/>
      <c r="Z845" s="45"/>
      <c r="AA845" s="45"/>
      <c r="AB845" s="45"/>
      <c r="AC845" s="45"/>
      <c r="AD845" s="45"/>
      <c r="AE845" s="45"/>
      <c r="AF845" s="45"/>
      <c r="AG845" s="45"/>
      <c r="AH845" s="45"/>
      <c r="AI845" s="45"/>
      <c r="AJ845" s="45"/>
      <c r="AK845" s="45"/>
      <c r="AL845" s="45"/>
      <c r="AM845" s="45"/>
      <c r="AN845" s="45"/>
      <c r="AO845" s="45"/>
      <c r="AP845" s="45"/>
      <c r="AQ845" s="36"/>
      <c r="AR845" s="36"/>
      <c r="AS845" s="36"/>
      <c r="AT845" s="36"/>
      <c r="AU845" s="36"/>
      <c r="AV845" s="36"/>
      <c r="AW845" s="36"/>
      <c r="AX845" s="36"/>
      <c r="AY845" s="36"/>
      <c r="AZ845" s="36"/>
      <c r="BA845" s="36"/>
      <c r="BB845" s="36"/>
      <c r="BC845" s="36"/>
      <c r="BD845" s="36"/>
      <c r="BE845" s="36"/>
      <c r="BF845" s="36"/>
      <c r="BG845" s="36"/>
      <c r="BH845" s="36"/>
      <c r="BI845" s="36"/>
      <c r="BJ845" s="36"/>
      <c r="BK845" s="36"/>
      <c r="BL845" s="36"/>
      <c r="BM845" s="36"/>
      <c r="BN845" s="36"/>
      <c r="BO845" s="36"/>
      <c r="BP845" s="36"/>
      <c r="BQ845" s="36"/>
    </row>
    <row r="846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51"/>
      <c r="S846" s="51"/>
      <c r="T846" s="51"/>
      <c r="U846" s="51"/>
      <c r="V846" s="51"/>
      <c r="W846" s="51"/>
      <c r="X846" s="51"/>
      <c r="Y846" s="45"/>
      <c r="Z846" s="45"/>
      <c r="AA846" s="45"/>
      <c r="AB846" s="45"/>
      <c r="AC846" s="45"/>
      <c r="AD846" s="45"/>
      <c r="AE846" s="45"/>
      <c r="AF846" s="45"/>
      <c r="AG846" s="45"/>
      <c r="AH846" s="45"/>
      <c r="AI846" s="45"/>
      <c r="AJ846" s="45"/>
      <c r="AK846" s="45"/>
      <c r="AL846" s="45"/>
      <c r="AM846" s="45"/>
      <c r="AN846" s="45"/>
      <c r="AO846" s="45"/>
      <c r="AP846" s="45"/>
      <c r="AQ846" s="36"/>
      <c r="AR846" s="36"/>
      <c r="AS846" s="36"/>
      <c r="AT846" s="36"/>
      <c r="AU846" s="36"/>
      <c r="AV846" s="36"/>
      <c r="AW846" s="36"/>
      <c r="AX846" s="36"/>
      <c r="AY846" s="36"/>
      <c r="AZ846" s="36"/>
      <c r="BA846" s="36"/>
      <c r="BB846" s="36"/>
      <c r="BC846" s="36"/>
      <c r="BD846" s="36"/>
      <c r="BE846" s="36"/>
      <c r="BF846" s="36"/>
      <c r="BG846" s="36"/>
      <c r="BH846" s="36"/>
      <c r="BI846" s="36"/>
      <c r="BJ846" s="36"/>
      <c r="BK846" s="36"/>
      <c r="BL846" s="36"/>
      <c r="BM846" s="36"/>
      <c r="BN846" s="36"/>
      <c r="BO846" s="36"/>
      <c r="BP846" s="36"/>
      <c r="BQ846" s="36"/>
    </row>
    <row r="847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51"/>
      <c r="S847" s="51"/>
      <c r="T847" s="51"/>
      <c r="U847" s="51"/>
      <c r="V847" s="51"/>
      <c r="W847" s="51"/>
      <c r="X847" s="51"/>
      <c r="Y847" s="45"/>
      <c r="Z847" s="45"/>
      <c r="AA847" s="45"/>
      <c r="AB847" s="45"/>
      <c r="AC847" s="45"/>
      <c r="AD847" s="45"/>
      <c r="AE847" s="45"/>
      <c r="AF847" s="45"/>
      <c r="AG847" s="45"/>
      <c r="AH847" s="45"/>
      <c r="AI847" s="45"/>
      <c r="AJ847" s="45"/>
      <c r="AK847" s="45"/>
      <c r="AL847" s="45"/>
      <c r="AM847" s="45"/>
      <c r="AN847" s="45"/>
      <c r="AO847" s="45"/>
      <c r="AP847" s="45"/>
      <c r="AQ847" s="36"/>
      <c r="AR847" s="36"/>
      <c r="AS847" s="36"/>
      <c r="AT847" s="36"/>
      <c r="AU847" s="36"/>
      <c r="AV847" s="36"/>
      <c r="AW847" s="36"/>
      <c r="AX847" s="36"/>
      <c r="AY847" s="36"/>
      <c r="AZ847" s="36"/>
      <c r="BA847" s="36"/>
      <c r="BB847" s="36"/>
      <c r="BC847" s="36"/>
      <c r="BD847" s="36"/>
      <c r="BE847" s="36"/>
      <c r="BF847" s="36"/>
      <c r="BG847" s="36"/>
      <c r="BH847" s="36"/>
      <c r="BI847" s="36"/>
      <c r="BJ847" s="36"/>
      <c r="BK847" s="36"/>
      <c r="BL847" s="36"/>
      <c r="BM847" s="36"/>
      <c r="BN847" s="36"/>
      <c r="BO847" s="36"/>
      <c r="BP847" s="36"/>
      <c r="BQ847" s="36"/>
    </row>
    <row r="848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51"/>
      <c r="S848" s="51"/>
      <c r="T848" s="51"/>
      <c r="U848" s="51"/>
      <c r="V848" s="51"/>
      <c r="W848" s="51"/>
      <c r="X848" s="51"/>
      <c r="Y848" s="45"/>
      <c r="Z848" s="45"/>
      <c r="AA848" s="45"/>
      <c r="AB848" s="45"/>
      <c r="AC848" s="45"/>
      <c r="AD848" s="45"/>
      <c r="AE848" s="45"/>
      <c r="AF848" s="45"/>
      <c r="AG848" s="45"/>
      <c r="AH848" s="45"/>
      <c r="AI848" s="45"/>
      <c r="AJ848" s="45"/>
      <c r="AK848" s="45"/>
      <c r="AL848" s="45"/>
      <c r="AM848" s="45"/>
      <c r="AN848" s="45"/>
      <c r="AO848" s="45"/>
      <c r="AP848" s="45"/>
      <c r="AQ848" s="36"/>
      <c r="AR848" s="36"/>
      <c r="AS848" s="36"/>
      <c r="AT848" s="36"/>
      <c r="AU848" s="36"/>
      <c r="AV848" s="36"/>
      <c r="AW848" s="36"/>
      <c r="AX848" s="36"/>
      <c r="AY848" s="36"/>
      <c r="AZ848" s="36"/>
      <c r="BA848" s="36"/>
      <c r="BB848" s="36"/>
      <c r="BC848" s="36"/>
      <c r="BD848" s="36"/>
      <c r="BE848" s="36"/>
      <c r="BF848" s="36"/>
      <c r="BG848" s="36"/>
      <c r="BH848" s="36"/>
      <c r="BI848" s="36"/>
      <c r="BJ848" s="36"/>
      <c r="BK848" s="36"/>
      <c r="BL848" s="36"/>
      <c r="BM848" s="36"/>
      <c r="BN848" s="36"/>
      <c r="BO848" s="36"/>
      <c r="BP848" s="36"/>
      <c r="BQ848" s="36"/>
    </row>
    <row r="849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51"/>
      <c r="S849" s="51"/>
      <c r="T849" s="51"/>
      <c r="U849" s="51"/>
      <c r="V849" s="51"/>
      <c r="W849" s="51"/>
      <c r="X849" s="51"/>
      <c r="Y849" s="45"/>
      <c r="Z849" s="45"/>
      <c r="AA849" s="45"/>
      <c r="AB849" s="45"/>
      <c r="AC849" s="45"/>
      <c r="AD849" s="45"/>
      <c r="AE849" s="45"/>
      <c r="AF849" s="45"/>
      <c r="AG849" s="45"/>
      <c r="AH849" s="45"/>
      <c r="AI849" s="45"/>
      <c r="AJ849" s="45"/>
      <c r="AK849" s="45"/>
      <c r="AL849" s="45"/>
      <c r="AM849" s="45"/>
      <c r="AN849" s="45"/>
      <c r="AO849" s="45"/>
      <c r="AP849" s="45"/>
      <c r="AQ849" s="36"/>
      <c r="AR849" s="36"/>
      <c r="AS849" s="36"/>
      <c r="AT849" s="36"/>
      <c r="AU849" s="36"/>
      <c r="AV849" s="36"/>
      <c r="AW849" s="36"/>
      <c r="AX849" s="36"/>
      <c r="AY849" s="36"/>
      <c r="AZ849" s="36"/>
      <c r="BA849" s="36"/>
      <c r="BB849" s="36"/>
      <c r="BC849" s="36"/>
      <c r="BD849" s="36"/>
      <c r="BE849" s="36"/>
      <c r="BF849" s="36"/>
      <c r="BG849" s="36"/>
      <c r="BH849" s="36"/>
      <c r="BI849" s="36"/>
      <c r="BJ849" s="36"/>
      <c r="BK849" s="36"/>
      <c r="BL849" s="36"/>
      <c r="BM849" s="36"/>
      <c r="BN849" s="36"/>
      <c r="BO849" s="36"/>
      <c r="BP849" s="36"/>
      <c r="BQ849" s="36"/>
    </row>
    <row r="850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51"/>
      <c r="S850" s="51"/>
      <c r="T850" s="51"/>
      <c r="U850" s="51"/>
      <c r="V850" s="51"/>
      <c r="W850" s="51"/>
      <c r="X850" s="51"/>
      <c r="Y850" s="45"/>
      <c r="Z850" s="45"/>
      <c r="AA850" s="45"/>
      <c r="AB850" s="45"/>
      <c r="AC850" s="45"/>
      <c r="AD850" s="45"/>
      <c r="AE850" s="45"/>
      <c r="AF850" s="45"/>
      <c r="AG850" s="45"/>
      <c r="AH850" s="45"/>
      <c r="AI850" s="45"/>
      <c r="AJ850" s="45"/>
      <c r="AK850" s="45"/>
      <c r="AL850" s="45"/>
      <c r="AM850" s="45"/>
      <c r="AN850" s="45"/>
      <c r="AO850" s="45"/>
      <c r="AP850" s="45"/>
      <c r="AQ850" s="36"/>
      <c r="AR850" s="36"/>
      <c r="AS850" s="36"/>
      <c r="AT850" s="36"/>
      <c r="AU850" s="36"/>
      <c r="AV850" s="36"/>
      <c r="AW850" s="36"/>
      <c r="AX850" s="36"/>
      <c r="AY850" s="36"/>
      <c r="AZ850" s="36"/>
      <c r="BA850" s="36"/>
      <c r="BB850" s="36"/>
      <c r="BC850" s="36"/>
      <c r="BD850" s="36"/>
      <c r="BE850" s="36"/>
      <c r="BF850" s="36"/>
      <c r="BG850" s="36"/>
      <c r="BH850" s="36"/>
      <c r="BI850" s="36"/>
      <c r="BJ850" s="36"/>
      <c r="BK850" s="36"/>
      <c r="BL850" s="36"/>
      <c r="BM850" s="36"/>
      <c r="BN850" s="36"/>
      <c r="BO850" s="36"/>
      <c r="BP850" s="36"/>
      <c r="BQ850" s="36"/>
    </row>
    <row r="85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51"/>
      <c r="S851" s="51"/>
      <c r="T851" s="51"/>
      <c r="U851" s="51"/>
      <c r="V851" s="51"/>
      <c r="W851" s="51"/>
      <c r="X851" s="51"/>
      <c r="Y851" s="45"/>
      <c r="Z851" s="45"/>
      <c r="AA851" s="45"/>
      <c r="AB851" s="45"/>
      <c r="AC851" s="45"/>
      <c r="AD851" s="45"/>
      <c r="AE851" s="45"/>
      <c r="AF851" s="45"/>
      <c r="AG851" s="45"/>
      <c r="AH851" s="45"/>
      <c r="AI851" s="45"/>
      <c r="AJ851" s="45"/>
      <c r="AK851" s="45"/>
      <c r="AL851" s="45"/>
      <c r="AM851" s="45"/>
      <c r="AN851" s="45"/>
      <c r="AO851" s="45"/>
      <c r="AP851" s="45"/>
      <c r="AQ851" s="36"/>
      <c r="AR851" s="36"/>
      <c r="AS851" s="36"/>
      <c r="AT851" s="36"/>
      <c r="AU851" s="36"/>
      <c r="AV851" s="36"/>
      <c r="AW851" s="36"/>
      <c r="AX851" s="36"/>
      <c r="AY851" s="36"/>
      <c r="AZ851" s="36"/>
      <c r="BA851" s="36"/>
      <c r="BB851" s="36"/>
      <c r="BC851" s="36"/>
      <c r="BD851" s="36"/>
      <c r="BE851" s="36"/>
      <c r="BF851" s="36"/>
      <c r="BG851" s="36"/>
      <c r="BH851" s="36"/>
      <c r="BI851" s="36"/>
      <c r="BJ851" s="36"/>
      <c r="BK851" s="36"/>
      <c r="BL851" s="36"/>
      <c r="BM851" s="36"/>
      <c r="BN851" s="36"/>
      <c r="BO851" s="36"/>
      <c r="BP851" s="36"/>
      <c r="BQ851" s="36"/>
    </row>
    <row r="85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51"/>
      <c r="S852" s="51"/>
      <c r="T852" s="51"/>
      <c r="U852" s="51"/>
      <c r="V852" s="51"/>
      <c r="W852" s="51"/>
      <c r="X852" s="51"/>
      <c r="Y852" s="45"/>
      <c r="Z852" s="45"/>
      <c r="AA852" s="45"/>
      <c r="AB852" s="45"/>
      <c r="AC852" s="45"/>
      <c r="AD852" s="45"/>
      <c r="AE852" s="45"/>
      <c r="AF852" s="45"/>
      <c r="AG852" s="45"/>
      <c r="AH852" s="45"/>
      <c r="AI852" s="45"/>
      <c r="AJ852" s="45"/>
      <c r="AK852" s="45"/>
      <c r="AL852" s="45"/>
      <c r="AM852" s="45"/>
      <c r="AN852" s="45"/>
      <c r="AO852" s="45"/>
      <c r="AP852" s="45"/>
      <c r="AQ852" s="36"/>
      <c r="AR852" s="36"/>
      <c r="AS852" s="36"/>
      <c r="AT852" s="36"/>
      <c r="AU852" s="36"/>
      <c r="AV852" s="36"/>
      <c r="AW852" s="36"/>
      <c r="AX852" s="36"/>
      <c r="AY852" s="36"/>
      <c r="AZ852" s="36"/>
      <c r="BA852" s="36"/>
      <c r="BB852" s="36"/>
      <c r="BC852" s="36"/>
      <c r="BD852" s="36"/>
      <c r="BE852" s="36"/>
      <c r="BF852" s="36"/>
      <c r="BG852" s="36"/>
      <c r="BH852" s="36"/>
      <c r="BI852" s="36"/>
      <c r="BJ852" s="36"/>
      <c r="BK852" s="36"/>
      <c r="BL852" s="36"/>
      <c r="BM852" s="36"/>
      <c r="BN852" s="36"/>
      <c r="BO852" s="36"/>
      <c r="BP852" s="36"/>
      <c r="BQ852" s="36"/>
    </row>
    <row r="853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51"/>
      <c r="S853" s="51"/>
      <c r="T853" s="51"/>
      <c r="U853" s="51"/>
      <c r="V853" s="51"/>
      <c r="W853" s="51"/>
      <c r="X853" s="51"/>
      <c r="Y853" s="45"/>
      <c r="Z853" s="45"/>
      <c r="AA853" s="45"/>
      <c r="AB853" s="45"/>
      <c r="AC853" s="45"/>
      <c r="AD853" s="45"/>
      <c r="AE853" s="45"/>
      <c r="AF853" s="45"/>
      <c r="AG853" s="45"/>
      <c r="AH853" s="45"/>
      <c r="AI853" s="45"/>
      <c r="AJ853" s="45"/>
      <c r="AK853" s="45"/>
      <c r="AL853" s="45"/>
      <c r="AM853" s="45"/>
      <c r="AN853" s="45"/>
      <c r="AO853" s="45"/>
      <c r="AP853" s="45"/>
      <c r="AQ853" s="36"/>
      <c r="AR853" s="36"/>
      <c r="AS853" s="36"/>
      <c r="AT853" s="36"/>
      <c r="AU853" s="36"/>
      <c r="AV853" s="36"/>
      <c r="AW853" s="36"/>
      <c r="AX853" s="36"/>
      <c r="AY853" s="36"/>
      <c r="AZ853" s="36"/>
      <c r="BA853" s="36"/>
      <c r="BB853" s="36"/>
      <c r="BC853" s="36"/>
      <c r="BD853" s="36"/>
      <c r="BE853" s="36"/>
      <c r="BF853" s="36"/>
      <c r="BG853" s="36"/>
      <c r="BH853" s="36"/>
      <c r="BI853" s="36"/>
      <c r="BJ853" s="36"/>
      <c r="BK853" s="36"/>
      <c r="BL853" s="36"/>
      <c r="BM853" s="36"/>
      <c r="BN853" s="36"/>
      <c r="BO853" s="36"/>
      <c r="BP853" s="36"/>
      <c r="BQ853" s="36"/>
    </row>
    <row r="854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51"/>
      <c r="S854" s="51"/>
      <c r="T854" s="51"/>
      <c r="U854" s="51"/>
      <c r="V854" s="51"/>
      <c r="W854" s="51"/>
      <c r="X854" s="51"/>
      <c r="Y854" s="45"/>
      <c r="Z854" s="45"/>
      <c r="AA854" s="45"/>
      <c r="AB854" s="45"/>
      <c r="AC854" s="45"/>
      <c r="AD854" s="45"/>
      <c r="AE854" s="45"/>
      <c r="AF854" s="45"/>
      <c r="AG854" s="45"/>
      <c r="AH854" s="45"/>
      <c r="AI854" s="45"/>
      <c r="AJ854" s="45"/>
      <c r="AK854" s="45"/>
      <c r="AL854" s="45"/>
      <c r="AM854" s="45"/>
      <c r="AN854" s="45"/>
      <c r="AO854" s="45"/>
      <c r="AP854" s="45"/>
      <c r="AQ854" s="36"/>
      <c r="AR854" s="36"/>
      <c r="AS854" s="36"/>
      <c r="AT854" s="36"/>
      <c r="AU854" s="36"/>
      <c r="AV854" s="36"/>
      <c r="AW854" s="36"/>
      <c r="AX854" s="36"/>
      <c r="AY854" s="36"/>
      <c r="AZ854" s="36"/>
      <c r="BA854" s="36"/>
      <c r="BB854" s="36"/>
      <c r="BC854" s="36"/>
      <c r="BD854" s="36"/>
      <c r="BE854" s="36"/>
      <c r="BF854" s="36"/>
      <c r="BG854" s="36"/>
      <c r="BH854" s="36"/>
      <c r="BI854" s="36"/>
      <c r="BJ854" s="36"/>
      <c r="BK854" s="36"/>
      <c r="BL854" s="36"/>
      <c r="BM854" s="36"/>
      <c r="BN854" s="36"/>
      <c r="BO854" s="36"/>
      <c r="BP854" s="36"/>
      <c r="BQ854" s="36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51"/>
      <c r="S855" s="51"/>
      <c r="T855" s="51"/>
      <c r="U855" s="51"/>
      <c r="V855" s="51"/>
      <c r="W855" s="51"/>
      <c r="X855" s="51"/>
      <c r="Y855" s="45"/>
      <c r="Z855" s="45"/>
      <c r="AA855" s="45"/>
      <c r="AB855" s="45"/>
      <c r="AC855" s="45"/>
      <c r="AD855" s="45"/>
      <c r="AE855" s="45"/>
      <c r="AF855" s="45"/>
      <c r="AG855" s="45"/>
      <c r="AH855" s="45"/>
      <c r="AI855" s="45"/>
      <c r="AJ855" s="45"/>
      <c r="AK855" s="45"/>
      <c r="AL855" s="45"/>
      <c r="AM855" s="45"/>
      <c r="AN855" s="45"/>
      <c r="AO855" s="45"/>
      <c r="AP855" s="45"/>
      <c r="AQ855" s="36"/>
      <c r="AR855" s="36"/>
      <c r="AS855" s="36"/>
      <c r="AT855" s="36"/>
      <c r="AU855" s="36"/>
      <c r="AV855" s="36"/>
      <c r="AW855" s="36"/>
      <c r="AX855" s="36"/>
      <c r="AY855" s="36"/>
      <c r="AZ855" s="36"/>
      <c r="BA855" s="36"/>
      <c r="BB855" s="36"/>
      <c r="BC855" s="36"/>
      <c r="BD855" s="36"/>
      <c r="BE855" s="36"/>
      <c r="BF855" s="36"/>
      <c r="BG855" s="36"/>
      <c r="BH855" s="36"/>
      <c r="BI855" s="36"/>
      <c r="BJ855" s="36"/>
      <c r="BK855" s="36"/>
      <c r="BL855" s="36"/>
      <c r="BM855" s="36"/>
      <c r="BN855" s="36"/>
      <c r="BO855" s="36"/>
      <c r="BP855" s="36"/>
      <c r="BQ855" s="36"/>
    </row>
    <row r="856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51"/>
      <c r="S856" s="51"/>
      <c r="T856" s="51"/>
      <c r="U856" s="51"/>
      <c r="V856" s="51"/>
      <c r="W856" s="51"/>
      <c r="X856" s="51"/>
      <c r="Y856" s="45"/>
      <c r="Z856" s="45"/>
      <c r="AA856" s="45"/>
      <c r="AB856" s="45"/>
      <c r="AC856" s="45"/>
      <c r="AD856" s="45"/>
      <c r="AE856" s="45"/>
      <c r="AF856" s="45"/>
      <c r="AG856" s="45"/>
      <c r="AH856" s="45"/>
      <c r="AI856" s="45"/>
      <c r="AJ856" s="45"/>
      <c r="AK856" s="45"/>
      <c r="AL856" s="45"/>
      <c r="AM856" s="45"/>
      <c r="AN856" s="45"/>
      <c r="AO856" s="45"/>
      <c r="AP856" s="45"/>
      <c r="AQ856" s="36"/>
      <c r="AR856" s="36"/>
      <c r="AS856" s="36"/>
      <c r="AT856" s="36"/>
      <c r="AU856" s="36"/>
      <c r="AV856" s="36"/>
      <c r="AW856" s="36"/>
      <c r="AX856" s="36"/>
      <c r="AY856" s="36"/>
      <c r="AZ856" s="36"/>
      <c r="BA856" s="36"/>
      <c r="BB856" s="36"/>
      <c r="BC856" s="36"/>
      <c r="BD856" s="36"/>
      <c r="BE856" s="36"/>
      <c r="BF856" s="36"/>
      <c r="BG856" s="36"/>
      <c r="BH856" s="36"/>
      <c r="BI856" s="36"/>
      <c r="BJ856" s="36"/>
      <c r="BK856" s="36"/>
      <c r="BL856" s="36"/>
      <c r="BM856" s="36"/>
      <c r="BN856" s="36"/>
      <c r="BO856" s="36"/>
      <c r="BP856" s="36"/>
      <c r="BQ856" s="36"/>
    </row>
    <row r="857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51"/>
      <c r="S857" s="51"/>
      <c r="T857" s="51"/>
      <c r="U857" s="51"/>
      <c r="V857" s="51"/>
      <c r="W857" s="51"/>
      <c r="X857" s="51"/>
      <c r="Y857" s="45"/>
      <c r="Z857" s="45"/>
      <c r="AA857" s="45"/>
      <c r="AB857" s="45"/>
      <c r="AC857" s="45"/>
      <c r="AD857" s="45"/>
      <c r="AE857" s="45"/>
      <c r="AF857" s="45"/>
      <c r="AG857" s="45"/>
      <c r="AH857" s="45"/>
      <c r="AI857" s="45"/>
      <c r="AJ857" s="45"/>
      <c r="AK857" s="45"/>
      <c r="AL857" s="45"/>
      <c r="AM857" s="45"/>
      <c r="AN857" s="45"/>
      <c r="AO857" s="45"/>
      <c r="AP857" s="45"/>
      <c r="AQ857" s="36"/>
      <c r="AR857" s="36"/>
      <c r="AS857" s="36"/>
      <c r="AT857" s="36"/>
      <c r="AU857" s="36"/>
      <c r="AV857" s="36"/>
      <c r="AW857" s="36"/>
      <c r="AX857" s="36"/>
      <c r="AY857" s="36"/>
      <c r="AZ857" s="36"/>
      <c r="BA857" s="36"/>
      <c r="BB857" s="36"/>
      <c r="BC857" s="36"/>
      <c r="BD857" s="36"/>
      <c r="BE857" s="36"/>
      <c r="BF857" s="36"/>
      <c r="BG857" s="36"/>
      <c r="BH857" s="36"/>
      <c r="BI857" s="36"/>
      <c r="BJ857" s="36"/>
      <c r="BK857" s="36"/>
      <c r="BL857" s="36"/>
      <c r="BM857" s="36"/>
      <c r="BN857" s="36"/>
      <c r="BO857" s="36"/>
      <c r="BP857" s="36"/>
      <c r="BQ857" s="36"/>
    </row>
    <row r="858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51"/>
      <c r="S858" s="51"/>
      <c r="T858" s="51"/>
      <c r="U858" s="51"/>
      <c r="V858" s="51"/>
      <c r="W858" s="51"/>
      <c r="X858" s="51"/>
      <c r="Y858" s="45"/>
      <c r="Z858" s="45"/>
      <c r="AA858" s="45"/>
      <c r="AB858" s="45"/>
      <c r="AC858" s="45"/>
      <c r="AD858" s="45"/>
      <c r="AE858" s="45"/>
      <c r="AF858" s="45"/>
      <c r="AG858" s="45"/>
      <c r="AH858" s="45"/>
      <c r="AI858" s="45"/>
      <c r="AJ858" s="45"/>
      <c r="AK858" s="45"/>
      <c r="AL858" s="45"/>
      <c r="AM858" s="45"/>
      <c r="AN858" s="45"/>
      <c r="AO858" s="45"/>
      <c r="AP858" s="45"/>
      <c r="AQ858" s="36"/>
      <c r="AR858" s="36"/>
      <c r="AS858" s="36"/>
      <c r="AT858" s="36"/>
      <c r="AU858" s="36"/>
      <c r="AV858" s="36"/>
      <c r="AW858" s="36"/>
      <c r="AX858" s="36"/>
      <c r="AY858" s="36"/>
      <c r="AZ858" s="36"/>
      <c r="BA858" s="36"/>
      <c r="BB858" s="36"/>
      <c r="BC858" s="36"/>
      <c r="BD858" s="36"/>
      <c r="BE858" s="36"/>
      <c r="BF858" s="36"/>
      <c r="BG858" s="36"/>
      <c r="BH858" s="36"/>
      <c r="BI858" s="36"/>
      <c r="BJ858" s="36"/>
      <c r="BK858" s="36"/>
      <c r="BL858" s="36"/>
      <c r="BM858" s="36"/>
      <c r="BN858" s="36"/>
      <c r="BO858" s="36"/>
      <c r="BP858" s="36"/>
      <c r="BQ858" s="36"/>
    </row>
    <row r="859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51"/>
      <c r="S859" s="51"/>
      <c r="T859" s="51"/>
      <c r="U859" s="51"/>
      <c r="V859" s="51"/>
      <c r="W859" s="51"/>
      <c r="X859" s="51"/>
      <c r="Y859" s="45"/>
      <c r="Z859" s="45"/>
      <c r="AA859" s="45"/>
      <c r="AB859" s="45"/>
      <c r="AC859" s="45"/>
      <c r="AD859" s="45"/>
      <c r="AE859" s="45"/>
      <c r="AF859" s="45"/>
      <c r="AG859" s="45"/>
      <c r="AH859" s="45"/>
      <c r="AI859" s="45"/>
      <c r="AJ859" s="45"/>
      <c r="AK859" s="45"/>
      <c r="AL859" s="45"/>
      <c r="AM859" s="45"/>
      <c r="AN859" s="45"/>
      <c r="AO859" s="45"/>
      <c r="AP859" s="45"/>
      <c r="AQ859" s="36"/>
      <c r="AR859" s="36"/>
      <c r="AS859" s="36"/>
      <c r="AT859" s="36"/>
      <c r="AU859" s="36"/>
      <c r="AV859" s="36"/>
      <c r="AW859" s="36"/>
      <c r="AX859" s="36"/>
      <c r="AY859" s="36"/>
      <c r="AZ859" s="36"/>
      <c r="BA859" s="36"/>
      <c r="BB859" s="36"/>
      <c r="BC859" s="36"/>
      <c r="BD859" s="36"/>
      <c r="BE859" s="36"/>
      <c r="BF859" s="36"/>
      <c r="BG859" s="36"/>
      <c r="BH859" s="36"/>
      <c r="BI859" s="36"/>
      <c r="BJ859" s="36"/>
      <c r="BK859" s="36"/>
      <c r="BL859" s="36"/>
      <c r="BM859" s="36"/>
      <c r="BN859" s="36"/>
      <c r="BO859" s="36"/>
      <c r="BP859" s="36"/>
      <c r="BQ859" s="36"/>
    </row>
    <row r="860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51"/>
      <c r="S860" s="51"/>
      <c r="T860" s="51"/>
      <c r="U860" s="51"/>
      <c r="V860" s="51"/>
      <c r="W860" s="51"/>
      <c r="X860" s="51"/>
      <c r="Y860" s="45"/>
      <c r="Z860" s="45"/>
      <c r="AA860" s="45"/>
      <c r="AB860" s="45"/>
      <c r="AC860" s="45"/>
      <c r="AD860" s="45"/>
      <c r="AE860" s="45"/>
      <c r="AF860" s="45"/>
      <c r="AG860" s="45"/>
      <c r="AH860" s="45"/>
      <c r="AI860" s="45"/>
      <c r="AJ860" s="45"/>
      <c r="AK860" s="45"/>
      <c r="AL860" s="45"/>
      <c r="AM860" s="45"/>
      <c r="AN860" s="45"/>
      <c r="AO860" s="45"/>
      <c r="AP860" s="45"/>
      <c r="AQ860" s="36"/>
      <c r="AR860" s="36"/>
      <c r="AS860" s="36"/>
      <c r="AT860" s="36"/>
      <c r="AU860" s="36"/>
      <c r="AV860" s="36"/>
      <c r="AW860" s="36"/>
      <c r="AX860" s="36"/>
      <c r="AY860" s="36"/>
      <c r="AZ860" s="36"/>
      <c r="BA860" s="36"/>
      <c r="BB860" s="36"/>
      <c r="BC860" s="36"/>
      <c r="BD860" s="36"/>
      <c r="BE860" s="36"/>
      <c r="BF860" s="36"/>
      <c r="BG860" s="36"/>
      <c r="BH860" s="36"/>
      <c r="BI860" s="36"/>
      <c r="BJ860" s="36"/>
      <c r="BK860" s="36"/>
      <c r="BL860" s="36"/>
      <c r="BM860" s="36"/>
      <c r="BN860" s="36"/>
      <c r="BO860" s="36"/>
      <c r="BP860" s="36"/>
      <c r="BQ860" s="36"/>
    </row>
    <row r="86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51"/>
      <c r="S861" s="51"/>
      <c r="T861" s="51"/>
      <c r="U861" s="51"/>
      <c r="V861" s="51"/>
      <c r="W861" s="51"/>
      <c r="X861" s="51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5"/>
      <c r="AM861" s="45"/>
      <c r="AN861" s="45"/>
      <c r="AO861" s="45"/>
      <c r="AP861" s="45"/>
      <c r="AQ861" s="36"/>
      <c r="AR861" s="36"/>
      <c r="AS861" s="36"/>
      <c r="AT861" s="36"/>
      <c r="AU861" s="36"/>
      <c r="AV861" s="36"/>
      <c r="AW861" s="36"/>
      <c r="AX861" s="36"/>
      <c r="AY861" s="36"/>
      <c r="AZ861" s="36"/>
      <c r="BA861" s="36"/>
      <c r="BB861" s="36"/>
      <c r="BC861" s="36"/>
      <c r="BD861" s="36"/>
      <c r="BE861" s="36"/>
      <c r="BF861" s="36"/>
      <c r="BG861" s="36"/>
      <c r="BH861" s="36"/>
      <c r="BI861" s="36"/>
      <c r="BJ861" s="36"/>
      <c r="BK861" s="36"/>
      <c r="BL861" s="36"/>
      <c r="BM861" s="36"/>
      <c r="BN861" s="36"/>
      <c r="BO861" s="36"/>
      <c r="BP861" s="36"/>
      <c r="BQ861" s="36"/>
    </row>
    <row r="86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51"/>
      <c r="S862" s="51"/>
      <c r="T862" s="51"/>
      <c r="U862" s="51"/>
      <c r="V862" s="51"/>
      <c r="W862" s="51"/>
      <c r="X862" s="51"/>
      <c r="Y862" s="45"/>
      <c r="Z862" s="45"/>
      <c r="AA862" s="45"/>
      <c r="AB862" s="45"/>
      <c r="AC862" s="45"/>
      <c r="AD862" s="45"/>
      <c r="AE862" s="45"/>
      <c r="AF862" s="45"/>
      <c r="AG862" s="45"/>
      <c r="AH862" s="45"/>
      <c r="AI862" s="45"/>
      <c r="AJ862" s="45"/>
      <c r="AK862" s="45"/>
      <c r="AL862" s="45"/>
      <c r="AM862" s="45"/>
      <c r="AN862" s="45"/>
      <c r="AO862" s="45"/>
      <c r="AP862" s="45"/>
      <c r="AQ862" s="36"/>
      <c r="AR862" s="36"/>
      <c r="AS862" s="36"/>
      <c r="AT862" s="36"/>
      <c r="AU862" s="36"/>
      <c r="AV862" s="36"/>
      <c r="AW862" s="36"/>
      <c r="AX862" s="36"/>
      <c r="AY862" s="36"/>
      <c r="AZ862" s="36"/>
      <c r="BA862" s="36"/>
      <c r="BB862" s="36"/>
      <c r="BC862" s="36"/>
      <c r="BD862" s="36"/>
      <c r="BE862" s="36"/>
      <c r="BF862" s="36"/>
      <c r="BG862" s="36"/>
      <c r="BH862" s="36"/>
      <c r="BI862" s="36"/>
      <c r="BJ862" s="36"/>
      <c r="BK862" s="36"/>
      <c r="BL862" s="36"/>
      <c r="BM862" s="36"/>
      <c r="BN862" s="36"/>
      <c r="BO862" s="36"/>
      <c r="BP862" s="36"/>
      <c r="BQ862" s="36"/>
    </row>
    <row r="863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51"/>
      <c r="S863" s="51"/>
      <c r="T863" s="51"/>
      <c r="U863" s="51"/>
      <c r="V863" s="51"/>
      <c r="W863" s="51"/>
      <c r="X863" s="51"/>
      <c r="Y863" s="45"/>
      <c r="Z863" s="45"/>
      <c r="AA863" s="45"/>
      <c r="AB863" s="45"/>
      <c r="AC863" s="45"/>
      <c r="AD863" s="45"/>
      <c r="AE863" s="45"/>
      <c r="AF863" s="45"/>
      <c r="AG863" s="45"/>
      <c r="AH863" s="45"/>
      <c r="AI863" s="45"/>
      <c r="AJ863" s="45"/>
      <c r="AK863" s="45"/>
      <c r="AL863" s="45"/>
      <c r="AM863" s="45"/>
      <c r="AN863" s="45"/>
      <c r="AO863" s="45"/>
      <c r="AP863" s="45"/>
      <c r="AQ863" s="36"/>
      <c r="AR863" s="36"/>
      <c r="AS863" s="36"/>
      <c r="AT863" s="36"/>
      <c r="AU863" s="36"/>
      <c r="AV863" s="36"/>
      <c r="AW863" s="36"/>
      <c r="AX863" s="36"/>
      <c r="AY863" s="36"/>
      <c r="AZ863" s="36"/>
      <c r="BA863" s="36"/>
      <c r="BB863" s="36"/>
      <c r="BC863" s="36"/>
      <c r="BD863" s="36"/>
      <c r="BE863" s="36"/>
      <c r="BF863" s="36"/>
      <c r="BG863" s="36"/>
      <c r="BH863" s="36"/>
      <c r="BI863" s="36"/>
      <c r="BJ863" s="36"/>
      <c r="BK863" s="36"/>
      <c r="BL863" s="36"/>
      <c r="BM863" s="36"/>
      <c r="BN863" s="36"/>
      <c r="BO863" s="36"/>
      <c r="BP863" s="36"/>
      <c r="BQ863" s="36"/>
    </row>
    <row r="864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51"/>
      <c r="S864" s="51"/>
      <c r="T864" s="51"/>
      <c r="U864" s="51"/>
      <c r="V864" s="51"/>
      <c r="W864" s="51"/>
      <c r="X864" s="51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5"/>
      <c r="AM864" s="45"/>
      <c r="AN864" s="45"/>
      <c r="AO864" s="45"/>
      <c r="AP864" s="45"/>
      <c r="AQ864" s="36"/>
      <c r="AR864" s="36"/>
      <c r="AS864" s="36"/>
      <c r="AT864" s="36"/>
      <c r="AU864" s="36"/>
      <c r="AV864" s="36"/>
      <c r="AW864" s="36"/>
      <c r="AX864" s="36"/>
      <c r="AY864" s="36"/>
      <c r="AZ864" s="36"/>
      <c r="BA864" s="36"/>
      <c r="BB864" s="36"/>
      <c r="BC864" s="36"/>
      <c r="BD864" s="36"/>
      <c r="BE864" s="36"/>
      <c r="BF864" s="36"/>
      <c r="BG864" s="36"/>
      <c r="BH864" s="36"/>
      <c r="BI864" s="36"/>
      <c r="BJ864" s="36"/>
      <c r="BK864" s="36"/>
      <c r="BL864" s="36"/>
      <c r="BM864" s="36"/>
      <c r="BN864" s="36"/>
      <c r="BO864" s="36"/>
      <c r="BP864" s="36"/>
      <c r="BQ864" s="36"/>
    </row>
    <row r="86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51"/>
      <c r="S865" s="51"/>
      <c r="T865" s="51"/>
      <c r="U865" s="51"/>
      <c r="V865" s="51"/>
      <c r="W865" s="51"/>
      <c r="X865" s="51"/>
      <c r="Y865" s="45"/>
      <c r="Z865" s="45"/>
      <c r="AA865" s="45"/>
      <c r="AB865" s="45"/>
      <c r="AC865" s="45"/>
      <c r="AD865" s="45"/>
      <c r="AE865" s="45"/>
      <c r="AF865" s="45"/>
      <c r="AG865" s="45"/>
      <c r="AH865" s="45"/>
      <c r="AI865" s="45"/>
      <c r="AJ865" s="45"/>
      <c r="AK865" s="45"/>
      <c r="AL865" s="45"/>
      <c r="AM865" s="45"/>
      <c r="AN865" s="45"/>
      <c r="AO865" s="45"/>
      <c r="AP865" s="45"/>
      <c r="AQ865" s="36"/>
      <c r="AR865" s="36"/>
      <c r="AS865" s="36"/>
      <c r="AT865" s="36"/>
      <c r="AU865" s="36"/>
      <c r="AV865" s="36"/>
      <c r="AW865" s="36"/>
      <c r="AX865" s="36"/>
      <c r="AY865" s="36"/>
      <c r="AZ865" s="36"/>
      <c r="BA865" s="36"/>
      <c r="BB865" s="36"/>
      <c r="BC865" s="36"/>
      <c r="BD865" s="36"/>
      <c r="BE865" s="36"/>
      <c r="BF865" s="36"/>
      <c r="BG865" s="36"/>
      <c r="BH865" s="36"/>
      <c r="BI865" s="36"/>
      <c r="BJ865" s="36"/>
      <c r="BK865" s="36"/>
      <c r="BL865" s="36"/>
      <c r="BM865" s="36"/>
      <c r="BN865" s="36"/>
      <c r="BO865" s="36"/>
      <c r="BP865" s="36"/>
      <c r="BQ865" s="36"/>
    </row>
    <row r="866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51"/>
      <c r="S866" s="51"/>
      <c r="T866" s="51"/>
      <c r="U866" s="51"/>
      <c r="V866" s="51"/>
      <c r="W866" s="51"/>
      <c r="X866" s="51"/>
      <c r="Y866" s="45"/>
      <c r="Z866" s="45"/>
      <c r="AA866" s="45"/>
      <c r="AB866" s="45"/>
      <c r="AC866" s="45"/>
      <c r="AD866" s="45"/>
      <c r="AE866" s="45"/>
      <c r="AF866" s="45"/>
      <c r="AG866" s="45"/>
      <c r="AH866" s="45"/>
      <c r="AI866" s="45"/>
      <c r="AJ866" s="45"/>
      <c r="AK866" s="45"/>
      <c r="AL866" s="45"/>
      <c r="AM866" s="45"/>
      <c r="AN866" s="45"/>
      <c r="AO866" s="45"/>
      <c r="AP866" s="45"/>
      <c r="AQ866" s="36"/>
      <c r="AR866" s="36"/>
      <c r="AS866" s="36"/>
      <c r="AT866" s="36"/>
      <c r="AU866" s="36"/>
      <c r="AV866" s="36"/>
      <c r="AW866" s="36"/>
      <c r="AX866" s="36"/>
      <c r="AY866" s="36"/>
      <c r="AZ866" s="36"/>
      <c r="BA866" s="36"/>
      <c r="BB866" s="36"/>
      <c r="BC866" s="36"/>
      <c r="BD866" s="36"/>
      <c r="BE866" s="36"/>
      <c r="BF866" s="36"/>
      <c r="BG866" s="36"/>
      <c r="BH866" s="36"/>
      <c r="BI866" s="36"/>
      <c r="BJ866" s="36"/>
      <c r="BK866" s="36"/>
      <c r="BL866" s="36"/>
      <c r="BM866" s="36"/>
      <c r="BN866" s="36"/>
      <c r="BO866" s="36"/>
      <c r="BP866" s="36"/>
      <c r="BQ866" s="36"/>
    </row>
    <row r="867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51"/>
      <c r="S867" s="51"/>
      <c r="T867" s="51"/>
      <c r="U867" s="51"/>
      <c r="V867" s="51"/>
      <c r="W867" s="51"/>
      <c r="X867" s="51"/>
      <c r="Y867" s="45"/>
      <c r="Z867" s="45"/>
      <c r="AA867" s="45"/>
      <c r="AB867" s="45"/>
      <c r="AC867" s="45"/>
      <c r="AD867" s="45"/>
      <c r="AE867" s="45"/>
      <c r="AF867" s="45"/>
      <c r="AG867" s="45"/>
      <c r="AH867" s="45"/>
      <c r="AI867" s="45"/>
      <c r="AJ867" s="45"/>
      <c r="AK867" s="45"/>
      <c r="AL867" s="45"/>
      <c r="AM867" s="45"/>
      <c r="AN867" s="45"/>
      <c r="AO867" s="45"/>
      <c r="AP867" s="45"/>
      <c r="AQ867" s="36"/>
      <c r="AR867" s="36"/>
      <c r="AS867" s="36"/>
      <c r="AT867" s="36"/>
      <c r="AU867" s="36"/>
      <c r="AV867" s="36"/>
      <c r="AW867" s="36"/>
      <c r="AX867" s="36"/>
      <c r="AY867" s="36"/>
      <c r="AZ867" s="36"/>
      <c r="BA867" s="36"/>
      <c r="BB867" s="36"/>
      <c r="BC867" s="36"/>
      <c r="BD867" s="36"/>
      <c r="BE867" s="36"/>
      <c r="BF867" s="36"/>
      <c r="BG867" s="36"/>
      <c r="BH867" s="36"/>
      <c r="BI867" s="36"/>
      <c r="BJ867" s="36"/>
      <c r="BK867" s="36"/>
      <c r="BL867" s="36"/>
      <c r="BM867" s="36"/>
      <c r="BN867" s="36"/>
      <c r="BO867" s="36"/>
      <c r="BP867" s="36"/>
      <c r="BQ867" s="36"/>
    </row>
    <row r="868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51"/>
      <c r="S868" s="51"/>
      <c r="T868" s="51"/>
      <c r="U868" s="51"/>
      <c r="V868" s="51"/>
      <c r="W868" s="51"/>
      <c r="X868" s="51"/>
      <c r="Y868" s="45"/>
      <c r="Z868" s="45"/>
      <c r="AA868" s="45"/>
      <c r="AB868" s="45"/>
      <c r="AC868" s="45"/>
      <c r="AD868" s="45"/>
      <c r="AE868" s="45"/>
      <c r="AF868" s="45"/>
      <c r="AG868" s="45"/>
      <c r="AH868" s="45"/>
      <c r="AI868" s="45"/>
      <c r="AJ868" s="45"/>
      <c r="AK868" s="45"/>
      <c r="AL868" s="45"/>
      <c r="AM868" s="45"/>
      <c r="AN868" s="45"/>
      <c r="AO868" s="45"/>
      <c r="AP868" s="45"/>
      <c r="AQ868" s="36"/>
      <c r="AR868" s="36"/>
      <c r="AS868" s="36"/>
      <c r="AT868" s="36"/>
      <c r="AU868" s="36"/>
      <c r="AV868" s="36"/>
      <c r="AW868" s="36"/>
      <c r="AX868" s="36"/>
      <c r="AY868" s="36"/>
      <c r="AZ868" s="36"/>
      <c r="BA868" s="36"/>
      <c r="BB868" s="36"/>
      <c r="BC868" s="36"/>
      <c r="BD868" s="36"/>
      <c r="BE868" s="36"/>
      <c r="BF868" s="36"/>
      <c r="BG868" s="36"/>
      <c r="BH868" s="36"/>
      <c r="BI868" s="36"/>
      <c r="BJ868" s="36"/>
      <c r="BK868" s="36"/>
      <c r="BL868" s="36"/>
      <c r="BM868" s="36"/>
      <c r="BN868" s="36"/>
      <c r="BO868" s="36"/>
      <c r="BP868" s="36"/>
      <c r="BQ868" s="36"/>
    </row>
    <row r="869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51"/>
      <c r="S869" s="51"/>
      <c r="T869" s="51"/>
      <c r="U869" s="51"/>
      <c r="V869" s="51"/>
      <c r="W869" s="51"/>
      <c r="X869" s="51"/>
      <c r="Y869" s="45"/>
      <c r="Z869" s="45"/>
      <c r="AA869" s="45"/>
      <c r="AB869" s="45"/>
      <c r="AC869" s="45"/>
      <c r="AD869" s="45"/>
      <c r="AE869" s="45"/>
      <c r="AF869" s="45"/>
      <c r="AG869" s="45"/>
      <c r="AH869" s="45"/>
      <c r="AI869" s="45"/>
      <c r="AJ869" s="45"/>
      <c r="AK869" s="45"/>
      <c r="AL869" s="45"/>
      <c r="AM869" s="45"/>
      <c r="AN869" s="45"/>
      <c r="AO869" s="45"/>
      <c r="AP869" s="45"/>
      <c r="AQ869" s="36"/>
      <c r="AR869" s="36"/>
      <c r="AS869" s="36"/>
      <c r="AT869" s="36"/>
      <c r="AU869" s="36"/>
      <c r="AV869" s="36"/>
      <c r="AW869" s="36"/>
      <c r="AX869" s="36"/>
      <c r="AY869" s="36"/>
      <c r="AZ869" s="36"/>
      <c r="BA869" s="36"/>
      <c r="BB869" s="36"/>
      <c r="BC869" s="36"/>
      <c r="BD869" s="36"/>
      <c r="BE869" s="36"/>
      <c r="BF869" s="36"/>
      <c r="BG869" s="36"/>
      <c r="BH869" s="36"/>
      <c r="BI869" s="36"/>
      <c r="BJ869" s="36"/>
      <c r="BK869" s="36"/>
      <c r="BL869" s="36"/>
      <c r="BM869" s="36"/>
      <c r="BN869" s="36"/>
      <c r="BO869" s="36"/>
      <c r="BP869" s="36"/>
      <c r="BQ869" s="36"/>
    </row>
    <row r="870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51"/>
      <c r="S870" s="51"/>
      <c r="T870" s="51"/>
      <c r="U870" s="51"/>
      <c r="V870" s="51"/>
      <c r="W870" s="51"/>
      <c r="X870" s="51"/>
      <c r="Y870" s="45"/>
      <c r="Z870" s="45"/>
      <c r="AA870" s="45"/>
      <c r="AB870" s="45"/>
      <c r="AC870" s="45"/>
      <c r="AD870" s="45"/>
      <c r="AE870" s="45"/>
      <c r="AF870" s="45"/>
      <c r="AG870" s="45"/>
      <c r="AH870" s="45"/>
      <c r="AI870" s="45"/>
      <c r="AJ870" s="45"/>
      <c r="AK870" s="45"/>
      <c r="AL870" s="45"/>
      <c r="AM870" s="45"/>
      <c r="AN870" s="45"/>
      <c r="AO870" s="45"/>
      <c r="AP870" s="45"/>
      <c r="AQ870" s="36"/>
      <c r="AR870" s="36"/>
      <c r="AS870" s="36"/>
      <c r="AT870" s="36"/>
      <c r="AU870" s="36"/>
      <c r="AV870" s="36"/>
      <c r="AW870" s="36"/>
      <c r="AX870" s="36"/>
      <c r="AY870" s="36"/>
      <c r="AZ870" s="36"/>
      <c r="BA870" s="36"/>
      <c r="BB870" s="36"/>
      <c r="BC870" s="36"/>
      <c r="BD870" s="36"/>
      <c r="BE870" s="36"/>
      <c r="BF870" s="36"/>
      <c r="BG870" s="36"/>
      <c r="BH870" s="36"/>
      <c r="BI870" s="36"/>
      <c r="BJ870" s="36"/>
      <c r="BK870" s="36"/>
      <c r="BL870" s="36"/>
      <c r="BM870" s="36"/>
      <c r="BN870" s="36"/>
      <c r="BO870" s="36"/>
      <c r="BP870" s="36"/>
      <c r="BQ870" s="36"/>
    </row>
    <row r="87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51"/>
      <c r="S871" s="51"/>
      <c r="T871" s="51"/>
      <c r="U871" s="51"/>
      <c r="V871" s="51"/>
      <c r="W871" s="51"/>
      <c r="X871" s="51"/>
      <c r="Y871" s="45"/>
      <c r="Z871" s="45"/>
      <c r="AA871" s="45"/>
      <c r="AB871" s="45"/>
      <c r="AC871" s="45"/>
      <c r="AD871" s="45"/>
      <c r="AE871" s="45"/>
      <c r="AF871" s="45"/>
      <c r="AG871" s="45"/>
      <c r="AH871" s="45"/>
      <c r="AI871" s="45"/>
      <c r="AJ871" s="45"/>
      <c r="AK871" s="45"/>
      <c r="AL871" s="45"/>
      <c r="AM871" s="45"/>
      <c r="AN871" s="45"/>
      <c r="AO871" s="45"/>
      <c r="AP871" s="45"/>
      <c r="AQ871" s="36"/>
      <c r="AR871" s="36"/>
      <c r="AS871" s="36"/>
      <c r="AT871" s="36"/>
      <c r="AU871" s="36"/>
      <c r="AV871" s="36"/>
      <c r="AW871" s="36"/>
      <c r="AX871" s="36"/>
      <c r="AY871" s="36"/>
      <c r="AZ871" s="36"/>
      <c r="BA871" s="36"/>
      <c r="BB871" s="36"/>
      <c r="BC871" s="36"/>
      <c r="BD871" s="36"/>
      <c r="BE871" s="36"/>
      <c r="BF871" s="36"/>
      <c r="BG871" s="36"/>
      <c r="BH871" s="36"/>
      <c r="BI871" s="36"/>
      <c r="BJ871" s="36"/>
      <c r="BK871" s="36"/>
      <c r="BL871" s="36"/>
      <c r="BM871" s="36"/>
      <c r="BN871" s="36"/>
      <c r="BO871" s="36"/>
      <c r="BP871" s="36"/>
      <c r="BQ871" s="36"/>
    </row>
    <row r="87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51"/>
      <c r="S872" s="51"/>
      <c r="T872" s="51"/>
      <c r="U872" s="51"/>
      <c r="V872" s="51"/>
      <c r="W872" s="51"/>
      <c r="X872" s="51"/>
      <c r="Y872" s="45"/>
      <c r="Z872" s="45"/>
      <c r="AA872" s="45"/>
      <c r="AB872" s="45"/>
      <c r="AC872" s="45"/>
      <c r="AD872" s="45"/>
      <c r="AE872" s="45"/>
      <c r="AF872" s="45"/>
      <c r="AG872" s="45"/>
      <c r="AH872" s="45"/>
      <c r="AI872" s="45"/>
      <c r="AJ872" s="45"/>
      <c r="AK872" s="45"/>
      <c r="AL872" s="45"/>
      <c r="AM872" s="45"/>
      <c r="AN872" s="45"/>
      <c r="AO872" s="45"/>
      <c r="AP872" s="45"/>
      <c r="AQ872" s="36"/>
      <c r="AR872" s="36"/>
      <c r="AS872" s="36"/>
      <c r="AT872" s="36"/>
      <c r="AU872" s="36"/>
      <c r="AV872" s="36"/>
      <c r="AW872" s="36"/>
      <c r="AX872" s="36"/>
      <c r="AY872" s="36"/>
      <c r="AZ872" s="36"/>
      <c r="BA872" s="36"/>
      <c r="BB872" s="36"/>
      <c r="BC872" s="36"/>
      <c r="BD872" s="36"/>
      <c r="BE872" s="36"/>
      <c r="BF872" s="36"/>
      <c r="BG872" s="36"/>
      <c r="BH872" s="36"/>
      <c r="BI872" s="36"/>
      <c r="BJ872" s="36"/>
      <c r="BK872" s="36"/>
      <c r="BL872" s="36"/>
      <c r="BM872" s="36"/>
      <c r="BN872" s="36"/>
      <c r="BO872" s="36"/>
      <c r="BP872" s="36"/>
      <c r="BQ872" s="36"/>
    </row>
    <row r="873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51"/>
      <c r="S873" s="51"/>
      <c r="T873" s="51"/>
      <c r="U873" s="51"/>
      <c r="V873" s="51"/>
      <c r="W873" s="51"/>
      <c r="X873" s="51"/>
      <c r="Y873" s="45"/>
      <c r="Z873" s="45"/>
      <c r="AA873" s="45"/>
      <c r="AB873" s="45"/>
      <c r="AC873" s="45"/>
      <c r="AD873" s="45"/>
      <c r="AE873" s="45"/>
      <c r="AF873" s="45"/>
      <c r="AG873" s="45"/>
      <c r="AH873" s="45"/>
      <c r="AI873" s="45"/>
      <c r="AJ873" s="45"/>
      <c r="AK873" s="45"/>
      <c r="AL873" s="45"/>
      <c r="AM873" s="45"/>
      <c r="AN873" s="45"/>
      <c r="AO873" s="45"/>
      <c r="AP873" s="45"/>
      <c r="AQ873" s="36"/>
      <c r="AR873" s="36"/>
      <c r="AS873" s="36"/>
      <c r="AT873" s="36"/>
      <c r="AU873" s="36"/>
      <c r="AV873" s="36"/>
      <c r="AW873" s="36"/>
      <c r="AX873" s="36"/>
      <c r="AY873" s="36"/>
      <c r="AZ873" s="36"/>
      <c r="BA873" s="36"/>
      <c r="BB873" s="36"/>
      <c r="BC873" s="36"/>
      <c r="BD873" s="36"/>
      <c r="BE873" s="36"/>
      <c r="BF873" s="36"/>
      <c r="BG873" s="36"/>
      <c r="BH873" s="36"/>
      <c r="BI873" s="36"/>
      <c r="BJ873" s="36"/>
      <c r="BK873" s="36"/>
      <c r="BL873" s="36"/>
      <c r="BM873" s="36"/>
      <c r="BN873" s="36"/>
      <c r="BO873" s="36"/>
      <c r="BP873" s="36"/>
      <c r="BQ873" s="36"/>
    </row>
    <row r="874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51"/>
      <c r="S874" s="51"/>
      <c r="T874" s="51"/>
      <c r="U874" s="51"/>
      <c r="V874" s="51"/>
      <c r="W874" s="51"/>
      <c r="X874" s="51"/>
      <c r="Y874" s="45"/>
      <c r="Z874" s="45"/>
      <c r="AA874" s="45"/>
      <c r="AB874" s="45"/>
      <c r="AC874" s="45"/>
      <c r="AD874" s="45"/>
      <c r="AE874" s="45"/>
      <c r="AF874" s="45"/>
      <c r="AG874" s="45"/>
      <c r="AH874" s="45"/>
      <c r="AI874" s="45"/>
      <c r="AJ874" s="45"/>
      <c r="AK874" s="45"/>
      <c r="AL874" s="45"/>
      <c r="AM874" s="45"/>
      <c r="AN874" s="45"/>
      <c r="AO874" s="45"/>
      <c r="AP874" s="45"/>
      <c r="AQ874" s="36"/>
      <c r="AR874" s="36"/>
      <c r="AS874" s="36"/>
      <c r="AT874" s="36"/>
      <c r="AU874" s="36"/>
      <c r="AV874" s="36"/>
      <c r="AW874" s="36"/>
      <c r="AX874" s="36"/>
      <c r="AY874" s="36"/>
      <c r="AZ874" s="36"/>
      <c r="BA874" s="36"/>
      <c r="BB874" s="36"/>
      <c r="BC874" s="36"/>
      <c r="BD874" s="36"/>
      <c r="BE874" s="36"/>
      <c r="BF874" s="36"/>
      <c r="BG874" s="36"/>
      <c r="BH874" s="36"/>
      <c r="BI874" s="36"/>
      <c r="BJ874" s="36"/>
      <c r="BK874" s="36"/>
      <c r="BL874" s="36"/>
      <c r="BM874" s="36"/>
      <c r="BN874" s="36"/>
      <c r="BO874" s="36"/>
      <c r="BP874" s="36"/>
      <c r="BQ874" s="36"/>
    </row>
    <row r="87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51"/>
      <c r="S875" s="51"/>
      <c r="T875" s="51"/>
      <c r="U875" s="51"/>
      <c r="V875" s="51"/>
      <c r="W875" s="51"/>
      <c r="X875" s="51"/>
      <c r="Y875" s="45"/>
      <c r="Z875" s="45"/>
      <c r="AA875" s="45"/>
      <c r="AB875" s="45"/>
      <c r="AC875" s="45"/>
      <c r="AD875" s="45"/>
      <c r="AE875" s="45"/>
      <c r="AF875" s="45"/>
      <c r="AG875" s="45"/>
      <c r="AH875" s="45"/>
      <c r="AI875" s="45"/>
      <c r="AJ875" s="45"/>
      <c r="AK875" s="45"/>
      <c r="AL875" s="45"/>
      <c r="AM875" s="45"/>
      <c r="AN875" s="45"/>
      <c r="AO875" s="45"/>
      <c r="AP875" s="45"/>
      <c r="AQ875" s="36"/>
      <c r="AR875" s="36"/>
      <c r="AS875" s="36"/>
      <c r="AT875" s="36"/>
      <c r="AU875" s="36"/>
      <c r="AV875" s="36"/>
      <c r="AW875" s="36"/>
      <c r="AX875" s="36"/>
      <c r="AY875" s="36"/>
      <c r="AZ875" s="36"/>
      <c r="BA875" s="36"/>
      <c r="BB875" s="36"/>
      <c r="BC875" s="36"/>
      <c r="BD875" s="36"/>
      <c r="BE875" s="36"/>
      <c r="BF875" s="36"/>
      <c r="BG875" s="36"/>
      <c r="BH875" s="36"/>
      <c r="BI875" s="36"/>
      <c r="BJ875" s="36"/>
      <c r="BK875" s="36"/>
      <c r="BL875" s="36"/>
      <c r="BM875" s="36"/>
      <c r="BN875" s="36"/>
      <c r="BO875" s="36"/>
      <c r="BP875" s="36"/>
      <c r="BQ875" s="36"/>
    </row>
    <row r="876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51"/>
      <c r="S876" s="51"/>
      <c r="T876" s="51"/>
      <c r="U876" s="51"/>
      <c r="V876" s="51"/>
      <c r="W876" s="51"/>
      <c r="X876" s="51"/>
      <c r="Y876" s="45"/>
      <c r="Z876" s="45"/>
      <c r="AA876" s="45"/>
      <c r="AB876" s="45"/>
      <c r="AC876" s="45"/>
      <c r="AD876" s="45"/>
      <c r="AE876" s="45"/>
      <c r="AF876" s="45"/>
      <c r="AG876" s="45"/>
      <c r="AH876" s="45"/>
      <c r="AI876" s="45"/>
      <c r="AJ876" s="45"/>
      <c r="AK876" s="45"/>
      <c r="AL876" s="45"/>
      <c r="AM876" s="45"/>
      <c r="AN876" s="45"/>
      <c r="AO876" s="45"/>
      <c r="AP876" s="45"/>
      <c r="AQ876" s="36"/>
      <c r="AR876" s="36"/>
      <c r="AS876" s="36"/>
      <c r="AT876" s="36"/>
      <c r="AU876" s="36"/>
      <c r="AV876" s="36"/>
      <c r="AW876" s="36"/>
      <c r="AX876" s="36"/>
      <c r="AY876" s="36"/>
      <c r="AZ876" s="36"/>
      <c r="BA876" s="36"/>
      <c r="BB876" s="36"/>
      <c r="BC876" s="36"/>
      <c r="BD876" s="36"/>
      <c r="BE876" s="36"/>
      <c r="BF876" s="36"/>
      <c r="BG876" s="36"/>
      <c r="BH876" s="36"/>
      <c r="BI876" s="36"/>
      <c r="BJ876" s="36"/>
      <c r="BK876" s="36"/>
      <c r="BL876" s="36"/>
      <c r="BM876" s="36"/>
      <c r="BN876" s="36"/>
      <c r="BO876" s="36"/>
      <c r="BP876" s="36"/>
      <c r="BQ876" s="36"/>
    </row>
    <row r="877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51"/>
      <c r="S877" s="51"/>
      <c r="T877" s="51"/>
      <c r="U877" s="51"/>
      <c r="V877" s="51"/>
      <c r="W877" s="51"/>
      <c r="X877" s="51"/>
      <c r="Y877" s="45"/>
      <c r="Z877" s="45"/>
      <c r="AA877" s="45"/>
      <c r="AB877" s="45"/>
      <c r="AC877" s="45"/>
      <c r="AD877" s="45"/>
      <c r="AE877" s="45"/>
      <c r="AF877" s="45"/>
      <c r="AG877" s="45"/>
      <c r="AH877" s="45"/>
      <c r="AI877" s="45"/>
      <c r="AJ877" s="45"/>
      <c r="AK877" s="45"/>
      <c r="AL877" s="45"/>
      <c r="AM877" s="45"/>
      <c r="AN877" s="45"/>
      <c r="AO877" s="45"/>
      <c r="AP877" s="45"/>
      <c r="AQ877" s="36"/>
      <c r="AR877" s="36"/>
      <c r="AS877" s="36"/>
      <c r="AT877" s="36"/>
      <c r="AU877" s="36"/>
      <c r="AV877" s="36"/>
      <c r="AW877" s="36"/>
      <c r="AX877" s="36"/>
      <c r="AY877" s="36"/>
      <c r="AZ877" s="36"/>
      <c r="BA877" s="36"/>
      <c r="BB877" s="36"/>
      <c r="BC877" s="36"/>
      <c r="BD877" s="36"/>
      <c r="BE877" s="36"/>
      <c r="BF877" s="36"/>
      <c r="BG877" s="36"/>
      <c r="BH877" s="36"/>
      <c r="BI877" s="36"/>
      <c r="BJ877" s="36"/>
      <c r="BK877" s="36"/>
      <c r="BL877" s="36"/>
      <c r="BM877" s="36"/>
      <c r="BN877" s="36"/>
      <c r="BO877" s="36"/>
      <c r="BP877" s="36"/>
      <c r="BQ877" s="36"/>
    </row>
    <row r="878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51"/>
      <c r="S878" s="51"/>
      <c r="T878" s="51"/>
      <c r="U878" s="51"/>
      <c r="V878" s="51"/>
      <c r="W878" s="51"/>
      <c r="X878" s="51"/>
      <c r="Y878" s="45"/>
      <c r="Z878" s="45"/>
      <c r="AA878" s="45"/>
      <c r="AB878" s="45"/>
      <c r="AC878" s="45"/>
      <c r="AD878" s="45"/>
      <c r="AE878" s="45"/>
      <c r="AF878" s="45"/>
      <c r="AG878" s="45"/>
      <c r="AH878" s="45"/>
      <c r="AI878" s="45"/>
      <c r="AJ878" s="45"/>
      <c r="AK878" s="45"/>
      <c r="AL878" s="45"/>
      <c r="AM878" s="45"/>
      <c r="AN878" s="45"/>
      <c r="AO878" s="45"/>
      <c r="AP878" s="45"/>
      <c r="AQ878" s="36"/>
      <c r="AR878" s="36"/>
      <c r="AS878" s="36"/>
      <c r="AT878" s="36"/>
      <c r="AU878" s="36"/>
      <c r="AV878" s="36"/>
      <c r="AW878" s="36"/>
      <c r="AX878" s="36"/>
      <c r="AY878" s="36"/>
      <c r="AZ878" s="36"/>
      <c r="BA878" s="36"/>
      <c r="BB878" s="36"/>
      <c r="BC878" s="36"/>
      <c r="BD878" s="36"/>
      <c r="BE878" s="36"/>
      <c r="BF878" s="36"/>
      <c r="BG878" s="36"/>
      <c r="BH878" s="36"/>
      <c r="BI878" s="36"/>
      <c r="BJ878" s="36"/>
      <c r="BK878" s="36"/>
      <c r="BL878" s="36"/>
      <c r="BM878" s="36"/>
      <c r="BN878" s="36"/>
      <c r="BO878" s="36"/>
      <c r="BP878" s="36"/>
      <c r="BQ878" s="36"/>
    </row>
    <row r="879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51"/>
      <c r="S879" s="51"/>
      <c r="T879" s="51"/>
      <c r="U879" s="51"/>
      <c r="V879" s="51"/>
      <c r="W879" s="51"/>
      <c r="X879" s="51"/>
      <c r="Y879" s="45"/>
      <c r="Z879" s="45"/>
      <c r="AA879" s="45"/>
      <c r="AB879" s="45"/>
      <c r="AC879" s="45"/>
      <c r="AD879" s="45"/>
      <c r="AE879" s="45"/>
      <c r="AF879" s="45"/>
      <c r="AG879" s="45"/>
      <c r="AH879" s="45"/>
      <c r="AI879" s="45"/>
      <c r="AJ879" s="45"/>
      <c r="AK879" s="45"/>
      <c r="AL879" s="45"/>
      <c r="AM879" s="45"/>
      <c r="AN879" s="45"/>
      <c r="AO879" s="45"/>
      <c r="AP879" s="45"/>
      <c r="AQ879" s="36"/>
      <c r="AR879" s="36"/>
      <c r="AS879" s="36"/>
      <c r="AT879" s="36"/>
      <c r="AU879" s="36"/>
      <c r="AV879" s="36"/>
      <c r="AW879" s="36"/>
      <c r="AX879" s="36"/>
      <c r="AY879" s="36"/>
      <c r="AZ879" s="36"/>
      <c r="BA879" s="36"/>
      <c r="BB879" s="36"/>
      <c r="BC879" s="36"/>
      <c r="BD879" s="36"/>
      <c r="BE879" s="36"/>
      <c r="BF879" s="36"/>
      <c r="BG879" s="36"/>
      <c r="BH879" s="36"/>
      <c r="BI879" s="36"/>
      <c r="BJ879" s="36"/>
      <c r="BK879" s="36"/>
      <c r="BL879" s="36"/>
      <c r="BM879" s="36"/>
      <c r="BN879" s="36"/>
      <c r="BO879" s="36"/>
      <c r="BP879" s="36"/>
      <c r="BQ879" s="36"/>
    </row>
    <row r="880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51"/>
      <c r="S880" s="51"/>
      <c r="T880" s="51"/>
      <c r="U880" s="51"/>
      <c r="V880" s="51"/>
      <c r="W880" s="51"/>
      <c r="X880" s="51"/>
      <c r="Y880" s="45"/>
      <c r="Z880" s="45"/>
      <c r="AA880" s="45"/>
      <c r="AB880" s="45"/>
      <c r="AC880" s="45"/>
      <c r="AD880" s="45"/>
      <c r="AE880" s="45"/>
      <c r="AF880" s="45"/>
      <c r="AG880" s="45"/>
      <c r="AH880" s="45"/>
      <c r="AI880" s="45"/>
      <c r="AJ880" s="45"/>
      <c r="AK880" s="45"/>
      <c r="AL880" s="45"/>
      <c r="AM880" s="45"/>
      <c r="AN880" s="45"/>
      <c r="AO880" s="45"/>
      <c r="AP880" s="45"/>
      <c r="AQ880" s="36"/>
      <c r="AR880" s="36"/>
      <c r="AS880" s="36"/>
      <c r="AT880" s="36"/>
      <c r="AU880" s="36"/>
      <c r="AV880" s="36"/>
      <c r="AW880" s="36"/>
      <c r="AX880" s="36"/>
      <c r="AY880" s="36"/>
      <c r="AZ880" s="36"/>
      <c r="BA880" s="36"/>
      <c r="BB880" s="36"/>
      <c r="BC880" s="36"/>
      <c r="BD880" s="36"/>
      <c r="BE880" s="36"/>
      <c r="BF880" s="36"/>
      <c r="BG880" s="36"/>
      <c r="BH880" s="36"/>
      <c r="BI880" s="36"/>
      <c r="BJ880" s="36"/>
      <c r="BK880" s="36"/>
      <c r="BL880" s="36"/>
      <c r="BM880" s="36"/>
      <c r="BN880" s="36"/>
      <c r="BO880" s="36"/>
      <c r="BP880" s="36"/>
      <c r="BQ880" s="36"/>
    </row>
    <row r="88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51"/>
      <c r="S881" s="51"/>
      <c r="T881" s="51"/>
      <c r="U881" s="51"/>
      <c r="V881" s="51"/>
      <c r="W881" s="51"/>
      <c r="X881" s="51"/>
      <c r="Y881" s="45"/>
      <c r="Z881" s="45"/>
      <c r="AA881" s="45"/>
      <c r="AB881" s="45"/>
      <c r="AC881" s="45"/>
      <c r="AD881" s="45"/>
      <c r="AE881" s="45"/>
      <c r="AF881" s="45"/>
      <c r="AG881" s="45"/>
      <c r="AH881" s="45"/>
      <c r="AI881" s="45"/>
      <c r="AJ881" s="45"/>
      <c r="AK881" s="45"/>
      <c r="AL881" s="45"/>
      <c r="AM881" s="45"/>
      <c r="AN881" s="45"/>
      <c r="AO881" s="45"/>
      <c r="AP881" s="45"/>
      <c r="AQ881" s="36"/>
      <c r="AR881" s="36"/>
      <c r="AS881" s="36"/>
      <c r="AT881" s="36"/>
      <c r="AU881" s="36"/>
      <c r="AV881" s="36"/>
      <c r="AW881" s="36"/>
      <c r="AX881" s="36"/>
      <c r="AY881" s="36"/>
      <c r="AZ881" s="36"/>
      <c r="BA881" s="36"/>
      <c r="BB881" s="36"/>
      <c r="BC881" s="36"/>
      <c r="BD881" s="36"/>
      <c r="BE881" s="36"/>
      <c r="BF881" s="36"/>
      <c r="BG881" s="36"/>
      <c r="BH881" s="36"/>
      <c r="BI881" s="36"/>
      <c r="BJ881" s="36"/>
      <c r="BK881" s="36"/>
      <c r="BL881" s="36"/>
      <c r="BM881" s="36"/>
      <c r="BN881" s="36"/>
      <c r="BO881" s="36"/>
      <c r="BP881" s="36"/>
      <c r="BQ881" s="36"/>
    </row>
    <row r="88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51"/>
      <c r="S882" s="51"/>
      <c r="T882" s="51"/>
      <c r="U882" s="51"/>
      <c r="V882" s="51"/>
      <c r="W882" s="51"/>
      <c r="X882" s="51"/>
      <c r="Y882" s="45"/>
      <c r="Z882" s="45"/>
      <c r="AA882" s="45"/>
      <c r="AB882" s="45"/>
      <c r="AC882" s="45"/>
      <c r="AD882" s="45"/>
      <c r="AE882" s="45"/>
      <c r="AF882" s="45"/>
      <c r="AG882" s="45"/>
      <c r="AH882" s="45"/>
      <c r="AI882" s="45"/>
      <c r="AJ882" s="45"/>
      <c r="AK882" s="45"/>
      <c r="AL882" s="45"/>
      <c r="AM882" s="45"/>
      <c r="AN882" s="45"/>
      <c r="AO882" s="45"/>
      <c r="AP882" s="45"/>
      <c r="AQ882" s="36"/>
      <c r="AR882" s="36"/>
      <c r="AS882" s="36"/>
      <c r="AT882" s="36"/>
      <c r="AU882" s="36"/>
      <c r="AV882" s="36"/>
      <c r="AW882" s="36"/>
      <c r="AX882" s="36"/>
      <c r="AY882" s="36"/>
      <c r="AZ882" s="36"/>
      <c r="BA882" s="36"/>
      <c r="BB882" s="36"/>
      <c r="BC882" s="36"/>
      <c r="BD882" s="36"/>
      <c r="BE882" s="36"/>
      <c r="BF882" s="36"/>
      <c r="BG882" s="36"/>
      <c r="BH882" s="36"/>
      <c r="BI882" s="36"/>
      <c r="BJ882" s="36"/>
      <c r="BK882" s="36"/>
      <c r="BL882" s="36"/>
      <c r="BM882" s="36"/>
      <c r="BN882" s="36"/>
      <c r="BO882" s="36"/>
      <c r="BP882" s="36"/>
      <c r="BQ882" s="36"/>
    </row>
    <row r="883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51"/>
      <c r="S883" s="51"/>
      <c r="T883" s="51"/>
      <c r="U883" s="51"/>
      <c r="V883" s="51"/>
      <c r="W883" s="51"/>
      <c r="X883" s="51"/>
      <c r="Y883" s="45"/>
      <c r="Z883" s="45"/>
      <c r="AA883" s="45"/>
      <c r="AB883" s="45"/>
      <c r="AC883" s="45"/>
      <c r="AD883" s="45"/>
      <c r="AE883" s="45"/>
      <c r="AF883" s="45"/>
      <c r="AG883" s="45"/>
      <c r="AH883" s="45"/>
      <c r="AI883" s="45"/>
      <c r="AJ883" s="45"/>
      <c r="AK883" s="45"/>
      <c r="AL883" s="45"/>
      <c r="AM883" s="45"/>
      <c r="AN883" s="45"/>
      <c r="AO883" s="45"/>
      <c r="AP883" s="45"/>
      <c r="AQ883" s="36"/>
      <c r="AR883" s="36"/>
      <c r="AS883" s="36"/>
      <c r="AT883" s="36"/>
      <c r="AU883" s="36"/>
      <c r="AV883" s="36"/>
      <c r="AW883" s="36"/>
      <c r="AX883" s="36"/>
      <c r="AY883" s="36"/>
      <c r="AZ883" s="36"/>
      <c r="BA883" s="36"/>
      <c r="BB883" s="36"/>
      <c r="BC883" s="36"/>
      <c r="BD883" s="36"/>
      <c r="BE883" s="36"/>
      <c r="BF883" s="36"/>
      <c r="BG883" s="36"/>
      <c r="BH883" s="36"/>
      <c r="BI883" s="36"/>
      <c r="BJ883" s="36"/>
      <c r="BK883" s="36"/>
      <c r="BL883" s="36"/>
      <c r="BM883" s="36"/>
      <c r="BN883" s="36"/>
      <c r="BO883" s="36"/>
      <c r="BP883" s="36"/>
      <c r="BQ883" s="36"/>
    </row>
    <row r="884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51"/>
      <c r="S884" s="51"/>
      <c r="T884" s="51"/>
      <c r="U884" s="51"/>
      <c r="V884" s="51"/>
      <c r="W884" s="51"/>
      <c r="X884" s="51"/>
      <c r="Y884" s="45"/>
      <c r="Z884" s="45"/>
      <c r="AA884" s="45"/>
      <c r="AB884" s="45"/>
      <c r="AC884" s="45"/>
      <c r="AD884" s="45"/>
      <c r="AE884" s="45"/>
      <c r="AF884" s="45"/>
      <c r="AG884" s="45"/>
      <c r="AH884" s="45"/>
      <c r="AI884" s="45"/>
      <c r="AJ884" s="45"/>
      <c r="AK884" s="45"/>
      <c r="AL884" s="45"/>
      <c r="AM884" s="45"/>
      <c r="AN884" s="45"/>
      <c r="AO884" s="45"/>
      <c r="AP884" s="45"/>
      <c r="AQ884" s="36"/>
      <c r="AR884" s="36"/>
      <c r="AS884" s="36"/>
      <c r="AT884" s="36"/>
      <c r="AU884" s="36"/>
      <c r="AV884" s="36"/>
      <c r="AW884" s="36"/>
      <c r="AX884" s="36"/>
      <c r="AY884" s="36"/>
      <c r="AZ884" s="36"/>
      <c r="BA884" s="36"/>
      <c r="BB884" s="36"/>
      <c r="BC884" s="36"/>
      <c r="BD884" s="36"/>
      <c r="BE884" s="36"/>
      <c r="BF884" s="36"/>
      <c r="BG884" s="36"/>
      <c r="BH884" s="36"/>
      <c r="BI884" s="36"/>
      <c r="BJ884" s="36"/>
      <c r="BK884" s="36"/>
      <c r="BL884" s="36"/>
      <c r="BM884" s="36"/>
      <c r="BN884" s="36"/>
      <c r="BO884" s="36"/>
      <c r="BP884" s="36"/>
      <c r="BQ884" s="36"/>
    </row>
    <row r="88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51"/>
      <c r="S885" s="51"/>
      <c r="T885" s="51"/>
      <c r="U885" s="51"/>
      <c r="V885" s="51"/>
      <c r="W885" s="51"/>
      <c r="X885" s="51"/>
      <c r="Y885" s="45"/>
      <c r="Z885" s="45"/>
      <c r="AA885" s="45"/>
      <c r="AB885" s="45"/>
      <c r="AC885" s="45"/>
      <c r="AD885" s="45"/>
      <c r="AE885" s="45"/>
      <c r="AF885" s="45"/>
      <c r="AG885" s="45"/>
      <c r="AH885" s="45"/>
      <c r="AI885" s="45"/>
      <c r="AJ885" s="45"/>
      <c r="AK885" s="45"/>
      <c r="AL885" s="45"/>
      <c r="AM885" s="45"/>
      <c r="AN885" s="45"/>
      <c r="AO885" s="45"/>
      <c r="AP885" s="45"/>
      <c r="AQ885" s="36"/>
      <c r="AR885" s="36"/>
      <c r="AS885" s="36"/>
      <c r="AT885" s="36"/>
      <c r="AU885" s="36"/>
      <c r="AV885" s="36"/>
      <c r="AW885" s="36"/>
      <c r="AX885" s="36"/>
      <c r="AY885" s="36"/>
      <c r="AZ885" s="36"/>
      <c r="BA885" s="36"/>
      <c r="BB885" s="36"/>
      <c r="BC885" s="36"/>
      <c r="BD885" s="36"/>
      <c r="BE885" s="36"/>
      <c r="BF885" s="36"/>
      <c r="BG885" s="36"/>
      <c r="BH885" s="36"/>
      <c r="BI885" s="36"/>
      <c r="BJ885" s="36"/>
      <c r="BK885" s="36"/>
      <c r="BL885" s="36"/>
      <c r="BM885" s="36"/>
      <c r="BN885" s="36"/>
      <c r="BO885" s="36"/>
      <c r="BP885" s="36"/>
      <c r="BQ885" s="36"/>
    </row>
    <row r="886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51"/>
      <c r="S886" s="51"/>
      <c r="T886" s="51"/>
      <c r="U886" s="51"/>
      <c r="V886" s="51"/>
      <c r="W886" s="51"/>
      <c r="X886" s="51"/>
      <c r="Y886" s="45"/>
      <c r="Z886" s="45"/>
      <c r="AA886" s="45"/>
      <c r="AB886" s="45"/>
      <c r="AC886" s="45"/>
      <c r="AD886" s="45"/>
      <c r="AE886" s="45"/>
      <c r="AF886" s="45"/>
      <c r="AG886" s="45"/>
      <c r="AH886" s="45"/>
      <c r="AI886" s="45"/>
      <c r="AJ886" s="45"/>
      <c r="AK886" s="45"/>
      <c r="AL886" s="45"/>
      <c r="AM886" s="45"/>
      <c r="AN886" s="45"/>
      <c r="AO886" s="45"/>
      <c r="AP886" s="45"/>
      <c r="AQ886" s="36"/>
      <c r="AR886" s="36"/>
      <c r="AS886" s="36"/>
      <c r="AT886" s="36"/>
      <c r="AU886" s="36"/>
      <c r="AV886" s="36"/>
      <c r="AW886" s="36"/>
      <c r="AX886" s="36"/>
      <c r="AY886" s="36"/>
      <c r="AZ886" s="36"/>
      <c r="BA886" s="36"/>
      <c r="BB886" s="36"/>
      <c r="BC886" s="36"/>
      <c r="BD886" s="36"/>
      <c r="BE886" s="36"/>
      <c r="BF886" s="36"/>
      <c r="BG886" s="36"/>
      <c r="BH886" s="36"/>
      <c r="BI886" s="36"/>
      <c r="BJ886" s="36"/>
      <c r="BK886" s="36"/>
      <c r="BL886" s="36"/>
      <c r="BM886" s="36"/>
      <c r="BN886" s="36"/>
      <c r="BO886" s="36"/>
      <c r="BP886" s="36"/>
      <c r="BQ886" s="36"/>
    </row>
    <row r="887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51"/>
      <c r="S887" s="51"/>
      <c r="T887" s="51"/>
      <c r="U887" s="51"/>
      <c r="V887" s="51"/>
      <c r="W887" s="51"/>
      <c r="X887" s="51"/>
      <c r="Y887" s="45"/>
      <c r="Z887" s="45"/>
      <c r="AA887" s="45"/>
      <c r="AB887" s="45"/>
      <c r="AC887" s="45"/>
      <c r="AD887" s="45"/>
      <c r="AE887" s="45"/>
      <c r="AF887" s="45"/>
      <c r="AG887" s="45"/>
      <c r="AH887" s="45"/>
      <c r="AI887" s="45"/>
      <c r="AJ887" s="45"/>
      <c r="AK887" s="45"/>
      <c r="AL887" s="45"/>
      <c r="AM887" s="45"/>
      <c r="AN887" s="45"/>
      <c r="AO887" s="45"/>
      <c r="AP887" s="45"/>
      <c r="AQ887" s="36"/>
      <c r="AR887" s="36"/>
      <c r="AS887" s="36"/>
      <c r="AT887" s="36"/>
      <c r="AU887" s="36"/>
      <c r="AV887" s="36"/>
      <c r="AW887" s="36"/>
      <c r="AX887" s="36"/>
      <c r="AY887" s="36"/>
      <c r="AZ887" s="36"/>
      <c r="BA887" s="36"/>
      <c r="BB887" s="36"/>
      <c r="BC887" s="36"/>
      <c r="BD887" s="36"/>
      <c r="BE887" s="36"/>
      <c r="BF887" s="36"/>
      <c r="BG887" s="36"/>
      <c r="BH887" s="36"/>
      <c r="BI887" s="36"/>
      <c r="BJ887" s="36"/>
      <c r="BK887" s="36"/>
      <c r="BL887" s="36"/>
      <c r="BM887" s="36"/>
      <c r="BN887" s="36"/>
      <c r="BO887" s="36"/>
      <c r="BP887" s="36"/>
      <c r="BQ887" s="36"/>
    </row>
    <row r="888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51"/>
      <c r="S888" s="51"/>
      <c r="T888" s="51"/>
      <c r="U888" s="51"/>
      <c r="V888" s="51"/>
      <c r="W888" s="51"/>
      <c r="X888" s="51"/>
      <c r="Y888" s="45"/>
      <c r="Z888" s="45"/>
      <c r="AA888" s="45"/>
      <c r="AB888" s="45"/>
      <c r="AC888" s="45"/>
      <c r="AD888" s="45"/>
      <c r="AE888" s="45"/>
      <c r="AF888" s="45"/>
      <c r="AG888" s="45"/>
      <c r="AH888" s="45"/>
      <c r="AI888" s="45"/>
      <c r="AJ888" s="45"/>
      <c r="AK888" s="45"/>
      <c r="AL888" s="45"/>
      <c r="AM888" s="45"/>
      <c r="AN888" s="45"/>
      <c r="AO888" s="45"/>
      <c r="AP888" s="45"/>
      <c r="AQ888" s="36"/>
      <c r="AR888" s="36"/>
      <c r="AS888" s="36"/>
      <c r="AT888" s="36"/>
      <c r="AU888" s="36"/>
      <c r="AV888" s="36"/>
      <c r="AW888" s="36"/>
      <c r="AX888" s="36"/>
      <c r="AY888" s="36"/>
      <c r="AZ888" s="36"/>
      <c r="BA888" s="36"/>
      <c r="BB888" s="36"/>
      <c r="BC888" s="36"/>
      <c r="BD888" s="36"/>
      <c r="BE888" s="36"/>
      <c r="BF888" s="36"/>
      <c r="BG888" s="36"/>
      <c r="BH888" s="36"/>
      <c r="BI888" s="36"/>
      <c r="BJ888" s="36"/>
      <c r="BK888" s="36"/>
      <c r="BL888" s="36"/>
      <c r="BM888" s="36"/>
      <c r="BN888" s="36"/>
      <c r="BO888" s="36"/>
      <c r="BP888" s="36"/>
      <c r="BQ888" s="36"/>
    </row>
    <row r="889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51"/>
      <c r="S889" s="51"/>
      <c r="T889" s="51"/>
      <c r="U889" s="51"/>
      <c r="V889" s="51"/>
      <c r="W889" s="51"/>
      <c r="X889" s="51"/>
      <c r="Y889" s="45"/>
      <c r="Z889" s="45"/>
      <c r="AA889" s="45"/>
      <c r="AB889" s="45"/>
      <c r="AC889" s="45"/>
      <c r="AD889" s="45"/>
      <c r="AE889" s="45"/>
      <c r="AF889" s="45"/>
      <c r="AG889" s="45"/>
      <c r="AH889" s="45"/>
      <c r="AI889" s="45"/>
      <c r="AJ889" s="45"/>
      <c r="AK889" s="45"/>
      <c r="AL889" s="45"/>
      <c r="AM889" s="45"/>
      <c r="AN889" s="45"/>
      <c r="AO889" s="45"/>
      <c r="AP889" s="45"/>
      <c r="AQ889" s="36"/>
      <c r="AR889" s="36"/>
      <c r="AS889" s="36"/>
      <c r="AT889" s="36"/>
      <c r="AU889" s="36"/>
      <c r="AV889" s="36"/>
      <c r="AW889" s="36"/>
      <c r="AX889" s="36"/>
      <c r="AY889" s="36"/>
      <c r="AZ889" s="36"/>
      <c r="BA889" s="36"/>
      <c r="BB889" s="36"/>
      <c r="BC889" s="36"/>
      <c r="BD889" s="36"/>
      <c r="BE889" s="36"/>
      <c r="BF889" s="36"/>
      <c r="BG889" s="36"/>
      <c r="BH889" s="36"/>
      <c r="BI889" s="36"/>
      <c r="BJ889" s="36"/>
      <c r="BK889" s="36"/>
      <c r="BL889" s="36"/>
      <c r="BM889" s="36"/>
      <c r="BN889" s="36"/>
      <c r="BO889" s="36"/>
      <c r="BP889" s="36"/>
      <c r="BQ889" s="36"/>
    </row>
    <row r="890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51"/>
      <c r="S890" s="51"/>
      <c r="T890" s="51"/>
      <c r="U890" s="51"/>
      <c r="V890" s="51"/>
      <c r="W890" s="51"/>
      <c r="X890" s="51"/>
      <c r="Y890" s="45"/>
      <c r="Z890" s="45"/>
      <c r="AA890" s="45"/>
      <c r="AB890" s="45"/>
      <c r="AC890" s="45"/>
      <c r="AD890" s="45"/>
      <c r="AE890" s="45"/>
      <c r="AF890" s="45"/>
      <c r="AG890" s="45"/>
      <c r="AH890" s="45"/>
      <c r="AI890" s="45"/>
      <c r="AJ890" s="45"/>
      <c r="AK890" s="45"/>
      <c r="AL890" s="45"/>
      <c r="AM890" s="45"/>
      <c r="AN890" s="45"/>
      <c r="AO890" s="45"/>
      <c r="AP890" s="45"/>
      <c r="AQ890" s="36"/>
      <c r="AR890" s="36"/>
      <c r="AS890" s="36"/>
      <c r="AT890" s="36"/>
      <c r="AU890" s="36"/>
      <c r="AV890" s="36"/>
      <c r="AW890" s="36"/>
      <c r="AX890" s="36"/>
      <c r="AY890" s="36"/>
      <c r="AZ890" s="36"/>
      <c r="BA890" s="36"/>
      <c r="BB890" s="36"/>
      <c r="BC890" s="36"/>
      <c r="BD890" s="36"/>
      <c r="BE890" s="36"/>
      <c r="BF890" s="36"/>
      <c r="BG890" s="36"/>
      <c r="BH890" s="36"/>
      <c r="BI890" s="36"/>
      <c r="BJ890" s="36"/>
      <c r="BK890" s="36"/>
      <c r="BL890" s="36"/>
      <c r="BM890" s="36"/>
      <c r="BN890" s="36"/>
      <c r="BO890" s="36"/>
      <c r="BP890" s="36"/>
      <c r="BQ890" s="36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51"/>
      <c r="S891" s="51"/>
      <c r="T891" s="51"/>
      <c r="U891" s="51"/>
      <c r="V891" s="51"/>
      <c r="W891" s="51"/>
      <c r="X891" s="51"/>
      <c r="Y891" s="45"/>
      <c r="Z891" s="45"/>
      <c r="AA891" s="45"/>
      <c r="AB891" s="45"/>
      <c r="AC891" s="45"/>
      <c r="AD891" s="45"/>
      <c r="AE891" s="45"/>
      <c r="AF891" s="45"/>
      <c r="AG891" s="45"/>
      <c r="AH891" s="45"/>
      <c r="AI891" s="45"/>
      <c r="AJ891" s="45"/>
      <c r="AK891" s="45"/>
      <c r="AL891" s="45"/>
      <c r="AM891" s="45"/>
      <c r="AN891" s="45"/>
      <c r="AO891" s="45"/>
      <c r="AP891" s="45"/>
      <c r="AQ891" s="36"/>
      <c r="AR891" s="36"/>
      <c r="AS891" s="36"/>
      <c r="AT891" s="36"/>
      <c r="AU891" s="36"/>
      <c r="AV891" s="36"/>
      <c r="AW891" s="36"/>
      <c r="AX891" s="36"/>
      <c r="AY891" s="36"/>
      <c r="AZ891" s="36"/>
      <c r="BA891" s="36"/>
      <c r="BB891" s="36"/>
      <c r="BC891" s="36"/>
      <c r="BD891" s="36"/>
      <c r="BE891" s="36"/>
      <c r="BF891" s="36"/>
      <c r="BG891" s="36"/>
      <c r="BH891" s="36"/>
      <c r="BI891" s="36"/>
      <c r="BJ891" s="36"/>
      <c r="BK891" s="36"/>
      <c r="BL891" s="36"/>
      <c r="BM891" s="36"/>
      <c r="BN891" s="36"/>
      <c r="BO891" s="36"/>
      <c r="BP891" s="36"/>
      <c r="BQ891" s="36"/>
    </row>
    <row r="89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51"/>
      <c r="S892" s="51"/>
      <c r="T892" s="51"/>
      <c r="U892" s="51"/>
      <c r="V892" s="51"/>
      <c r="W892" s="51"/>
      <c r="X892" s="51"/>
      <c r="Y892" s="45"/>
      <c r="Z892" s="45"/>
      <c r="AA892" s="45"/>
      <c r="AB892" s="45"/>
      <c r="AC892" s="45"/>
      <c r="AD892" s="45"/>
      <c r="AE892" s="45"/>
      <c r="AF892" s="45"/>
      <c r="AG892" s="45"/>
      <c r="AH892" s="45"/>
      <c r="AI892" s="45"/>
      <c r="AJ892" s="45"/>
      <c r="AK892" s="45"/>
      <c r="AL892" s="45"/>
      <c r="AM892" s="45"/>
      <c r="AN892" s="45"/>
      <c r="AO892" s="45"/>
      <c r="AP892" s="45"/>
      <c r="AQ892" s="36"/>
      <c r="AR892" s="36"/>
      <c r="AS892" s="36"/>
      <c r="AT892" s="36"/>
      <c r="AU892" s="36"/>
      <c r="AV892" s="36"/>
      <c r="AW892" s="36"/>
      <c r="AX892" s="36"/>
      <c r="AY892" s="36"/>
      <c r="AZ892" s="36"/>
      <c r="BA892" s="36"/>
      <c r="BB892" s="36"/>
      <c r="BC892" s="36"/>
      <c r="BD892" s="36"/>
      <c r="BE892" s="36"/>
      <c r="BF892" s="36"/>
      <c r="BG892" s="36"/>
      <c r="BH892" s="36"/>
      <c r="BI892" s="36"/>
      <c r="BJ892" s="36"/>
      <c r="BK892" s="36"/>
      <c r="BL892" s="36"/>
      <c r="BM892" s="36"/>
      <c r="BN892" s="36"/>
      <c r="BO892" s="36"/>
      <c r="BP892" s="36"/>
      <c r="BQ892" s="36"/>
    </row>
    <row r="893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51"/>
      <c r="S893" s="51"/>
      <c r="T893" s="51"/>
      <c r="U893" s="51"/>
      <c r="V893" s="51"/>
      <c r="W893" s="51"/>
      <c r="X893" s="51"/>
      <c r="Y893" s="45"/>
      <c r="Z893" s="45"/>
      <c r="AA893" s="45"/>
      <c r="AB893" s="45"/>
      <c r="AC893" s="45"/>
      <c r="AD893" s="45"/>
      <c r="AE893" s="45"/>
      <c r="AF893" s="45"/>
      <c r="AG893" s="45"/>
      <c r="AH893" s="45"/>
      <c r="AI893" s="45"/>
      <c r="AJ893" s="45"/>
      <c r="AK893" s="45"/>
      <c r="AL893" s="45"/>
      <c r="AM893" s="45"/>
      <c r="AN893" s="45"/>
      <c r="AO893" s="45"/>
      <c r="AP893" s="45"/>
      <c r="AQ893" s="36"/>
      <c r="AR893" s="36"/>
      <c r="AS893" s="36"/>
      <c r="AT893" s="36"/>
      <c r="AU893" s="36"/>
      <c r="AV893" s="36"/>
      <c r="AW893" s="36"/>
      <c r="AX893" s="36"/>
      <c r="AY893" s="36"/>
      <c r="AZ893" s="36"/>
      <c r="BA893" s="36"/>
      <c r="BB893" s="36"/>
      <c r="BC893" s="36"/>
      <c r="BD893" s="36"/>
      <c r="BE893" s="36"/>
      <c r="BF893" s="36"/>
      <c r="BG893" s="36"/>
      <c r="BH893" s="36"/>
      <c r="BI893" s="36"/>
      <c r="BJ893" s="36"/>
      <c r="BK893" s="36"/>
      <c r="BL893" s="36"/>
      <c r="BM893" s="36"/>
      <c r="BN893" s="36"/>
      <c r="BO893" s="36"/>
      <c r="BP893" s="36"/>
      <c r="BQ893" s="36"/>
    </row>
    <row r="894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51"/>
      <c r="S894" s="51"/>
      <c r="T894" s="51"/>
      <c r="U894" s="51"/>
      <c r="V894" s="51"/>
      <c r="W894" s="51"/>
      <c r="X894" s="51"/>
      <c r="Y894" s="45"/>
      <c r="Z894" s="45"/>
      <c r="AA894" s="45"/>
      <c r="AB894" s="45"/>
      <c r="AC894" s="45"/>
      <c r="AD894" s="45"/>
      <c r="AE894" s="45"/>
      <c r="AF894" s="45"/>
      <c r="AG894" s="45"/>
      <c r="AH894" s="45"/>
      <c r="AI894" s="45"/>
      <c r="AJ894" s="45"/>
      <c r="AK894" s="45"/>
      <c r="AL894" s="45"/>
      <c r="AM894" s="45"/>
      <c r="AN894" s="45"/>
      <c r="AO894" s="45"/>
      <c r="AP894" s="45"/>
      <c r="AQ894" s="36"/>
      <c r="AR894" s="36"/>
      <c r="AS894" s="36"/>
      <c r="AT894" s="36"/>
      <c r="AU894" s="36"/>
      <c r="AV894" s="36"/>
      <c r="AW894" s="36"/>
      <c r="AX894" s="36"/>
      <c r="AY894" s="36"/>
      <c r="AZ894" s="36"/>
      <c r="BA894" s="36"/>
      <c r="BB894" s="36"/>
      <c r="BC894" s="36"/>
      <c r="BD894" s="36"/>
      <c r="BE894" s="36"/>
      <c r="BF894" s="36"/>
      <c r="BG894" s="36"/>
      <c r="BH894" s="36"/>
      <c r="BI894" s="36"/>
      <c r="BJ894" s="36"/>
      <c r="BK894" s="36"/>
      <c r="BL894" s="36"/>
      <c r="BM894" s="36"/>
      <c r="BN894" s="36"/>
      <c r="BO894" s="36"/>
      <c r="BP894" s="36"/>
      <c r="BQ894" s="36"/>
    </row>
    <row r="89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51"/>
      <c r="S895" s="51"/>
      <c r="T895" s="51"/>
      <c r="U895" s="51"/>
      <c r="V895" s="51"/>
      <c r="W895" s="51"/>
      <c r="X895" s="51"/>
      <c r="Y895" s="45"/>
      <c r="Z895" s="45"/>
      <c r="AA895" s="45"/>
      <c r="AB895" s="45"/>
      <c r="AC895" s="45"/>
      <c r="AD895" s="45"/>
      <c r="AE895" s="45"/>
      <c r="AF895" s="45"/>
      <c r="AG895" s="45"/>
      <c r="AH895" s="45"/>
      <c r="AI895" s="45"/>
      <c r="AJ895" s="45"/>
      <c r="AK895" s="45"/>
      <c r="AL895" s="45"/>
      <c r="AM895" s="45"/>
      <c r="AN895" s="45"/>
      <c r="AO895" s="45"/>
      <c r="AP895" s="45"/>
      <c r="AQ895" s="36"/>
      <c r="AR895" s="36"/>
      <c r="AS895" s="36"/>
      <c r="AT895" s="36"/>
      <c r="AU895" s="36"/>
      <c r="AV895" s="36"/>
      <c r="AW895" s="36"/>
      <c r="AX895" s="36"/>
      <c r="AY895" s="36"/>
      <c r="AZ895" s="36"/>
      <c r="BA895" s="36"/>
      <c r="BB895" s="36"/>
      <c r="BC895" s="36"/>
      <c r="BD895" s="36"/>
      <c r="BE895" s="36"/>
      <c r="BF895" s="36"/>
      <c r="BG895" s="36"/>
      <c r="BH895" s="36"/>
      <c r="BI895" s="36"/>
      <c r="BJ895" s="36"/>
      <c r="BK895" s="36"/>
      <c r="BL895" s="36"/>
      <c r="BM895" s="36"/>
      <c r="BN895" s="36"/>
      <c r="BO895" s="36"/>
      <c r="BP895" s="36"/>
      <c r="BQ895" s="36"/>
    </row>
    <row r="896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51"/>
      <c r="S896" s="51"/>
      <c r="T896" s="51"/>
      <c r="U896" s="51"/>
      <c r="V896" s="51"/>
      <c r="W896" s="51"/>
      <c r="X896" s="51"/>
      <c r="Y896" s="45"/>
      <c r="Z896" s="45"/>
      <c r="AA896" s="45"/>
      <c r="AB896" s="45"/>
      <c r="AC896" s="45"/>
      <c r="AD896" s="45"/>
      <c r="AE896" s="45"/>
      <c r="AF896" s="45"/>
      <c r="AG896" s="45"/>
      <c r="AH896" s="45"/>
      <c r="AI896" s="45"/>
      <c r="AJ896" s="45"/>
      <c r="AK896" s="45"/>
      <c r="AL896" s="45"/>
      <c r="AM896" s="45"/>
      <c r="AN896" s="45"/>
      <c r="AO896" s="45"/>
      <c r="AP896" s="45"/>
      <c r="AQ896" s="36"/>
      <c r="AR896" s="36"/>
      <c r="AS896" s="36"/>
      <c r="AT896" s="36"/>
      <c r="AU896" s="36"/>
      <c r="AV896" s="36"/>
      <c r="AW896" s="36"/>
      <c r="AX896" s="36"/>
      <c r="AY896" s="36"/>
      <c r="AZ896" s="36"/>
      <c r="BA896" s="36"/>
      <c r="BB896" s="36"/>
      <c r="BC896" s="36"/>
      <c r="BD896" s="36"/>
      <c r="BE896" s="36"/>
      <c r="BF896" s="36"/>
      <c r="BG896" s="36"/>
      <c r="BH896" s="36"/>
      <c r="BI896" s="36"/>
      <c r="BJ896" s="36"/>
      <c r="BK896" s="36"/>
      <c r="BL896" s="36"/>
      <c r="BM896" s="36"/>
      <c r="BN896" s="36"/>
      <c r="BO896" s="36"/>
      <c r="BP896" s="36"/>
      <c r="BQ896" s="36"/>
    </row>
    <row r="897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51"/>
      <c r="S897" s="51"/>
      <c r="T897" s="51"/>
      <c r="U897" s="51"/>
      <c r="V897" s="51"/>
      <c r="W897" s="51"/>
      <c r="X897" s="51"/>
      <c r="Y897" s="45"/>
      <c r="Z897" s="45"/>
      <c r="AA897" s="45"/>
      <c r="AB897" s="45"/>
      <c r="AC897" s="45"/>
      <c r="AD897" s="45"/>
      <c r="AE897" s="45"/>
      <c r="AF897" s="45"/>
      <c r="AG897" s="45"/>
      <c r="AH897" s="45"/>
      <c r="AI897" s="45"/>
      <c r="AJ897" s="45"/>
      <c r="AK897" s="45"/>
      <c r="AL897" s="45"/>
      <c r="AM897" s="45"/>
      <c r="AN897" s="45"/>
      <c r="AO897" s="45"/>
      <c r="AP897" s="45"/>
      <c r="AQ897" s="36"/>
      <c r="AR897" s="36"/>
      <c r="AS897" s="36"/>
      <c r="AT897" s="36"/>
      <c r="AU897" s="36"/>
      <c r="AV897" s="36"/>
      <c r="AW897" s="36"/>
      <c r="AX897" s="36"/>
      <c r="AY897" s="36"/>
      <c r="AZ897" s="36"/>
      <c r="BA897" s="36"/>
      <c r="BB897" s="36"/>
      <c r="BC897" s="36"/>
      <c r="BD897" s="36"/>
      <c r="BE897" s="36"/>
      <c r="BF897" s="36"/>
      <c r="BG897" s="36"/>
      <c r="BH897" s="36"/>
      <c r="BI897" s="36"/>
      <c r="BJ897" s="36"/>
      <c r="BK897" s="36"/>
      <c r="BL897" s="36"/>
      <c r="BM897" s="36"/>
      <c r="BN897" s="36"/>
      <c r="BO897" s="36"/>
      <c r="BP897" s="36"/>
      <c r="BQ897" s="36"/>
    </row>
    <row r="898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51"/>
      <c r="S898" s="51"/>
      <c r="T898" s="51"/>
      <c r="U898" s="51"/>
      <c r="V898" s="51"/>
      <c r="W898" s="51"/>
      <c r="X898" s="51"/>
      <c r="Y898" s="45"/>
      <c r="Z898" s="45"/>
      <c r="AA898" s="45"/>
      <c r="AB898" s="45"/>
      <c r="AC898" s="45"/>
      <c r="AD898" s="45"/>
      <c r="AE898" s="45"/>
      <c r="AF898" s="45"/>
      <c r="AG898" s="45"/>
      <c r="AH898" s="45"/>
      <c r="AI898" s="45"/>
      <c r="AJ898" s="45"/>
      <c r="AK898" s="45"/>
      <c r="AL898" s="45"/>
      <c r="AM898" s="45"/>
      <c r="AN898" s="45"/>
      <c r="AO898" s="45"/>
      <c r="AP898" s="45"/>
      <c r="AQ898" s="36"/>
      <c r="AR898" s="36"/>
      <c r="AS898" s="36"/>
      <c r="AT898" s="36"/>
      <c r="AU898" s="36"/>
      <c r="AV898" s="36"/>
      <c r="AW898" s="36"/>
      <c r="AX898" s="36"/>
      <c r="AY898" s="36"/>
      <c r="AZ898" s="36"/>
      <c r="BA898" s="36"/>
      <c r="BB898" s="36"/>
      <c r="BC898" s="36"/>
      <c r="BD898" s="36"/>
      <c r="BE898" s="36"/>
      <c r="BF898" s="36"/>
      <c r="BG898" s="36"/>
      <c r="BH898" s="36"/>
      <c r="BI898" s="36"/>
      <c r="BJ898" s="36"/>
      <c r="BK898" s="36"/>
      <c r="BL898" s="36"/>
      <c r="BM898" s="36"/>
      <c r="BN898" s="36"/>
      <c r="BO898" s="36"/>
      <c r="BP898" s="36"/>
      <c r="BQ898" s="36"/>
    </row>
    <row r="899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51"/>
      <c r="S899" s="51"/>
      <c r="T899" s="51"/>
      <c r="U899" s="51"/>
      <c r="V899" s="51"/>
      <c r="W899" s="51"/>
      <c r="X899" s="51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5"/>
      <c r="AM899" s="45"/>
      <c r="AN899" s="45"/>
      <c r="AO899" s="45"/>
      <c r="AP899" s="45"/>
      <c r="AQ899" s="36"/>
      <c r="AR899" s="36"/>
      <c r="AS899" s="36"/>
      <c r="AT899" s="36"/>
      <c r="AU899" s="36"/>
      <c r="AV899" s="36"/>
      <c r="AW899" s="36"/>
      <c r="AX899" s="36"/>
      <c r="AY899" s="36"/>
      <c r="AZ899" s="36"/>
      <c r="BA899" s="36"/>
      <c r="BB899" s="36"/>
      <c r="BC899" s="36"/>
      <c r="BD899" s="36"/>
      <c r="BE899" s="36"/>
      <c r="BF899" s="36"/>
      <c r="BG899" s="36"/>
      <c r="BH899" s="36"/>
      <c r="BI899" s="36"/>
      <c r="BJ899" s="36"/>
      <c r="BK899" s="36"/>
      <c r="BL899" s="36"/>
      <c r="BM899" s="36"/>
      <c r="BN899" s="36"/>
      <c r="BO899" s="36"/>
      <c r="BP899" s="36"/>
      <c r="BQ899" s="36"/>
    </row>
    <row r="900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51"/>
      <c r="S900" s="51"/>
      <c r="T900" s="51"/>
      <c r="U900" s="51"/>
      <c r="V900" s="51"/>
      <c r="W900" s="51"/>
      <c r="X900" s="51"/>
      <c r="Y900" s="45"/>
      <c r="Z900" s="45"/>
      <c r="AA900" s="45"/>
      <c r="AB900" s="45"/>
      <c r="AC900" s="45"/>
      <c r="AD900" s="45"/>
      <c r="AE900" s="45"/>
      <c r="AF900" s="45"/>
      <c r="AG900" s="45"/>
      <c r="AH900" s="45"/>
      <c r="AI900" s="45"/>
      <c r="AJ900" s="45"/>
      <c r="AK900" s="45"/>
      <c r="AL900" s="45"/>
      <c r="AM900" s="45"/>
      <c r="AN900" s="45"/>
      <c r="AO900" s="45"/>
      <c r="AP900" s="45"/>
      <c r="AQ900" s="36"/>
      <c r="AR900" s="36"/>
      <c r="AS900" s="36"/>
      <c r="AT900" s="36"/>
      <c r="AU900" s="36"/>
      <c r="AV900" s="36"/>
      <c r="AW900" s="36"/>
      <c r="AX900" s="36"/>
      <c r="AY900" s="36"/>
      <c r="AZ900" s="36"/>
      <c r="BA900" s="36"/>
      <c r="BB900" s="36"/>
      <c r="BC900" s="36"/>
      <c r="BD900" s="36"/>
      <c r="BE900" s="36"/>
      <c r="BF900" s="36"/>
      <c r="BG900" s="36"/>
      <c r="BH900" s="36"/>
      <c r="BI900" s="36"/>
      <c r="BJ900" s="36"/>
      <c r="BK900" s="36"/>
      <c r="BL900" s="36"/>
      <c r="BM900" s="36"/>
      <c r="BN900" s="36"/>
      <c r="BO900" s="36"/>
      <c r="BP900" s="36"/>
      <c r="BQ900" s="36"/>
    </row>
    <row r="90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51"/>
      <c r="S901" s="51"/>
      <c r="T901" s="51"/>
      <c r="U901" s="51"/>
      <c r="V901" s="51"/>
      <c r="W901" s="51"/>
      <c r="X901" s="51"/>
      <c r="Y901" s="45"/>
      <c r="Z901" s="45"/>
      <c r="AA901" s="45"/>
      <c r="AB901" s="45"/>
      <c r="AC901" s="45"/>
      <c r="AD901" s="45"/>
      <c r="AE901" s="45"/>
      <c r="AF901" s="45"/>
      <c r="AG901" s="45"/>
      <c r="AH901" s="45"/>
      <c r="AI901" s="45"/>
      <c r="AJ901" s="45"/>
      <c r="AK901" s="45"/>
      <c r="AL901" s="45"/>
      <c r="AM901" s="45"/>
      <c r="AN901" s="45"/>
      <c r="AO901" s="45"/>
      <c r="AP901" s="45"/>
      <c r="AQ901" s="36"/>
      <c r="AR901" s="36"/>
      <c r="AS901" s="36"/>
      <c r="AT901" s="36"/>
      <c r="AU901" s="36"/>
      <c r="AV901" s="36"/>
      <c r="AW901" s="36"/>
      <c r="AX901" s="36"/>
      <c r="AY901" s="36"/>
      <c r="AZ901" s="36"/>
      <c r="BA901" s="36"/>
      <c r="BB901" s="36"/>
      <c r="BC901" s="36"/>
      <c r="BD901" s="36"/>
      <c r="BE901" s="36"/>
      <c r="BF901" s="36"/>
      <c r="BG901" s="36"/>
      <c r="BH901" s="36"/>
      <c r="BI901" s="36"/>
      <c r="BJ901" s="36"/>
      <c r="BK901" s="36"/>
      <c r="BL901" s="36"/>
      <c r="BM901" s="36"/>
      <c r="BN901" s="36"/>
      <c r="BO901" s="36"/>
      <c r="BP901" s="36"/>
      <c r="BQ901" s="36"/>
    </row>
    <row r="90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51"/>
      <c r="S902" s="51"/>
      <c r="T902" s="51"/>
      <c r="U902" s="51"/>
      <c r="V902" s="51"/>
      <c r="W902" s="51"/>
      <c r="X902" s="51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5"/>
      <c r="AM902" s="45"/>
      <c r="AN902" s="45"/>
      <c r="AO902" s="45"/>
      <c r="AP902" s="45"/>
      <c r="AQ902" s="36"/>
      <c r="AR902" s="36"/>
      <c r="AS902" s="36"/>
      <c r="AT902" s="36"/>
      <c r="AU902" s="36"/>
      <c r="AV902" s="36"/>
      <c r="AW902" s="36"/>
      <c r="AX902" s="36"/>
      <c r="AY902" s="36"/>
      <c r="AZ902" s="36"/>
      <c r="BA902" s="36"/>
      <c r="BB902" s="36"/>
      <c r="BC902" s="36"/>
      <c r="BD902" s="36"/>
      <c r="BE902" s="36"/>
      <c r="BF902" s="36"/>
      <c r="BG902" s="36"/>
      <c r="BH902" s="36"/>
      <c r="BI902" s="36"/>
      <c r="BJ902" s="36"/>
      <c r="BK902" s="36"/>
      <c r="BL902" s="36"/>
      <c r="BM902" s="36"/>
      <c r="BN902" s="36"/>
      <c r="BO902" s="36"/>
      <c r="BP902" s="36"/>
      <c r="BQ902" s="36"/>
    </row>
    <row r="903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51"/>
      <c r="S903" s="51"/>
      <c r="T903" s="51"/>
      <c r="U903" s="51"/>
      <c r="V903" s="51"/>
      <c r="W903" s="51"/>
      <c r="X903" s="51"/>
      <c r="Y903" s="45"/>
      <c r="Z903" s="45"/>
      <c r="AA903" s="45"/>
      <c r="AB903" s="45"/>
      <c r="AC903" s="45"/>
      <c r="AD903" s="45"/>
      <c r="AE903" s="45"/>
      <c r="AF903" s="45"/>
      <c r="AG903" s="45"/>
      <c r="AH903" s="45"/>
      <c r="AI903" s="45"/>
      <c r="AJ903" s="45"/>
      <c r="AK903" s="45"/>
      <c r="AL903" s="45"/>
      <c r="AM903" s="45"/>
      <c r="AN903" s="45"/>
      <c r="AO903" s="45"/>
      <c r="AP903" s="45"/>
      <c r="AQ903" s="36"/>
      <c r="AR903" s="36"/>
      <c r="AS903" s="36"/>
      <c r="AT903" s="36"/>
      <c r="AU903" s="36"/>
      <c r="AV903" s="36"/>
      <c r="AW903" s="36"/>
      <c r="AX903" s="36"/>
      <c r="AY903" s="36"/>
      <c r="AZ903" s="36"/>
      <c r="BA903" s="36"/>
      <c r="BB903" s="36"/>
      <c r="BC903" s="36"/>
      <c r="BD903" s="36"/>
      <c r="BE903" s="36"/>
      <c r="BF903" s="36"/>
      <c r="BG903" s="36"/>
      <c r="BH903" s="36"/>
      <c r="BI903" s="36"/>
      <c r="BJ903" s="36"/>
      <c r="BK903" s="36"/>
      <c r="BL903" s="36"/>
      <c r="BM903" s="36"/>
      <c r="BN903" s="36"/>
      <c r="BO903" s="36"/>
      <c r="BP903" s="36"/>
      <c r="BQ903" s="36"/>
    </row>
    <row r="904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51"/>
      <c r="S904" s="51"/>
      <c r="T904" s="51"/>
      <c r="U904" s="51"/>
      <c r="V904" s="51"/>
      <c r="W904" s="51"/>
      <c r="X904" s="51"/>
      <c r="Y904" s="45"/>
      <c r="Z904" s="45"/>
      <c r="AA904" s="45"/>
      <c r="AB904" s="45"/>
      <c r="AC904" s="45"/>
      <c r="AD904" s="45"/>
      <c r="AE904" s="45"/>
      <c r="AF904" s="45"/>
      <c r="AG904" s="45"/>
      <c r="AH904" s="45"/>
      <c r="AI904" s="45"/>
      <c r="AJ904" s="45"/>
      <c r="AK904" s="45"/>
      <c r="AL904" s="45"/>
      <c r="AM904" s="45"/>
      <c r="AN904" s="45"/>
      <c r="AO904" s="45"/>
      <c r="AP904" s="45"/>
      <c r="AQ904" s="36"/>
      <c r="AR904" s="36"/>
      <c r="AS904" s="36"/>
      <c r="AT904" s="36"/>
      <c r="AU904" s="36"/>
      <c r="AV904" s="36"/>
      <c r="AW904" s="36"/>
      <c r="AX904" s="36"/>
      <c r="AY904" s="36"/>
      <c r="AZ904" s="36"/>
      <c r="BA904" s="36"/>
      <c r="BB904" s="36"/>
      <c r="BC904" s="36"/>
      <c r="BD904" s="36"/>
      <c r="BE904" s="36"/>
      <c r="BF904" s="36"/>
      <c r="BG904" s="36"/>
      <c r="BH904" s="36"/>
      <c r="BI904" s="36"/>
      <c r="BJ904" s="36"/>
      <c r="BK904" s="36"/>
      <c r="BL904" s="36"/>
      <c r="BM904" s="36"/>
      <c r="BN904" s="36"/>
      <c r="BO904" s="36"/>
      <c r="BP904" s="36"/>
      <c r="BQ904" s="36"/>
    </row>
    <row r="90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51"/>
      <c r="S905" s="51"/>
      <c r="T905" s="51"/>
      <c r="U905" s="51"/>
      <c r="V905" s="51"/>
      <c r="W905" s="51"/>
      <c r="X905" s="51"/>
      <c r="Y905" s="45"/>
      <c r="Z905" s="45"/>
      <c r="AA905" s="45"/>
      <c r="AB905" s="45"/>
      <c r="AC905" s="45"/>
      <c r="AD905" s="45"/>
      <c r="AE905" s="45"/>
      <c r="AF905" s="45"/>
      <c r="AG905" s="45"/>
      <c r="AH905" s="45"/>
      <c r="AI905" s="45"/>
      <c r="AJ905" s="45"/>
      <c r="AK905" s="45"/>
      <c r="AL905" s="45"/>
      <c r="AM905" s="45"/>
      <c r="AN905" s="45"/>
      <c r="AO905" s="45"/>
      <c r="AP905" s="45"/>
      <c r="AQ905" s="36"/>
      <c r="AR905" s="36"/>
      <c r="AS905" s="36"/>
      <c r="AT905" s="36"/>
      <c r="AU905" s="36"/>
      <c r="AV905" s="36"/>
      <c r="AW905" s="36"/>
      <c r="AX905" s="36"/>
      <c r="AY905" s="36"/>
      <c r="AZ905" s="36"/>
      <c r="BA905" s="36"/>
      <c r="BB905" s="36"/>
      <c r="BC905" s="36"/>
      <c r="BD905" s="36"/>
      <c r="BE905" s="36"/>
      <c r="BF905" s="36"/>
      <c r="BG905" s="36"/>
      <c r="BH905" s="36"/>
      <c r="BI905" s="36"/>
      <c r="BJ905" s="36"/>
      <c r="BK905" s="36"/>
      <c r="BL905" s="36"/>
      <c r="BM905" s="36"/>
      <c r="BN905" s="36"/>
      <c r="BO905" s="36"/>
      <c r="BP905" s="36"/>
      <c r="BQ905" s="36"/>
    </row>
    <row r="906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51"/>
      <c r="S906" s="51"/>
      <c r="T906" s="51"/>
      <c r="U906" s="51"/>
      <c r="V906" s="51"/>
      <c r="W906" s="51"/>
      <c r="X906" s="51"/>
      <c r="Y906" s="45"/>
      <c r="Z906" s="45"/>
      <c r="AA906" s="45"/>
      <c r="AB906" s="45"/>
      <c r="AC906" s="45"/>
      <c r="AD906" s="45"/>
      <c r="AE906" s="45"/>
      <c r="AF906" s="45"/>
      <c r="AG906" s="45"/>
      <c r="AH906" s="45"/>
      <c r="AI906" s="45"/>
      <c r="AJ906" s="45"/>
      <c r="AK906" s="45"/>
      <c r="AL906" s="45"/>
      <c r="AM906" s="45"/>
      <c r="AN906" s="45"/>
      <c r="AO906" s="45"/>
      <c r="AP906" s="45"/>
      <c r="AQ906" s="36"/>
      <c r="AR906" s="36"/>
      <c r="AS906" s="36"/>
      <c r="AT906" s="36"/>
      <c r="AU906" s="36"/>
      <c r="AV906" s="36"/>
      <c r="AW906" s="36"/>
      <c r="AX906" s="36"/>
      <c r="AY906" s="36"/>
      <c r="AZ906" s="36"/>
      <c r="BA906" s="36"/>
      <c r="BB906" s="36"/>
      <c r="BC906" s="36"/>
      <c r="BD906" s="36"/>
      <c r="BE906" s="36"/>
      <c r="BF906" s="36"/>
      <c r="BG906" s="36"/>
      <c r="BH906" s="36"/>
      <c r="BI906" s="36"/>
      <c r="BJ906" s="36"/>
      <c r="BK906" s="36"/>
      <c r="BL906" s="36"/>
      <c r="BM906" s="36"/>
      <c r="BN906" s="36"/>
      <c r="BO906" s="36"/>
      <c r="BP906" s="36"/>
      <c r="BQ906" s="36"/>
    </row>
    <row r="907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51"/>
      <c r="S907" s="51"/>
      <c r="T907" s="51"/>
      <c r="U907" s="51"/>
      <c r="V907" s="51"/>
      <c r="W907" s="51"/>
      <c r="X907" s="51"/>
      <c r="Y907" s="45"/>
      <c r="Z907" s="45"/>
      <c r="AA907" s="45"/>
      <c r="AB907" s="45"/>
      <c r="AC907" s="45"/>
      <c r="AD907" s="45"/>
      <c r="AE907" s="45"/>
      <c r="AF907" s="45"/>
      <c r="AG907" s="45"/>
      <c r="AH907" s="45"/>
      <c r="AI907" s="45"/>
      <c r="AJ907" s="45"/>
      <c r="AK907" s="45"/>
      <c r="AL907" s="45"/>
      <c r="AM907" s="45"/>
      <c r="AN907" s="45"/>
      <c r="AO907" s="45"/>
      <c r="AP907" s="45"/>
      <c r="AQ907" s="36"/>
      <c r="AR907" s="36"/>
      <c r="AS907" s="36"/>
      <c r="AT907" s="36"/>
      <c r="AU907" s="36"/>
      <c r="AV907" s="36"/>
      <c r="AW907" s="36"/>
      <c r="AX907" s="36"/>
      <c r="AY907" s="36"/>
      <c r="AZ907" s="36"/>
      <c r="BA907" s="36"/>
      <c r="BB907" s="36"/>
      <c r="BC907" s="36"/>
      <c r="BD907" s="36"/>
      <c r="BE907" s="36"/>
      <c r="BF907" s="36"/>
      <c r="BG907" s="36"/>
      <c r="BH907" s="36"/>
      <c r="BI907" s="36"/>
      <c r="BJ907" s="36"/>
      <c r="BK907" s="36"/>
      <c r="BL907" s="36"/>
      <c r="BM907" s="36"/>
      <c r="BN907" s="36"/>
      <c r="BO907" s="36"/>
      <c r="BP907" s="36"/>
      <c r="BQ907" s="36"/>
    </row>
    <row r="908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51"/>
      <c r="S908" s="51"/>
      <c r="T908" s="51"/>
      <c r="U908" s="51"/>
      <c r="V908" s="51"/>
      <c r="W908" s="51"/>
      <c r="X908" s="51"/>
      <c r="Y908" s="45"/>
      <c r="Z908" s="45"/>
      <c r="AA908" s="45"/>
      <c r="AB908" s="45"/>
      <c r="AC908" s="45"/>
      <c r="AD908" s="45"/>
      <c r="AE908" s="45"/>
      <c r="AF908" s="45"/>
      <c r="AG908" s="45"/>
      <c r="AH908" s="45"/>
      <c r="AI908" s="45"/>
      <c r="AJ908" s="45"/>
      <c r="AK908" s="45"/>
      <c r="AL908" s="45"/>
      <c r="AM908" s="45"/>
      <c r="AN908" s="45"/>
      <c r="AO908" s="45"/>
      <c r="AP908" s="45"/>
      <c r="AQ908" s="36"/>
      <c r="AR908" s="36"/>
      <c r="AS908" s="36"/>
      <c r="AT908" s="36"/>
      <c r="AU908" s="36"/>
      <c r="AV908" s="36"/>
      <c r="AW908" s="36"/>
      <c r="AX908" s="36"/>
      <c r="AY908" s="36"/>
      <c r="AZ908" s="36"/>
      <c r="BA908" s="36"/>
      <c r="BB908" s="36"/>
      <c r="BC908" s="36"/>
      <c r="BD908" s="36"/>
      <c r="BE908" s="36"/>
      <c r="BF908" s="36"/>
      <c r="BG908" s="36"/>
      <c r="BH908" s="36"/>
      <c r="BI908" s="36"/>
      <c r="BJ908" s="36"/>
      <c r="BK908" s="36"/>
      <c r="BL908" s="36"/>
      <c r="BM908" s="36"/>
      <c r="BN908" s="36"/>
      <c r="BO908" s="36"/>
      <c r="BP908" s="36"/>
      <c r="BQ908" s="36"/>
    </row>
    <row r="909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51"/>
      <c r="S909" s="51"/>
      <c r="T909" s="51"/>
      <c r="U909" s="51"/>
      <c r="V909" s="51"/>
      <c r="W909" s="51"/>
      <c r="X909" s="51"/>
      <c r="Y909" s="45"/>
      <c r="Z909" s="45"/>
      <c r="AA909" s="45"/>
      <c r="AB909" s="45"/>
      <c r="AC909" s="45"/>
      <c r="AD909" s="45"/>
      <c r="AE909" s="45"/>
      <c r="AF909" s="45"/>
      <c r="AG909" s="45"/>
      <c r="AH909" s="45"/>
      <c r="AI909" s="45"/>
      <c r="AJ909" s="45"/>
      <c r="AK909" s="45"/>
      <c r="AL909" s="45"/>
      <c r="AM909" s="45"/>
      <c r="AN909" s="45"/>
      <c r="AO909" s="45"/>
      <c r="AP909" s="45"/>
      <c r="AQ909" s="36"/>
      <c r="AR909" s="36"/>
      <c r="AS909" s="36"/>
      <c r="AT909" s="36"/>
      <c r="AU909" s="36"/>
      <c r="AV909" s="36"/>
      <c r="AW909" s="36"/>
      <c r="AX909" s="36"/>
      <c r="AY909" s="36"/>
      <c r="AZ909" s="36"/>
      <c r="BA909" s="36"/>
      <c r="BB909" s="36"/>
      <c r="BC909" s="36"/>
      <c r="BD909" s="36"/>
      <c r="BE909" s="36"/>
      <c r="BF909" s="36"/>
      <c r="BG909" s="36"/>
      <c r="BH909" s="36"/>
      <c r="BI909" s="36"/>
      <c r="BJ909" s="36"/>
      <c r="BK909" s="36"/>
      <c r="BL909" s="36"/>
      <c r="BM909" s="36"/>
      <c r="BN909" s="36"/>
      <c r="BO909" s="36"/>
      <c r="BP909" s="36"/>
      <c r="BQ909" s="36"/>
    </row>
    <row r="910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51"/>
      <c r="S910" s="51"/>
      <c r="T910" s="51"/>
      <c r="U910" s="51"/>
      <c r="V910" s="51"/>
      <c r="W910" s="51"/>
      <c r="X910" s="51"/>
      <c r="Y910" s="45"/>
      <c r="Z910" s="45"/>
      <c r="AA910" s="45"/>
      <c r="AB910" s="45"/>
      <c r="AC910" s="45"/>
      <c r="AD910" s="45"/>
      <c r="AE910" s="45"/>
      <c r="AF910" s="45"/>
      <c r="AG910" s="45"/>
      <c r="AH910" s="45"/>
      <c r="AI910" s="45"/>
      <c r="AJ910" s="45"/>
      <c r="AK910" s="45"/>
      <c r="AL910" s="45"/>
      <c r="AM910" s="45"/>
      <c r="AN910" s="45"/>
      <c r="AO910" s="45"/>
      <c r="AP910" s="45"/>
      <c r="AQ910" s="36"/>
      <c r="AR910" s="36"/>
      <c r="AS910" s="36"/>
      <c r="AT910" s="36"/>
      <c r="AU910" s="36"/>
      <c r="AV910" s="36"/>
      <c r="AW910" s="36"/>
      <c r="AX910" s="36"/>
      <c r="AY910" s="36"/>
      <c r="AZ910" s="36"/>
      <c r="BA910" s="36"/>
      <c r="BB910" s="36"/>
      <c r="BC910" s="36"/>
      <c r="BD910" s="36"/>
      <c r="BE910" s="36"/>
      <c r="BF910" s="36"/>
      <c r="BG910" s="36"/>
      <c r="BH910" s="36"/>
      <c r="BI910" s="36"/>
      <c r="BJ910" s="36"/>
      <c r="BK910" s="36"/>
      <c r="BL910" s="36"/>
      <c r="BM910" s="36"/>
      <c r="BN910" s="36"/>
      <c r="BO910" s="36"/>
      <c r="BP910" s="36"/>
      <c r="BQ910" s="36"/>
    </row>
    <row r="91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51"/>
      <c r="S911" s="51"/>
      <c r="T911" s="51"/>
      <c r="U911" s="51"/>
      <c r="V911" s="51"/>
      <c r="W911" s="51"/>
      <c r="X911" s="51"/>
      <c r="Y911" s="45"/>
      <c r="Z911" s="45"/>
      <c r="AA911" s="45"/>
      <c r="AB911" s="45"/>
      <c r="AC911" s="45"/>
      <c r="AD911" s="45"/>
      <c r="AE911" s="45"/>
      <c r="AF911" s="45"/>
      <c r="AG911" s="45"/>
      <c r="AH911" s="45"/>
      <c r="AI911" s="45"/>
      <c r="AJ911" s="45"/>
      <c r="AK911" s="45"/>
      <c r="AL911" s="45"/>
      <c r="AM911" s="45"/>
      <c r="AN911" s="45"/>
      <c r="AO911" s="45"/>
      <c r="AP911" s="45"/>
      <c r="AQ911" s="36"/>
      <c r="AR911" s="36"/>
      <c r="AS911" s="36"/>
      <c r="AT911" s="36"/>
      <c r="AU911" s="36"/>
      <c r="AV911" s="36"/>
      <c r="AW911" s="36"/>
      <c r="AX911" s="36"/>
      <c r="AY911" s="36"/>
      <c r="AZ911" s="36"/>
      <c r="BA911" s="36"/>
      <c r="BB911" s="36"/>
      <c r="BC911" s="36"/>
      <c r="BD911" s="36"/>
      <c r="BE911" s="36"/>
      <c r="BF911" s="36"/>
      <c r="BG911" s="36"/>
      <c r="BH911" s="36"/>
      <c r="BI911" s="36"/>
      <c r="BJ911" s="36"/>
      <c r="BK911" s="36"/>
      <c r="BL911" s="36"/>
      <c r="BM911" s="36"/>
      <c r="BN911" s="36"/>
      <c r="BO911" s="36"/>
      <c r="BP911" s="36"/>
      <c r="BQ911" s="36"/>
    </row>
    <row r="91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51"/>
      <c r="S912" s="51"/>
      <c r="T912" s="51"/>
      <c r="U912" s="51"/>
      <c r="V912" s="51"/>
      <c r="W912" s="51"/>
      <c r="X912" s="51"/>
      <c r="Y912" s="45"/>
      <c r="Z912" s="45"/>
      <c r="AA912" s="45"/>
      <c r="AB912" s="45"/>
      <c r="AC912" s="45"/>
      <c r="AD912" s="45"/>
      <c r="AE912" s="45"/>
      <c r="AF912" s="45"/>
      <c r="AG912" s="45"/>
      <c r="AH912" s="45"/>
      <c r="AI912" s="45"/>
      <c r="AJ912" s="45"/>
      <c r="AK912" s="45"/>
      <c r="AL912" s="45"/>
      <c r="AM912" s="45"/>
      <c r="AN912" s="45"/>
      <c r="AO912" s="45"/>
      <c r="AP912" s="45"/>
      <c r="AQ912" s="36"/>
      <c r="AR912" s="36"/>
      <c r="AS912" s="36"/>
      <c r="AT912" s="36"/>
      <c r="AU912" s="36"/>
      <c r="AV912" s="36"/>
      <c r="AW912" s="36"/>
      <c r="AX912" s="36"/>
      <c r="AY912" s="36"/>
      <c r="AZ912" s="36"/>
      <c r="BA912" s="36"/>
      <c r="BB912" s="36"/>
      <c r="BC912" s="36"/>
      <c r="BD912" s="36"/>
      <c r="BE912" s="36"/>
      <c r="BF912" s="36"/>
      <c r="BG912" s="36"/>
      <c r="BH912" s="36"/>
      <c r="BI912" s="36"/>
      <c r="BJ912" s="36"/>
      <c r="BK912" s="36"/>
      <c r="BL912" s="36"/>
      <c r="BM912" s="36"/>
      <c r="BN912" s="36"/>
      <c r="BO912" s="36"/>
      <c r="BP912" s="36"/>
      <c r="BQ912" s="36"/>
    </row>
    <row r="913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51"/>
      <c r="S913" s="51"/>
      <c r="T913" s="51"/>
      <c r="U913" s="51"/>
      <c r="V913" s="51"/>
      <c r="W913" s="51"/>
      <c r="X913" s="51"/>
      <c r="Y913" s="45"/>
      <c r="Z913" s="45"/>
      <c r="AA913" s="45"/>
      <c r="AB913" s="45"/>
      <c r="AC913" s="45"/>
      <c r="AD913" s="45"/>
      <c r="AE913" s="45"/>
      <c r="AF913" s="45"/>
      <c r="AG913" s="45"/>
      <c r="AH913" s="45"/>
      <c r="AI913" s="45"/>
      <c r="AJ913" s="45"/>
      <c r="AK913" s="45"/>
      <c r="AL913" s="45"/>
      <c r="AM913" s="45"/>
      <c r="AN913" s="45"/>
      <c r="AO913" s="45"/>
      <c r="AP913" s="45"/>
      <c r="AQ913" s="36"/>
      <c r="AR913" s="36"/>
      <c r="AS913" s="36"/>
      <c r="AT913" s="36"/>
      <c r="AU913" s="36"/>
      <c r="AV913" s="36"/>
      <c r="AW913" s="36"/>
      <c r="AX913" s="36"/>
      <c r="AY913" s="36"/>
      <c r="AZ913" s="36"/>
      <c r="BA913" s="36"/>
      <c r="BB913" s="36"/>
      <c r="BC913" s="36"/>
      <c r="BD913" s="36"/>
      <c r="BE913" s="36"/>
      <c r="BF913" s="36"/>
      <c r="BG913" s="36"/>
      <c r="BH913" s="36"/>
      <c r="BI913" s="36"/>
      <c r="BJ913" s="36"/>
      <c r="BK913" s="36"/>
      <c r="BL913" s="36"/>
      <c r="BM913" s="36"/>
      <c r="BN913" s="36"/>
      <c r="BO913" s="36"/>
      <c r="BP913" s="36"/>
      <c r="BQ913" s="36"/>
    </row>
    <row r="914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51"/>
      <c r="S914" s="51"/>
      <c r="T914" s="51"/>
      <c r="U914" s="51"/>
      <c r="V914" s="51"/>
      <c r="W914" s="51"/>
      <c r="X914" s="51"/>
      <c r="Y914" s="45"/>
      <c r="Z914" s="45"/>
      <c r="AA914" s="45"/>
      <c r="AB914" s="45"/>
      <c r="AC914" s="45"/>
      <c r="AD914" s="45"/>
      <c r="AE914" s="45"/>
      <c r="AF914" s="45"/>
      <c r="AG914" s="45"/>
      <c r="AH914" s="45"/>
      <c r="AI914" s="45"/>
      <c r="AJ914" s="45"/>
      <c r="AK914" s="45"/>
      <c r="AL914" s="45"/>
      <c r="AM914" s="45"/>
      <c r="AN914" s="45"/>
      <c r="AO914" s="45"/>
      <c r="AP914" s="45"/>
      <c r="AQ914" s="36"/>
      <c r="AR914" s="36"/>
      <c r="AS914" s="36"/>
      <c r="AT914" s="36"/>
      <c r="AU914" s="36"/>
      <c r="AV914" s="36"/>
      <c r="AW914" s="36"/>
      <c r="AX914" s="36"/>
      <c r="AY914" s="36"/>
      <c r="AZ914" s="36"/>
      <c r="BA914" s="36"/>
      <c r="BB914" s="36"/>
      <c r="BC914" s="36"/>
      <c r="BD914" s="36"/>
      <c r="BE914" s="36"/>
      <c r="BF914" s="36"/>
      <c r="BG914" s="36"/>
      <c r="BH914" s="36"/>
      <c r="BI914" s="36"/>
      <c r="BJ914" s="36"/>
      <c r="BK914" s="36"/>
      <c r="BL914" s="36"/>
      <c r="BM914" s="36"/>
      <c r="BN914" s="36"/>
      <c r="BO914" s="36"/>
      <c r="BP914" s="36"/>
      <c r="BQ914" s="36"/>
    </row>
    <row r="91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51"/>
      <c r="S915" s="51"/>
      <c r="T915" s="51"/>
      <c r="U915" s="51"/>
      <c r="V915" s="51"/>
      <c r="W915" s="51"/>
      <c r="X915" s="51"/>
      <c r="Y915" s="45"/>
      <c r="Z915" s="45"/>
      <c r="AA915" s="45"/>
      <c r="AB915" s="45"/>
      <c r="AC915" s="45"/>
      <c r="AD915" s="45"/>
      <c r="AE915" s="45"/>
      <c r="AF915" s="45"/>
      <c r="AG915" s="45"/>
      <c r="AH915" s="45"/>
      <c r="AI915" s="45"/>
      <c r="AJ915" s="45"/>
      <c r="AK915" s="45"/>
      <c r="AL915" s="45"/>
      <c r="AM915" s="45"/>
      <c r="AN915" s="45"/>
      <c r="AO915" s="45"/>
      <c r="AP915" s="45"/>
      <c r="AQ915" s="36"/>
      <c r="AR915" s="36"/>
      <c r="AS915" s="36"/>
      <c r="AT915" s="36"/>
      <c r="AU915" s="36"/>
      <c r="AV915" s="36"/>
      <c r="AW915" s="36"/>
      <c r="AX915" s="36"/>
      <c r="AY915" s="36"/>
      <c r="AZ915" s="36"/>
      <c r="BA915" s="36"/>
      <c r="BB915" s="36"/>
      <c r="BC915" s="36"/>
      <c r="BD915" s="36"/>
      <c r="BE915" s="36"/>
      <c r="BF915" s="36"/>
      <c r="BG915" s="36"/>
      <c r="BH915" s="36"/>
      <c r="BI915" s="36"/>
      <c r="BJ915" s="36"/>
      <c r="BK915" s="36"/>
      <c r="BL915" s="36"/>
      <c r="BM915" s="36"/>
      <c r="BN915" s="36"/>
      <c r="BO915" s="36"/>
      <c r="BP915" s="36"/>
      <c r="BQ915" s="36"/>
    </row>
    <row r="916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51"/>
      <c r="S916" s="51"/>
      <c r="T916" s="51"/>
      <c r="U916" s="51"/>
      <c r="V916" s="51"/>
      <c r="W916" s="51"/>
      <c r="X916" s="51"/>
      <c r="Y916" s="45"/>
      <c r="Z916" s="45"/>
      <c r="AA916" s="45"/>
      <c r="AB916" s="45"/>
      <c r="AC916" s="45"/>
      <c r="AD916" s="45"/>
      <c r="AE916" s="45"/>
      <c r="AF916" s="45"/>
      <c r="AG916" s="45"/>
      <c r="AH916" s="45"/>
      <c r="AI916" s="45"/>
      <c r="AJ916" s="45"/>
      <c r="AK916" s="45"/>
      <c r="AL916" s="45"/>
      <c r="AM916" s="45"/>
      <c r="AN916" s="45"/>
      <c r="AO916" s="45"/>
      <c r="AP916" s="45"/>
      <c r="AQ916" s="36"/>
      <c r="AR916" s="36"/>
      <c r="AS916" s="36"/>
      <c r="AT916" s="36"/>
      <c r="AU916" s="36"/>
      <c r="AV916" s="36"/>
      <c r="AW916" s="36"/>
      <c r="AX916" s="36"/>
      <c r="AY916" s="36"/>
      <c r="AZ916" s="36"/>
      <c r="BA916" s="36"/>
      <c r="BB916" s="36"/>
      <c r="BC916" s="36"/>
      <c r="BD916" s="36"/>
      <c r="BE916" s="36"/>
      <c r="BF916" s="36"/>
      <c r="BG916" s="36"/>
      <c r="BH916" s="36"/>
      <c r="BI916" s="36"/>
      <c r="BJ916" s="36"/>
      <c r="BK916" s="36"/>
      <c r="BL916" s="36"/>
      <c r="BM916" s="36"/>
      <c r="BN916" s="36"/>
      <c r="BO916" s="36"/>
      <c r="BP916" s="36"/>
      <c r="BQ916" s="36"/>
    </row>
    <row r="917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51"/>
      <c r="S917" s="51"/>
      <c r="T917" s="51"/>
      <c r="U917" s="51"/>
      <c r="V917" s="51"/>
      <c r="W917" s="51"/>
      <c r="X917" s="51"/>
      <c r="Y917" s="45"/>
      <c r="Z917" s="45"/>
      <c r="AA917" s="45"/>
      <c r="AB917" s="45"/>
      <c r="AC917" s="45"/>
      <c r="AD917" s="45"/>
      <c r="AE917" s="45"/>
      <c r="AF917" s="45"/>
      <c r="AG917" s="45"/>
      <c r="AH917" s="45"/>
      <c r="AI917" s="45"/>
      <c r="AJ917" s="45"/>
      <c r="AK917" s="45"/>
      <c r="AL917" s="45"/>
      <c r="AM917" s="45"/>
      <c r="AN917" s="45"/>
      <c r="AO917" s="45"/>
      <c r="AP917" s="45"/>
      <c r="AQ917" s="36"/>
      <c r="AR917" s="36"/>
      <c r="AS917" s="36"/>
      <c r="AT917" s="36"/>
      <c r="AU917" s="36"/>
      <c r="AV917" s="36"/>
      <c r="AW917" s="36"/>
      <c r="AX917" s="36"/>
      <c r="AY917" s="36"/>
      <c r="AZ917" s="36"/>
      <c r="BA917" s="36"/>
      <c r="BB917" s="36"/>
      <c r="BC917" s="36"/>
      <c r="BD917" s="36"/>
      <c r="BE917" s="36"/>
      <c r="BF917" s="36"/>
      <c r="BG917" s="36"/>
      <c r="BH917" s="36"/>
      <c r="BI917" s="36"/>
      <c r="BJ917" s="36"/>
      <c r="BK917" s="36"/>
      <c r="BL917" s="36"/>
      <c r="BM917" s="36"/>
      <c r="BN917" s="36"/>
      <c r="BO917" s="36"/>
      <c r="BP917" s="36"/>
      <c r="BQ917" s="36"/>
    </row>
    <row r="918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51"/>
      <c r="S918" s="51"/>
      <c r="T918" s="51"/>
      <c r="U918" s="51"/>
      <c r="V918" s="51"/>
      <c r="W918" s="51"/>
      <c r="X918" s="51"/>
      <c r="Y918" s="45"/>
      <c r="Z918" s="45"/>
      <c r="AA918" s="45"/>
      <c r="AB918" s="45"/>
      <c r="AC918" s="45"/>
      <c r="AD918" s="45"/>
      <c r="AE918" s="45"/>
      <c r="AF918" s="45"/>
      <c r="AG918" s="45"/>
      <c r="AH918" s="45"/>
      <c r="AI918" s="45"/>
      <c r="AJ918" s="45"/>
      <c r="AK918" s="45"/>
      <c r="AL918" s="45"/>
      <c r="AM918" s="45"/>
      <c r="AN918" s="45"/>
      <c r="AO918" s="45"/>
      <c r="AP918" s="45"/>
      <c r="AQ918" s="36"/>
      <c r="AR918" s="36"/>
      <c r="AS918" s="36"/>
      <c r="AT918" s="36"/>
      <c r="AU918" s="36"/>
      <c r="AV918" s="36"/>
      <c r="AW918" s="36"/>
      <c r="AX918" s="36"/>
      <c r="AY918" s="36"/>
      <c r="AZ918" s="36"/>
      <c r="BA918" s="36"/>
      <c r="BB918" s="36"/>
      <c r="BC918" s="36"/>
      <c r="BD918" s="36"/>
      <c r="BE918" s="36"/>
      <c r="BF918" s="36"/>
      <c r="BG918" s="36"/>
      <c r="BH918" s="36"/>
      <c r="BI918" s="36"/>
      <c r="BJ918" s="36"/>
      <c r="BK918" s="36"/>
      <c r="BL918" s="36"/>
      <c r="BM918" s="36"/>
      <c r="BN918" s="36"/>
      <c r="BO918" s="36"/>
      <c r="BP918" s="36"/>
      <c r="BQ918" s="36"/>
    </row>
    <row r="919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51"/>
      <c r="S919" s="51"/>
      <c r="T919" s="51"/>
      <c r="U919" s="51"/>
      <c r="V919" s="51"/>
      <c r="W919" s="51"/>
      <c r="X919" s="51"/>
      <c r="Y919" s="45"/>
      <c r="Z919" s="45"/>
      <c r="AA919" s="45"/>
      <c r="AB919" s="45"/>
      <c r="AC919" s="45"/>
      <c r="AD919" s="45"/>
      <c r="AE919" s="45"/>
      <c r="AF919" s="45"/>
      <c r="AG919" s="45"/>
      <c r="AH919" s="45"/>
      <c r="AI919" s="45"/>
      <c r="AJ919" s="45"/>
      <c r="AK919" s="45"/>
      <c r="AL919" s="45"/>
      <c r="AM919" s="45"/>
      <c r="AN919" s="45"/>
      <c r="AO919" s="45"/>
      <c r="AP919" s="45"/>
      <c r="AQ919" s="36"/>
      <c r="AR919" s="36"/>
      <c r="AS919" s="36"/>
      <c r="AT919" s="36"/>
      <c r="AU919" s="36"/>
      <c r="AV919" s="36"/>
      <c r="AW919" s="36"/>
      <c r="AX919" s="36"/>
      <c r="AY919" s="36"/>
      <c r="AZ919" s="36"/>
      <c r="BA919" s="36"/>
      <c r="BB919" s="36"/>
      <c r="BC919" s="36"/>
      <c r="BD919" s="36"/>
      <c r="BE919" s="36"/>
      <c r="BF919" s="36"/>
      <c r="BG919" s="36"/>
      <c r="BH919" s="36"/>
      <c r="BI919" s="36"/>
      <c r="BJ919" s="36"/>
      <c r="BK919" s="36"/>
      <c r="BL919" s="36"/>
      <c r="BM919" s="36"/>
      <c r="BN919" s="36"/>
      <c r="BO919" s="36"/>
      <c r="BP919" s="36"/>
      <c r="BQ919" s="36"/>
    </row>
    <row r="920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51"/>
      <c r="S920" s="51"/>
      <c r="T920" s="51"/>
      <c r="U920" s="51"/>
      <c r="V920" s="51"/>
      <c r="W920" s="51"/>
      <c r="X920" s="51"/>
      <c r="Y920" s="45"/>
      <c r="Z920" s="45"/>
      <c r="AA920" s="45"/>
      <c r="AB920" s="45"/>
      <c r="AC920" s="45"/>
      <c r="AD920" s="45"/>
      <c r="AE920" s="45"/>
      <c r="AF920" s="45"/>
      <c r="AG920" s="45"/>
      <c r="AH920" s="45"/>
      <c r="AI920" s="45"/>
      <c r="AJ920" s="45"/>
      <c r="AK920" s="45"/>
      <c r="AL920" s="45"/>
      <c r="AM920" s="45"/>
      <c r="AN920" s="45"/>
      <c r="AO920" s="45"/>
      <c r="AP920" s="45"/>
      <c r="AQ920" s="36"/>
      <c r="AR920" s="36"/>
      <c r="AS920" s="36"/>
      <c r="AT920" s="36"/>
      <c r="AU920" s="36"/>
      <c r="AV920" s="36"/>
      <c r="AW920" s="36"/>
      <c r="AX920" s="36"/>
      <c r="AY920" s="36"/>
      <c r="AZ920" s="36"/>
      <c r="BA920" s="36"/>
      <c r="BB920" s="36"/>
      <c r="BC920" s="36"/>
      <c r="BD920" s="36"/>
      <c r="BE920" s="36"/>
      <c r="BF920" s="36"/>
      <c r="BG920" s="36"/>
      <c r="BH920" s="36"/>
      <c r="BI920" s="36"/>
      <c r="BJ920" s="36"/>
      <c r="BK920" s="36"/>
      <c r="BL920" s="36"/>
      <c r="BM920" s="36"/>
      <c r="BN920" s="36"/>
      <c r="BO920" s="36"/>
      <c r="BP920" s="36"/>
      <c r="BQ920" s="36"/>
    </row>
    <row r="92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51"/>
      <c r="S921" s="51"/>
      <c r="T921" s="51"/>
      <c r="U921" s="51"/>
      <c r="V921" s="51"/>
      <c r="W921" s="51"/>
      <c r="X921" s="51"/>
      <c r="Y921" s="45"/>
      <c r="Z921" s="45"/>
      <c r="AA921" s="45"/>
      <c r="AB921" s="45"/>
      <c r="AC921" s="45"/>
      <c r="AD921" s="45"/>
      <c r="AE921" s="45"/>
      <c r="AF921" s="45"/>
      <c r="AG921" s="45"/>
      <c r="AH921" s="45"/>
      <c r="AI921" s="45"/>
      <c r="AJ921" s="45"/>
      <c r="AK921" s="45"/>
      <c r="AL921" s="45"/>
      <c r="AM921" s="45"/>
      <c r="AN921" s="45"/>
      <c r="AO921" s="45"/>
      <c r="AP921" s="45"/>
      <c r="AQ921" s="36"/>
      <c r="AR921" s="36"/>
      <c r="AS921" s="36"/>
      <c r="AT921" s="36"/>
      <c r="AU921" s="36"/>
      <c r="AV921" s="36"/>
      <c r="AW921" s="36"/>
      <c r="AX921" s="36"/>
      <c r="AY921" s="36"/>
      <c r="AZ921" s="36"/>
      <c r="BA921" s="36"/>
      <c r="BB921" s="36"/>
      <c r="BC921" s="36"/>
      <c r="BD921" s="36"/>
      <c r="BE921" s="36"/>
      <c r="BF921" s="36"/>
      <c r="BG921" s="36"/>
      <c r="BH921" s="36"/>
      <c r="BI921" s="36"/>
      <c r="BJ921" s="36"/>
      <c r="BK921" s="36"/>
      <c r="BL921" s="36"/>
      <c r="BM921" s="36"/>
      <c r="BN921" s="36"/>
      <c r="BO921" s="36"/>
      <c r="BP921" s="36"/>
      <c r="BQ921" s="36"/>
    </row>
    <row r="92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51"/>
      <c r="S922" s="51"/>
      <c r="T922" s="51"/>
      <c r="U922" s="51"/>
      <c r="V922" s="51"/>
      <c r="W922" s="51"/>
      <c r="X922" s="51"/>
      <c r="Y922" s="45"/>
      <c r="Z922" s="45"/>
      <c r="AA922" s="45"/>
      <c r="AB922" s="45"/>
      <c r="AC922" s="45"/>
      <c r="AD922" s="45"/>
      <c r="AE922" s="45"/>
      <c r="AF922" s="45"/>
      <c r="AG922" s="45"/>
      <c r="AH922" s="45"/>
      <c r="AI922" s="45"/>
      <c r="AJ922" s="45"/>
      <c r="AK922" s="45"/>
      <c r="AL922" s="45"/>
      <c r="AM922" s="45"/>
      <c r="AN922" s="45"/>
      <c r="AO922" s="45"/>
      <c r="AP922" s="45"/>
      <c r="AQ922" s="36"/>
      <c r="AR922" s="36"/>
      <c r="AS922" s="36"/>
      <c r="AT922" s="36"/>
      <c r="AU922" s="36"/>
      <c r="AV922" s="36"/>
      <c r="AW922" s="36"/>
      <c r="AX922" s="36"/>
      <c r="AY922" s="36"/>
      <c r="AZ922" s="36"/>
      <c r="BA922" s="36"/>
      <c r="BB922" s="36"/>
      <c r="BC922" s="36"/>
      <c r="BD922" s="36"/>
      <c r="BE922" s="36"/>
      <c r="BF922" s="36"/>
      <c r="BG922" s="36"/>
      <c r="BH922" s="36"/>
      <c r="BI922" s="36"/>
      <c r="BJ922" s="36"/>
      <c r="BK922" s="36"/>
      <c r="BL922" s="36"/>
      <c r="BM922" s="36"/>
      <c r="BN922" s="36"/>
      <c r="BO922" s="36"/>
      <c r="BP922" s="36"/>
      <c r="BQ922" s="36"/>
    </row>
    <row r="923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51"/>
      <c r="S923" s="51"/>
      <c r="T923" s="51"/>
      <c r="U923" s="51"/>
      <c r="V923" s="51"/>
      <c r="W923" s="51"/>
      <c r="X923" s="51"/>
      <c r="Y923" s="45"/>
      <c r="Z923" s="45"/>
      <c r="AA923" s="45"/>
      <c r="AB923" s="45"/>
      <c r="AC923" s="45"/>
      <c r="AD923" s="45"/>
      <c r="AE923" s="45"/>
      <c r="AF923" s="45"/>
      <c r="AG923" s="45"/>
      <c r="AH923" s="45"/>
      <c r="AI923" s="45"/>
      <c r="AJ923" s="45"/>
      <c r="AK923" s="45"/>
      <c r="AL923" s="45"/>
      <c r="AM923" s="45"/>
      <c r="AN923" s="45"/>
      <c r="AO923" s="45"/>
      <c r="AP923" s="45"/>
      <c r="AQ923" s="36"/>
      <c r="AR923" s="36"/>
      <c r="AS923" s="36"/>
      <c r="AT923" s="36"/>
      <c r="AU923" s="36"/>
      <c r="AV923" s="36"/>
      <c r="AW923" s="36"/>
      <c r="AX923" s="36"/>
      <c r="AY923" s="36"/>
      <c r="AZ923" s="36"/>
      <c r="BA923" s="36"/>
      <c r="BB923" s="36"/>
      <c r="BC923" s="36"/>
      <c r="BD923" s="36"/>
      <c r="BE923" s="36"/>
      <c r="BF923" s="36"/>
      <c r="BG923" s="36"/>
      <c r="BH923" s="36"/>
      <c r="BI923" s="36"/>
      <c r="BJ923" s="36"/>
      <c r="BK923" s="36"/>
      <c r="BL923" s="36"/>
      <c r="BM923" s="36"/>
      <c r="BN923" s="36"/>
      <c r="BO923" s="36"/>
      <c r="BP923" s="36"/>
      <c r="BQ923" s="36"/>
    </row>
    <row r="924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51"/>
      <c r="S924" s="51"/>
      <c r="T924" s="51"/>
      <c r="U924" s="51"/>
      <c r="V924" s="51"/>
      <c r="W924" s="51"/>
      <c r="X924" s="51"/>
      <c r="Y924" s="45"/>
      <c r="Z924" s="45"/>
      <c r="AA924" s="45"/>
      <c r="AB924" s="45"/>
      <c r="AC924" s="45"/>
      <c r="AD924" s="45"/>
      <c r="AE924" s="45"/>
      <c r="AF924" s="45"/>
      <c r="AG924" s="45"/>
      <c r="AH924" s="45"/>
      <c r="AI924" s="45"/>
      <c r="AJ924" s="45"/>
      <c r="AK924" s="45"/>
      <c r="AL924" s="45"/>
      <c r="AM924" s="45"/>
      <c r="AN924" s="45"/>
      <c r="AO924" s="45"/>
      <c r="AP924" s="45"/>
      <c r="AQ924" s="36"/>
      <c r="AR924" s="36"/>
      <c r="AS924" s="36"/>
      <c r="AT924" s="36"/>
      <c r="AU924" s="36"/>
      <c r="AV924" s="36"/>
      <c r="AW924" s="36"/>
      <c r="AX924" s="36"/>
      <c r="AY924" s="36"/>
      <c r="AZ924" s="36"/>
      <c r="BA924" s="36"/>
      <c r="BB924" s="36"/>
      <c r="BC924" s="36"/>
      <c r="BD924" s="36"/>
      <c r="BE924" s="36"/>
      <c r="BF924" s="36"/>
      <c r="BG924" s="36"/>
      <c r="BH924" s="36"/>
      <c r="BI924" s="36"/>
      <c r="BJ924" s="36"/>
      <c r="BK924" s="36"/>
      <c r="BL924" s="36"/>
      <c r="BM924" s="36"/>
      <c r="BN924" s="36"/>
      <c r="BO924" s="36"/>
      <c r="BP924" s="36"/>
      <c r="BQ924" s="36"/>
    </row>
    <row r="9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51"/>
      <c r="S925" s="51"/>
      <c r="T925" s="51"/>
      <c r="U925" s="51"/>
      <c r="V925" s="51"/>
      <c r="W925" s="51"/>
      <c r="X925" s="51"/>
      <c r="Y925" s="45"/>
      <c r="Z925" s="45"/>
      <c r="AA925" s="45"/>
      <c r="AB925" s="45"/>
      <c r="AC925" s="45"/>
      <c r="AD925" s="45"/>
      <c r="AE925" s="45"/>
      <c r="AF925" s="45"/>
      <c r="AG925" s="45"/>
      <c r="AH925" s="45"/>
      <c r="AI925" s="45"/>
      <c r="AJ925" s="45"/>
      <c r="AK925" s="45"/>
      <c r="AL925" s="45"/>
      <c r="AM925" s="45"/>
      <c r="AN925" s="45"/>
      <c r="AO925" s="45"/>
      <c r="AP925" s="45"/>
      <c r="AQ925" s="36"/>
      <c r="AR925" s="36"/>
      <c r="AS925" s="36"/>
      <c r="AT925" s="36"/>
      <c r="AU925" s="36"/>
      <c r="AV925" s="36"/>
      <c r="AW925" s="36"/>
      <c r="AX925" s="36"/>
      <c r="AY925" s="36"/>
      <c r="AZ925" s="36"/>
      <c r="BA925" s="36"/>
      <c r="BB925" s="36"/>
      <c r="BC925" s="36"/>
      <c r="BD925" s="36"/>
      <c r="BE925" s="36"/>
      <c r="BF925" s="36"/>
      <c r="BG925" s="36"/>
      <c r="BH925" s="36"/>
      <c r="BI925" s="36"/>
      <c r="BJ925" s="36"/>
      <c r="BK925" s="36"/>
      <c r="BL925" s="36"/>
      <c r="BM925" s="36"/>
      <c r="BN925" s="36"/>
      <c r="BO925" s="36"/>
      <c r="BP925" s="36"/>
      <c r="BQ925" s="36"/>
    </row>
    <row r="926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51"/>
      <c r="S926" s="51"/>
      <c r="T926" s="51"/>
      <c r="U926" s="51"/>
      <c r="V926" s="51"/>
      <c r="W926" s="51"/>
      <c r="X926" s="51"/>
      <c r="Y926" s="45"/>
      <c r="Z926" s="45"/>
      <c r="AA926" s="45"/>
      <c r="AB926" s="45"/>
      <c r="AC926" s="45"/>
      <c r="AD926" s="45"/>
      <c r="AE926" s="45"/>
      <c r="AF926" s="45"/>
      <c r="AG926" s="45"/>
      <c r="AH926" s="45"/>
      <c r="AI926" s="45"/>
      <c r="AJ926" s="45"/>
      <c r="AK926" s="45"/>
      <c r="AL926" s="45"/>
      <c r="AM926" s="45"/>
      <c r="AN926" s="45"/>
      <c r="AO926" s="45"/>
      <c r="AP926" s="45"/>
      <c r="AQ926" s="36"/>
      <c r="AR926" s="36"/>
      <c r="AS926" s="36"/>
      <c r="AT926" s="36"/>
      <c r="AU926" s="36"/>
      <c r="AV926" s="36"/>
      <c r="AW926" s="36"/>
      <c r="AX926" s="36"/>
      <c r="AY926" s="36"/>
      <c r="AZ926" s="36"/>
      <c r="BA926" s="36"/>
      <c r="BB926" s="36"/>
      <c r="BC926" s="36"/>
      <c r="BD926" s="36"/>
      <c r="BE926" s="36"/>
      <c r="BF926" s="36"/>
      <c r="BG926" s="36"/>
      <c r="BH926" s="36"/>
      <c r="BI926" s="36"/>
      <c r="BJ926" s="36"/>
      <c r="BK926" s="36"/>
      <c r="BL926" s="36"/>
      <c r="BM926" s="36"/>
      <c r="BN926" s="36"/>
      <c r="BO926" s="36"/>
      <c r="BP926" s="36"/>
      <c r="BQ926" s="36"/>
    </row>
    <row r="927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51"/>
      <c r="S927" s="51"/>
      <c r="T927" s="51"/>
      <c r="U927" s="51"/>
      <c r="V927" s="51"/>
      <c r="W927" s="51"/>
      <c r="X927" s="51"/>
      <c r="Y927" s="45"/>
      <c r="Z927" s="45"/>
      <c r="AA927" s="45"/>
      <c r="AB927" s="45"/>
      <c r="AC927" s="45"/>
      <c r="AD927" s="45"/>
      <c r="AE927" s="45"/>
      <c r="AF927" s="45"/>
      <c r="AG927" s="45"/>
      <c r="AH927" s="45"/>
      <c r="AI927" s="45"/>
      <c r="AJ927" s="45"/>
      <c r="AK927" s="45"/>
      <c r="AL927" s="45"/>
      <c r="AM927" s="45"/>
      <c r="AN927" s="45"/>
      <c r="AO927" s="45"/>
      <c r="AP927" s="45"/>
      <c r="AQ927" s="36"/>
      <c r="AR927" s="36"/>
      <c r="AS927" s="36"/>
      <c r="AT927" s="36"/>
      <c r="AU927" s="36"/>
      <c r="AV927" s="36"/>
      <c r="AW927" s="36"/>
      <c r="AX927" s="36"/>
      <c r="AY927" s="36"/>
      <c r="AZ927" s="36"/>
      <c r="BA927" s="36"/>
      <c r="BB927" s="36"/>
      <c r="BC927" s="36"/>
      <c r="BD927" s="36"/>
      <c r="BE927" s="36"/>
      <c r="BF927" s="36"/>
      <c r="BG927" s="36"/>
      <c r="BH927" s="36"/>
      <c r="BI927" s="36"/>
      <c r="BJ927" s="36"/>
      <c r="BK927" s="36"/>
      <c r="BL927" s="36"/>
      <c r="BM927" s="36"/>
      <c r="BN927" s="36"/>
      <c r="BO927" s="36"/>
      <c r="BP927" s="36"/>
      <c r="BQ927" s="36"/>
    </row>
    <row r="928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51"/>
      <c r="S928" s="51"/>
      <c r="T928" s="51"/>
      <c r="U928" s="51"/>
      <c r="V928" s="51"/>
      <c r="W928" s="51"/>
      <c r="X928" s="51"/>
      <c r="Y928" s="45"/>
      <c r="Z928" s="45"/>
      <c r="AA928" s="45"/>
      <c r="AB928" s="45"/>
      <c r="AC928" s="45"/>
      <c r="AD928" s="45"/>
      <c r="AE928" s="45"/>
      <c r="AF928" s="45"/>
      <c r="AG928" s="45"/>
      <c r="AH928" s="45"/>
      <c r="AI928" s="45"/>
      <c r="AJ928" s="45"/>
      <c r="AK928" s="45"/>
      <c r="AL928" s="45"/>
      <c r="AM928" s="45"/>
      <c r="AN928" s="45"/>
      <c r="AO928" s="45"/>
      <c r="AP928" s="45"/>
      <c r="AQ928" s="36"/>
      <c r="AR928" s="36"/>
      <c r="AS928" s="36"/>
      <c r="AT928" s="36"/>
      <c r="AU928" s="36"/>
      <c r="AV928" s="36"/>
      <c r="AW928" s="36"/>
      <c r="AX928" s="36"/>
      <c r="AY928" s="36"/>
      <c r="AZ928" s="36"/>
      <c r="BA928" s="36"/>
      <c r="BB928" s="36"/>
      <c r="BC928" s="36"/>
      <c r="BD928" s="36"/>
      <c r="BE928" s="36"/>
      <c r="BF928" s="36"/>
      <c r="BG928" s="36"/>
      <c r="BH928" s="36"/>
      <c r="BI928" s="36"/>
      <c r="BJ928" s="36"/>
      <c r="BK928" s="36"/>
      <c r="BL928" s="36"/>
      <c r="BM928" s="36"/>
      <c r="BN928" s="36"/>
      <c r="BO928" s="36"/>
      <c r="BP928" s="36"/>
      <c r="BQ928" s="36"/>
    </row>
    <row r="929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51"/>
      <c r="S929" s="51"/>
      <c r="T929" s="51"/>
      <c r="U929" s="51"/>
      <c r="V929" s="51"/>
      <c r="W929" s="51"/>
      <c r="X929" s="51"/>
      <c r="Y929" s="45"/>
      <c r="Z929" s="45"/>
      <c r="AA929" s="45"/>
      <c r="AB929" s="45"/>
      <c r="AC929" s="45"/>
      <c r="AD929" s="45"/>
      <c r="AE929" s="45"/>
      <c r="AF929" s="45"/>
      <c r="AG929" s="45"/>
      <c r="AH929" s="45"/>
      <c r="AI929" s="45"/>
      <c r="AJ929" s="45"/>
      <c r="AK929" s="45"/>
      <c r="AL929" s="45"/>
      <c r="AM929" s="45"/>
      <c r="AN929" s="45"/>
      <c r="AO929" s="45"/>
      <c r="AP929" s="45"/>
      <c r="AQ929" s="36"/>
      <c r="AR929" s="36"/>
      <c r="AS929" s="36"/>
      <c r="AT929" s="36"/>
      <c r="AU929" s="36"/>
      <c r="AV929" s="36"/>
      <c r="AW929" s="36"/>
      <c r="AX929" s="36"/>
      <c r="AY929" s="36"/>
      <c r="AZ929" s="36"/>
      <c r="BA929" s="36"/>
      <c r="BB929" s="36"/>
      <c r="BC929" s="36"/>
      <c r="BD929" s="36"/>
      <c r="BE929" s="36"/>
      <c r="BF929" s="36"/>
      <c r="BG929" s="36"/>
      <c r="BH929" s="36"/>
      <c r="BI929" s="36"/>
      <c r="BJ929" s="36"/>
      <c r="BK929" s="36"/>
      <c r="BL929" s="36"/>
      <c r="BM929" s="36"/>
      <c r="BN929" s="36"/>
      <c r="BO929" s="36"/>
      <c r="BP929" s="36"/>
      <c r="BQ929" s="36"/>
    </row>
    <row r="930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51"/>
      <c r="S930" s="51"/>
      <c r="T930" s="51"/>
      <c r="U930" s="51"/>
      <c r="V930" s="51"/>
      <c r="W930" s="51"/>
      <c r="X930" s="51"/>
      <c r="Y930" s="45"/>
      <c r="Z930" s="45"/>
      <c r="AA930" s="45"/>
      <c r="AB930" s="45"/>
      <c r="AC930" s="45"/>
      <c r="AD930" s="45"/>
      <c r="AE930" s="45"/>
      <c r="AF930" s="45"/>
      <c r="AG930" s="45"/>
      <c r="AH930" s="45"/>
      <c r="AI930" s="45"/>
      <c r="AJ930" s="45"/>
      <c r="AK930" s="45"/>
      <c r="AL930" s="45"/>
      <c r="AM930" s="45"/>
      <c r="AN930" s="45"/>
      <c r="AO930" s="45"/>
      <c r="AP930" s="45"/>
      <c r="AQ930" s="36"/>
      <c r="AR930" s="36"/>
      <c r="AS930" s="36"/>
      <c r="AT930" s="36"/>
      <c r="AU930" s="36"/>
      <c r="AV930" s="36"/>
      <c r="AW930" s="36"/>
      <c r="AX930" s="36"/>
      <c r="AY930" s="36"/>
      <c r="AZ930" s="36"/>
      <c r="BA930" s="36"/>
      <c r="BB930" s="36"/>
      <c r="BC930" s="36"/>
      <c r="BD930" s="36"/>
      <c r="BE930" s="36"/>
      <c r="BF930" s="36"/>
      <c r="BG930" s="36"/>
      <c r="BH930" s="36"/>
      <c r="BI930" s="36"/>
      <c r="BJ930" s="36"/>
      <c r="BK930" s="36"/>
      <c r="BL930" s="36"/>
      <c r="BM930" s="36"/>
      <c r="BN930" s="36"/>
      <c r="BO930" s="36"/>
      <c r="BP930" s="36"/>
      <c r="BQ930" s="36"/>
    </row>
    <row r="93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51"/>
      <c r="S931" s="51"/>
      <c r="T931" s="51"/>
      <c r="U931" s="51"/>
      <c r="V931" s="51"/>
      <c r="W931" s="51"/>
      <c r="X931" s="51"/>
      <c r="Y931" s="45"/>
      <c r="Z931" s="45"/>
      <c r="AA931" s="45"/>
      <c r="AB931" s="45"/>
      <c r="AC931" s="45"/>
      <c r="AD931" s="45"/>
      <c r="AE931" s="45"/>
      <c r="AF931" s="45"/>
      <c r="AG931" s="45"/>
      <c r="AH931" s="45"/>
      <c r="AI931" s="45"/>
      <c r="AJ931" s="45"/>
      <c r="AK931" s="45"/>
      <c r="AL931" s="45"/>
      <c r="AM931" s="45"/>
      <c r="AN931" s="45"/>
      <c r="AO931" s="45"/>
      <c r="AP931" s="45"/>
      <c r="AQ931" s="36"/>
      <c r="AR931" s="36"/>
      <c r="AS931" s="36"/>
      <c r="AT931" s="36"/>
      <c r="AU931" s="36"/>
      <c r="AV931" s="36"/>
      <c r="AW931" s="36"/>
      <c r="AX931" s="36"/>
      <c r="AY931" s="36"/>
      <c r="AZ931" s="36"/>
      <c r="BA931" s="36"/>
      <c r="BB931" s="36"/>
      <c r="BC931" s="36"/>
      <c r="BD931" s="36"/>
      <c r="BE931" s="36"/>
      <c r="BF931" s="36"/>
      <c r="BG931" s="36"/>
      <c r="BH931" s="36"/>
      <c r="BI931" s="36"/>
      <c r="BJ931" s="36"/>
      <c r="BK931" s="36"/>
      <c r="BL931" s="36"/>
      <c r="BM931" s="36"/>
      <c r="BN931" s="36"/>
      <c r="BO931" s="36"/>
      <c r="BP931" s="36"/>
      <c r="BQ931" s="36"/>
    </row>
    <row r="93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51"/>
      <c r="S932" s="51"/>
      <c r="T932" s="51"/>
      <c r="U932" s="51"/>
      <c r="V932" s="51"/>
      <c r="W932" s="51"/>
      <c r="X932" s="51"/>
      <c r="Y932" s="45"/>
      <c r="Z932" s="45"/>
      <c r="AA932" s="45"/>
      <c r="AB932" s="45"/>
      <c r="AC932" s="45"/>
      <c r="AD932" s="45"/>
      <c r="AE932" s="45"/>
      <c r="AF932" s="45"/>
      <c r="AG932" s="45"/>
      <c r="AH932" s="45"/>
      <c r="AI932" s="45"/>
      <c r="AJ932" s="45"/>
      <c r="AK932" s="45"/>
      <c r="AL932" s="45"/>
      <c r="AM932" s="45"/>
      <c r="AN932" s="45"/>
      <c r="AO932" s="45"/>
      <c r="AP932" s="45"/>
      <c r="AQ932" s="36"/>
      <c r="AR932" s="36"/>
      <c r="AS932" s="36"/>
      <c r="AT932" s="36"/>
      <c r="AU932" s="36"/>
      <c r="AV932" s="36"/>
      <c r="AW932" s="36"/>
      <c r="AX932" s="36"/>
      <c r="AY932" s="36"/>
      <c r="AZ932" s="36"/>
      <c r="BA932" s="36"/>
      <c r="BB932" s="36"/>
      <c r="BC932" s="36"/>
      <c r="BD932" s="36"/>
      <c r="BE932" s="36"/>
      <c r="BF932" s="36"/>
      <c r="BG932" s="36"/>
      <c r="BH932" s="36"/>
      <c r="BI932" s="36"/>
      <c r="BJ932" s="36"/>
      <c r="BK932" s="36"/>
      <c r="BL932" s="36"/>
      <c r="BM932" s="36"/>
      <c r="BN932" s="36"/>
      <c r="BO932" s="36"/>
      <c r="BP932" s="36"/>
      <c r="BQ932" s="36"/>
    </row>
    <row r="933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51"/>
      <c r="S933" s="51"/>
      <c r="T933" s="51"/>
      <c r="U933" s="51"/>
      <c r="V933" s="51"/>
      <c r="W933" s="51"/>
      <c r="X933" s="51"/>
      <c r="Y933" s="45"/>
      <c r="Z933" s="45"/>
      <c r="AA933" s="45"/>
      <c r="AB933" s="45"/>
      <c r="AC933" s="45"/>
      <c r="AD933" s="45"/>
      <c r="AE933" s="45"/>
      <c r="AF933" s="45"/>
      <c r="AG933" s="45"/>
      <c r="AH933" s="45"/>
      <c r="AI933" s="45"/>
      <c r="AJ933" s="45"/>
      <c r="AK933" s="45"/>
      <c r="AL933" s="45"/>
      <c r="AM933" s="45"/>
      <c r="AN933" s="45"/>
      <c r="AO933" s="45"/>
      <c r="AP933" s="45"/>
      <c r="AQ933" s="36"/>
      <c r="AR933" s="36"/>
      <c r="AS933" s="36"/>
      <c r="AT933" s="36"/>
      <c r="AU933" s="36"/>
      <c r="AV933" s="36"/>
      <c r="AW933" s="36"/>
      <c r="AX933" s="36"/>
      <c r="AY933" s="36"/>
      <c r="AZ933" s="36"/>
      <c r="BA933" s="36"/>
      <c r="BB933" s="36"/>
      <c r="BC933" s="36"/>
      <c r="BD933" s="36"/>
      <c r="BE933" s="36"/>
      <c r="BF933" s="36"/>
      <c r="BG933" s="36"/>
      <c r="BH933" s="36"/>
      <c r="BI933" s="36"/>
      <c r="BJ933" s="36"/>
      <c r="BK933" s="36"/>
      <c r="BL933" s="36"/>
      <c r="BM933" s="36"/>
      <c r="BN933" s="36"/>
      <c r="BO933" s="36"/>
      <c r="BP933" s="36"/>
      <c r="BQ933" s="36"/>
    </row>
    <row r="934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51"/>
      <c r="S934" s="51"/>
      <c r="T934" s="51"/>
      <c r="U934" s="51"/>
      <c r="V934" s="51"/>
      <c r="W934" s="51"/>
      <c r="X934" s="51"/>
      <c r="Y934" s="45"/>
      <c r="Z934" s="45"/>
      <c r="AA934" s="45"/>
      <c r="AB934" s="45"/>
      <c r="AC934" s="45"/>
      <c r="AD934" s="45"/>
      <c r="AE934" s="45"/>
      <c r="AF934" s="45"/>
      <c r="AG934" s="45"/>
      <c r="AH934" s="45"/>
      <c r="AI934" s="45"/>
      <c r="AJ934" s="45"/>
      <c r="AK934" s="45"/>
      <c r="AL934" s="45"/>
      <c r="AM934" s="45"/>
      <c r="AN934" s="45"/>
      <c r="AO934" s="45"/>
      <c r="AP934" s="45"/>
      <c r="AQ934" s="36"/>
      <c r="AR934" s="36"/>
      <c r="AS934" s="36"/>
      <c r="AT934" s="36"/>
      <c r="AU934" s="36"/>
      <c r="AV934" s="36"/>
      <c r="AW934" s="36"/>
      <c r="AX934" s="36"/>
      <c r="AY934" s="36"/>
      <c r="AZ934" s="36"/>
      <c r="BA934" s="36"/>
      <c r="BB934" s="36"/>
      <c r="BC934" s="36"/>
      <c r="BD934" s="36"/>
      <c r="BE934" s="36"/>
      <c r="BF934" s="36"/>
      <c r="BG934" s="36"/>
      <c r="BH934" s="36"/>
      <c r="BI934" s="36"/>
      <c r="BJ934" s="36"/>
      <c r="BK934" s="36"/>
      <c r="BL934" s="36"/>
      <c r="BM934" s="36"/>
      <c r="BN934" s="36"/>
      <c r="BO934" s="36"/>
      <c r="BP934" s="36"/>
      <c r="BQ934" s="36"/>
    </row>
    <row r="93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51"/>
      <c r="S935" s="51"/>
      <c r="T935" s="51"/>
      <c r="U935" s="51"/>
      <c r="V935" s="51"/>
      <c r="W935" s="51"/>
      <c r="X935" s="51"/>
      <c r="Y935" s="45"/>
      <c r="Z935" s="45"/>
      <c r="AA935" s="45"/>
      <c r="AB935" s="45"/>
      <c r="AC935" s="45"/>
      <c r="AD935" s="45"/>
      <c r="AE935" s="45"/>
      <c r="AF935" s="45"/>
      <c r="AG935" s="45"/>
      <c r="AH935" s="45"/>
      <c r="AI935" s="45"/>
      <c r="AJ935" s="45"/>
      <c r="AK935" s="45"/>
      <c r="AL935" s="45"/>
      <c r="AM935" s="45"/>
      <c r="AN935" s="45"/>
      <c r="AO935" s="45"/>
      <c r="AP935" s="45"/>
      <c r="AQ935" s="36"/>
      <c r="AR935" s="36"/>
      <c r="AS935" s="36"/>
      <c r="AT935" s="36"/>
      <c r="AU935" s="36"/>
      <c r="AV935" s="36"/>
      <c r="AW935" s="36"/>
      <c r="AX935" s="36"/>
      <c r="AY935" s="36"/>
      <c r="AZ935" s="36"/>
      <c r="BA935" s="36"/>
      <c r="BB935" s="36"/>
      <c r="BC935" s="36"/>
      <c r="BD935" s="36"/>
      <c r="BE935" s="36"/>
      <c r="BF935" s="36"/>
      <c r="BG935" s="36"/>
      <c r="BH935" s="36"/>
      <c r="BI935" s="36"/>
      <c r="BJ935" s="36"/>
      <c r="BK935" s="36"/>
      <c r="BL935" s="36"/>
      <c r="BM935" s="36"/>
      <c r="BN935" s="36"/>
      <c r="BO935" s="36"/>
      <c r="BP935" s="36"/>
      <c r="BQ935" s="36"/>
    </row>
    <row r="936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51"/>
      <c r="S936" s="51"/>
      <c r="T936" s="51"/>
      <c r="U936" s="51"/>
      <c r="V936" s="51"/>
      <c r="W936" s="51"/>
      <c r="X936" s="51"/>
      <c r="Y936" s="45"/>
      <c r="Z936" s="45"/>
      <c r="AA936" s="45"/>
      <c r="AB936" s="45"/>
      <c r="AC936" s="45"/>
      <c r="AD936" s="45"/>
      <c r="AE936" s="45"/>
      <c r="AF936" s="45"/>
      <c r="AG936" s="45"/>
      <c r="AH936" s="45"/>
      <c r="AI936" s="45"/>
      <c r="AJ936" s="45"/>
      <c r="AK936" s="45"/>
      <c r="AL936" s="45"/>
      <c r="AM936" s="45"/>
      <c r="AN936" s="45"/>
      <c r="AO936" s="45"/>
      <c r="AP936" s="45"/>
      <c r="AQ936" s="36"/>
      <c r="AR936" s="36"/>
      <c r="AS936" s="36"/>
      <c r="AT936" s="36"/>
      <c r="AU936" s="36"/>
      <c r="AV936" s="36"/>
      <c r="AW936" s="36"/>
      <c r="AX936" s="36"/>
      <c r="AY936" s="36"/>
      <c r="AZ936" s="36"/>
      <c r="BA936" s="36"/>
      <c r="BB936" s="36"/>
      <c r="BC936" s="36"/>
      <c r="BD936" s="36"/>
      <c r="BE936" s="36"/>
      <c r="BF936" s="36"/>
      <c r="BG936" s="36"/>
      <c r="BH936" s="36"/>
      <c r="BI936" s="36"/>
      <c r="BJ936" s="36"/>
      <c r="BK936" s="36"/>
      <c r="BL936" s="36"/>
      <c r="BM936" s="36"/>
      <c r="BN936" s="36"/>
      <c r="BO936" s="36"/>
      <c r="BP936" s="36"/>
      <c r="BQ936" s="36"/>
    </row>
    <row r="937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51"/>
      <c r="S937" s="51"/>
      <c r="T937" s="51"/>
      <c r="U937" s="51"/>
      <c r="V937" s="51"/>
      <c r="W937" s="51"/>
      <c r="X937" s="51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5"/>
      <c r="AM937" s="45"/>
      <c r="AN937" s="45"/>
      <c r="AO937" s="45"/>
      <c r="AP937" s="45"/>
      <c r="AQ937" s="36"/>
      <c r="AR937" s="36"/>
      <c r="AS937" s="36"/>
      <c r="AT937" s="36"/>
      <c r="AU937" s="36"/>
      <c r="AV937" s="36"/>
      <c r="AW937" s="36"/>
      <c r="AX937" s="36"/>
      <c r="AY937" s="36"/>
      <c r="AZ937" s="36"/>
      <c r="BA937" s="36"/>
      <c r="BB937" s="36"/>
      <c r="BC937" s="36"/>
      <c r="BD937" s="36"/>
      <c r="BE937" s="36"/>
      <c r="BF937" s="36"/>
      <c r="BG937" s="36"/>
      <c r="BH937" s="36"/>
      <c r="BI937" s="36"/>
      <c r="BJ937" s="36"/>
      <c r="BK937" s="36"/>
      <c r="BL937" s="36"/>
      <c r="BM937" s="36"/>
      <c r="BN937" s="36"/>
      <c r="BO937" s="36"/>
      <c r="BP937" s="36"/>
      <c r="BQ937" s="36"/>
    </row>
    <row r="938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51"/>
      <c r="S938" s="51"/>
      <c r="T938" s="51"/>
      <c r="U938" s="51"/>
      <c r="V938" s="51"/>
      <c r="W938" s="51"/>
      <c r="X938" s="51"/>
      <c r="Y938" s="45"/>
      <c r="Z938" s="45"/>
      <c r="AA938" s="45"/>
      <c r="AB938" s="45"/>
      <c r="AC938" s="45"/>
      <c r="AD938" s="45"/>
      <c r="AE938" s="45"/>
      <c r="AF938" s="45"/>
      <c r="AG938" s="45"/>
      <c r="AH938" s="45"/>
      <c r="AI938" s="45"/>
      <c r="AJ938" s="45"/>
      <c r="AK938" s="45"/>
      <c r="AL938" s="45"/>
      <c r="AM938" s="45"/>
      <c r="AN938" s="45"/>
      <c r="AO938" s="45"/>
      <c r="AP938" s="45"/>
      <c r="AQ938" s="36"/>
      <c r="AR938" s="36"/>
      <c r="AS938" s="36"/>
      <c r="AT938" s="36"/>
      <c r="AU938" s="36"/>
      <c r="AV938" s="36"/>
      <c r="AW938" s="36"/>
      <c r="AX938" s="36"/>
      <c r="AY938" s="36"/>
      <c r="AZ938" s="36"/>
      <c r="BA938" s="36"/>
      <c r="BB938" s="36"/>
      <c r="BC938" s="36"/>
      <c r="BD938" s="36"/>
      <c r="BE938" s="36"/>
      <c r="BF938" s="36"/>
      <c r="BG938" s="36"/>
      <c r="BH938" s="36"/>
      <c r="BI938" s="36"/>
      <c r="BJ938" s="36"/>
      <c r="BK938" s="36"/>
      <c r="BL938" s="36"/>
      <c r="BM938" s="36"/>
      <c r="BN938" s="36"/>
      <c r="BO938" s="36"/>
      <c r="BP938" s="36"/>
      <c r="BQ938" s="36"/>
    </row>
    <row r="939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51"/>
      <c r="S939" s="51"/>
      <c r="T939" s="51"/>
      <c r="U939" s="51"/>
      <c r="V939" s="51"/>
      <c r="W939" s="51"/>
      <c r="X939" s="51"/>
      <c r="Y939" s="45"/>
      <c r="Z939" s="45"/>
      <c r="AA939" s="45"/>
      <c r="AB939" s="45"/>
      <c r="AC939" s="45"/>
      <c r="AD939" s="45"/>
      <c r="AE939" s="45"/>
      <c r="AF939" s="45"/>
      <c r="AG939" s="45"/>
      <c r="AH939" s="45"/>
      <c r="AI939" s="45"/>
      <c r="AJ939" s="45"/>
      <c r="AK939" s="45"/>
      <c r="AL939" s="45"/>
      <c r="AM939" s="45"/>
      <c r="AN939" s="45"/>
      <c r="AO939" s="45"/>
      <c r="AP939" s="45"/>
      <c r="AQ939" s="36"/>
      <c r="AR939" s="36"/>
      <c r="AS939" s="36"/>
      <c r="AT939" s="36"/>
      <c r="AU939" s="36"/>
      <c r="AV939" s="36"/>
      <c r="AW939" s="36"/>
      <c r="AX939" s="36"/>
      <c r="AY939" s="36"/>
      <c r="AZ939" s="36"/>
      <c r="BA939" s="36"/>
      <c r="BB939" s="36"/>
      <c r="BC939" s="36"/>
      <c r="BD939" s="36"/>
      <c r="BE939" s="36"/>
      <c r="BF939" s="36"/>
      <c r="BG939" s="36"/>
      <c r="BH939" s="36"/>
      <c r="BI939" s="36"/>
      <c r="BJ939" s="36"/>
      <c r="BK939" s="36"/>
      <c r="BL939" s="36"/>
      <c r="BM939" s="36"/>
      <c r="BN939" s="36"/>
      <c r="BO939" s="36"/>
      <c r="BP939" s="36"/>
      <c r="BQ939" s="36"/>
    </row>
    <row r="940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51"/>
      <c r="S940" s="51"/>
      <c r="T940" s="51"/>
      <c r="U940" s="51"/>
      <c r="V940" s="51"/>
      <c r="W940" s="51"/>
      <c r="X940" s="51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5"/>
      <c r="AM940" s="45"/>
      <c r="AN940" s="45"/>
      <c r="AO940" s="45"/>
      <c r="AP940" s="45"/>
      <c r="AQ940" s="36"/>
      <c r="AR940" s="36"/>
      <c r="AS940" s="36"/>
      <c r="AT940" s="36"/>
      <c r="AU940" s="36"/>
      <c r="AV940" s="36"/>
      <c r="AW940" s="36"/>
      <c r="AX940" s="36"/>
      <c r="AY940" s="36"/>
      <c r="AZ940" s="36"/>
      <c r="BA940" s="36"/>
      <c r="BB940" s="36"/>
      <c r="BC940" s="36"/>
      <c r="BD940" s="36"/>
      <c r="BE940" s="36"/>
      <c r="BF940" s="36"/>
      <c r="BG940" s="36"/>
      <c r="BH940" s="36"/>
      <c r="BI940" s="36"/>
      <c r="BJ940" s="36"/>
      <c r="BK940" s="36"/>
      <c r="BL940" s="36"/>
      <c r="BM940" s="36"/>
      <c r="BN940" s="36"/>
      <c r="BO940" s="36"/>
      <c r="BP940" s="36"/>
      <c r="BQ940" s="36"/>
    </row>
    <row r="94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51"/>
      <c r="S941" s="51"/>
      <c r="T941" s="51"/>
      <c r="U941" s="51"/>
      <c r="V941" s="51"/>
      <c r="W941" s="51"/>
      <c r="X941" s="51"/>
      <c r="Y941" s="45"/>
      <c r="Z941" s="45"/>
      <c r="AA941" s="45"/>
      <c r="AB941" s="45"/>
      <c r="AC941" s="45"/>
      <c r="AD941" s="45"/>
      <c r="AE941" s="45"/>
      <c r="AF941" s="45"/>
      <c r="AG941" s="45"/>
      <c r="AH941" s="45"/>
      <c r="AI941" s="45"/>
      <c r="AJ941" s="45"/>
      <c r="AK941" s="45"/>
      <c r="AL941" s="45"/>
      <c r="AM941" s="45"/>
      <c r="AN941" s="45"/>
      <c r="AO941" s="45"/>
      <c r="AP941" s="45"/>
      <c r="AQ941" s="36"/>
      <c r="AR941" s="36"/>
      <c r="AS941" s="36"/>
      <c r="AT941" s="36"/>
      <c r="AU941" s="36"/>
      <c r="AV941" s="36"/>
      <c r="AW941" s="36"/>
      <c r="AX941" s="36"/>
      <c r="AY941" s="36"/>
      <c r="AZ941" s="36"/>
      <c r="BA941" s="36"/>
      <c r="BB941" s="36"/>
      <c r="BC941" s="36"/>
      <c r="BD941" s="36"/>
      <c r="BE941" s="36"/>
      <c r="BF941" s="36"/>
      <c r="BG941" s="36"/>
      <c r="BH941" s="36"/>
      <c r="BI941" s="36"/>
      <c r="BJ941" s="36"/>
      <c r="BK941" s="36"/>
      <c r="BL941" s="36"/>
      <c r="BM941" s="36"/>
      <c r="BN941" s="36"/>
      <c r="BO941" s="36"/>
      <c r="BP941" s="36"/>
      <c r="BQ941" s="36"/>
    </row>
    <row r="942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51"/>
      <c r="S942" s="51"/>
      <c r="T942" s="51"/>
      <c r="U942" s="51"/>
      <c r="V942" s="51"/>
      <c r="W942" s="51"/>
      <c r="X942" s="51"/>
      <c r="Y942" s="45"/>
      <c r="Z942" s="45"/>
      <c r="AA942" s="45"/>
      <c r="AB942" s="45"/>
      <c r="AC942" s="45"/>
      <c r="AD942" s="45"/>
      <c r="AE942" s="45"/>
      <c r="AF942" s="45"/>
      <c r="AG942" s="45"/>
      <c r="AH942" s="45"/>
      <c r="AI942" s="45"/>
      <c r="AJ942" s="45"/>
      <c r="AK942" s="45"/>
      <c r="AL942" s="45"/>
      <c r="AM942" s="45"/>
      <c r="AN942" s="45"/>
      <c r="AO942" s="45"/>
      <c r="AP942" s="45"/>
      <c r="AQ942" s="36"/>
      <c r="AR942" s="36"/>
      <c r="AS942" s="36"/>
      <c r="AT942" s="36"/>
      <c r="AU942" s="36"/>
      <c r="AV942" s="36"/>
      <c r="AW942" s="36"/>
      <c r="AX942" s="36"/>
      <c r="AY942" s="36"/>
      <c r="AZ942" s="36"/>
      <c r="BA942" s="36"/>
      <c r="BB942" s="36"/>
      <c r="BC942" s="36"/>
      <c r="BD942" s="36"/>
      <c r="BE942" s="36"/>
      <c r="BF942" s="36"/>
      <c r="BG942" s="36"/>
      <c r="BH942" s="36"/>
      <c r="BI942" s="36"/>
      <c r="BJ942" s="36"/>
      <c r="BK942" s="36"/>
      <c r="BL942" s="36"/>
      <c r="BM942" s="36"/>
      <c r="BN942" s="36"/>
      <c r="BO942" s="36"/>
      <c r="BP942" s="36"/>
      <c r="BQ942" s="36"/>
    </row>
    <row r="943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51"/>
      <c r="S943" s="51"/>
      <c r="T943" s="51"/>
      <c r="U943" s="51"/>
      <c r="V943" s="51"/>
      <c r="W943" s="51"/>
      <c r="X943" s="51"/>
      <c r="Y943" s="45"/>
      <c r="Z943" s="45"/>
      <c r="AA943" s="45"/>
      <c r="AB943" s="45"/>
      <c r="AC943" s="45"/>
      <c r="AD943" s="45"/>
      <c r="AE943" s="45"/>
      <c r="AF943" s="45"/>
      <c r="AG943" s="45"/>
      <c r="AH943" s="45"/>
      <c r="AI943" s="45"/>
      <c r="AJ943" s="45"/>
      <c r="AK943" s="45"/>
      <c r="AL943" s="45"/>
      <c r="AM943" s="45"/>
      <c r="AN943" s="45"/>
      <c r="AO943" s="45"/>
      <c r="AP943" s="45"/>
      <c r="AQ943" s="36"/>
      <c r="AR943" s="36"/>
      <c r="AS943" s="36"/>
      <c r="AT943" s="36"/>
      <c r="AU943" s="36"/>
      <c r="AV943" s="36"/>
      <c r="AW943" s="36"/>
      <c r="AX943" s="36"/>
      <c r="AY943" s="36"/>
      <c r="AZ943" s="36"/>
      <c r="BA943" s="36"/>
      <c r="BB943" s="36"/>
      <c r="BC943" s="36"/>
      <c r="BD943" s="36"/>
      <c r="BE943" s="36"/>
      <c r="BF943" s="36"/>
      <c r="BG943" s="36"/>
      <c r="BH943" s="36"/>
      <c r="BI943" s="36"/>
      <c r="BJ943" s="36"/>
      <c r="BK943" s="36"/>
      <c r="BL943" s="36"/>
      <c r="BM943" s="36"/>
      <c r="BN943" s="36"/>
      <c r="BO943" s="36"/>
      <c r="BP943" s="36"/>
      <c r="BQ943" s="36"/>
    </row>
    <row r="944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51"/>
      <c r="S944" s="51"/>
      <c r="T944" s="51"/>
      <c r="U944" s="51"/>
      <c r="V944" s="51"/>
      <c r="W944" s="51"/>
      <c r="X944" s="51"/>
      <c r="Y944" s="45"/>
      <c r="Z944" s="45"/>
      <c r="AA944" s="45"/>
      <c r="AB944" s="45"/>
      <c r="AC944" s="45"/>
      <c r="AD944" s="45"/>
      <c r="AE944" s="45"/>
      <c r="AF944" s="45"/>
      <c r="AG944" s="45"/>
      <c r="AH944" s="45"/>
      <c r="AI944" s="45"/>
      <c r="AJ944" s="45"/>
      <c r="AK944" s="45"/>
      <c r="AL944" s="45"/>
      <c r="AM944" s="45"/>
      <c r="AN944" s="45"/>
      <c r="AO944" s="45"/>
      <c r="AP944" s="45"/>
      <c r="AQ944" s="36"/>
      <c r="AR944" s="36"/>
      <c r="AS944" s="36"/>
      <c r="AT944" s="36"/>
      <c r="AU944" s="36"/>
      <c r="AV944" s="36"/>
      <c r="AW944" s="36"/>
      <c r="AX944" s="36"/>
      <c r="AY944" s="36"/>
      <c r="AZ944" s="36"/>
      <c r="BA944" s="36"/>
      <c r="BB944" s="36"/>
      <c r="BC944" s="36"/>
      <c r="BD944" s="36"/>
      <c r="BE944" s="36"/>
      <c r="BF944" s="36"/>
      <c r="BG944" s="36"/>
      <c r="BH944" s="36"/>
      <c r="BI944" s="36"/>
      <c r="BJ944" s="36"/>
      <c r="BK944" s="36"/>
      <c r="BL944" s="36"/>
      <c r="BM944" s="36"/>
      <c r="BN944" s="36"/>
      <c r="BO944" s="36"/>
      <c r="BP944" s="36"/>
      <c r="BQ944" s="36"/>
    </row>
    <row r="94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51"/>
      <c r="S945" s="51"/>
      <c r="T945" s="51"/>
      <c r="U945" s="51"/>
      <c r="V945" s="51"/>
      <c r="W945" s="51"/>
      <c r="X945" s="51"/>
      <c r="Y945" s="45"/>
      <c r="Z945" s="45"/>
      <c r="AA945" s="45"/>
      <c r="AB945" s="45"/>
      <c r="AC945" s="45"/>
      <c r="AD945" s="45"/>
      <c r="AE945" s="45"/>
      <c r="AF945" s="45"/>
      <c r="AG945" s="45"/>
      <c r="AH945" s="45"/>
      <c r="AI945" s="45"/>
      <c r="AJ945" s="45"/>
      <c r="AK945" s="45"/>
      <c r="AL945" s="45"/>
      <c r="AM945" s="45"/>
      <c r="AN945" s="45"/>
      <c r="AO945" s="45"/>
      <c r="AP945" s="45"/>
      <c r="AQ945" s="36"/>
      <c r="AR945" s="36"/>
      <c r="AS945" s="36"/>
      <c r="AT945" s="36"/>
      <c r="AU945" s="36"/>
      <c r="AV945" s="36"/>
      <c r="AW945" s="36"/>
      <c r="AX945" s="36"/>
      <c r="AY945" s="36"/>
      <c r="AZ945" s="36"/>
      <c r="BA945" s="36"/>
      <c r="BB945" s="36"/>
      <c r="BC945" s="36"/>
      <c r="BD945" s="36"/>
      <c r="BE945" s="36"/>
      <c r="BF945" s="36"/>
      <c r="BG945" s="36"/>
      <c r="BH945" s="36"/>
      <c r="BI945" s="36"/>
      <c r="BJ945" s="36"/>
      <c r="BK945" s="36"/>
      <c r="BL945" s="36"/>
      <c r="BM945" s="36"/>
      <c r="BN945" s="36"/>
      <c r="BO945" s="36"/>
      <c r="BP945" s="36"/>
      <c r="BQ945" s="36"/>
    </row>
    <row r="946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51"/>
      <c r="S946" s="51"/>
      <c r="T946" s="51"/>
      <c r="U946" s="51"/>
      <c r="V946" s="51"/>
      <c r="W946" s="51"/>
      <c r="X946" s="51"/>
      <c r="Y946" s="45"/>
      <c r="Z946" s="45"/>
      <c r="AA946" s="45"/>
      <c r="AB946" s="45"/>
      <c r="AC946" s="45"/>
      <c r="AD946" s="45"/>
      <c r="AE946" s="45"/>
      <c r="AF946" s="45"/>
      <c r="AG946" s="45"/>
      <c r="AH946" s="45"/>
      <c r="AI946" s="45"/>
      <c r="AJ946" s="45"/>
      <c r="AK946" s="45"/>
      <c r="AL946" s="45"/>
      <c r="AM946" s="45"/>
      <c r="AN946" s="45"/>
      <c r="AO946" s="45"/>
      <c r="AP946" s="45"/>
      <c r="AQ946" s="36"/>
      <c r="AR946" s="36"/>
      <c r="AS946" s="36"/>
      <c r="AT946" s="36"/>
      <c r="AU946" s="36"/>
      <c r="AV946" s="36"/>
      <c r="AW946" s="36"/>
      <c r="AX946" s="36"/>
      <c r="AY946" s="36"/>
      <c r="AZ946" s="36"/>
      <c r="BA946" s="36"/>
      <c r="BB946" s="36"/>
      <c r="BC946" s="36"/>
      <c r="BD946" s="36"/>
      <c r="BE946" s="36"/>
      <c r="BF946" s="36"/>
      <c r="BG946" s="36"/>
      <c r="BH946" s="36"/>
      <c r="BI946" s="36"/>
      <c r="BJ946" s="36"/>
      <c r="BK946" s="36"/>
      <c r="BL946" s="36"/>
      <c r="BM946" s="36"/>
      <c r="BN946" s="36"/>
      <c r="BO946" s="36"/>
      <c r="BP946" s="36"/>
      <c r="BQ946" s="36"/>
    </row>
    <row r="947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51"/>
      <c r="S947" s="51"/>
      <c r="T947" s="51"/>
      <c r="U947" s="51"/>
      <c r="V947" s="51"/>
      <c r="W947" s="51"/>
      <c r="X947" s="51"/>
      <c r="Y947" s="45"/>
      <c r="Z947" s="45"/>
      <c r="AA947" s="45"/>
      <c r="AB947" s="45"/>
      <c r="AC947" s="45"/>
      <c r="AD947" s="45"/>
      <c r="AE947" s="45"/>
      <c r="AF947" s="45"/>
      <c r="AG947" s="45"/>
      <c r="AH947" s="45"/>
      <c r="AI947" s="45"/>
      <c r="AJ947" s="45"/>
      <c r="AK947" s="45"/>
      <c r="AL947" s="45"/>
      <c r="AM947" s="45"/>
      <c r="AN947" s="45"/>
      <c r="AO947" s="45"/>
      <c r="AP947" s="45"/>
      <c r="AQ947" s="36"/>
      <c r="AR947" s="36"/>
      <c r="AS947" s="36"/>
      <c r="AT947" s="36"/>
      <c r="AU947" s="36"/>
      <c r="AV947" s="36"/>
      <c r="AW947" s="36"/>
      <c r="AX947" s="36"/>
      <c r="AY947" s="36"/>
      <c r="AZ947" s="36"/>
      <c r="BA947" s="36"/>
      <c r="BB947" s="36"/>
      <c r="BC947" s="36"/>
      <c r="BD947" s="36"/>
      <c r="BE947" s="36"/>
      <c r="BF947" s="36"/>
      <c r="BG947" s="36"/>
      <c r="BH947" s="36"/>
      <c r="BI947" s="36"/>
      <c r="BJ947" s="36"/>
      <c r="BK947" s="36"/>
      <c r="BL947" s="36"/>
      <c r="BM947" s="36"/>
      <c r="BN947" s="36"/>
      <c r="BO947" s="36"/>
      <c r="BP947" s="36"/>
      <c r="BQ947" s="36"/>
    </row>
    <row r="948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51"/>
      <c r="S948" s="51"/>
      <c r="T948" s="51"/>
      <c r="U948" s="51"/>
      <c r="V948" s="51"/>
      <c r="W948" s="51"/>
      <c r="X948" s="51"/>
      <c r="Y948" s="45"/>
      <c r="Z948" s="45"/>
      <c r="AA948" s="45"/>
      <c r="AB948" s="45"/>
      <c r="AC948" s="45"/>
      <c r="AD948" s="45"/>
      <c r="AE948" s="45"/>
      <c r="AF948" s="45"/>
      <c r="AG948" s="45"/>
      <c r="AH948" s="45"/>
      <c r="AI948" s="45"/>
      <c r="AJ948" s="45"/>
      <c r="AK948" s="45"/>
      <c r="AL948" s="45"/>
      <c r="AM948" s="45"/>
      <c r="AN948" s="45"/>
      <c r="AO948" s="45"/>
      <c r="AP948" s="45"/>
      <c r="AQ948" s="36"/>
      <c r="AR948" s="36"/>
      <c r="AS948" s="36"/>
      <c r="AT948" s="36"/>
      <c r="AU948" s="36"/>
      <c r="AV948" s="36"/>
      <c r="AW948" s="36"/>
      <c r="AX948" s="36"/>
      <c r="AY948" s="36"/>
      <c r="AZ948" s="36"/>
      <c r="BA948" s="36"/>
      <c r="BB948" s="36"/>
      <c r="BC948" s="36"/>
      <c r="BD948" s="36"/>
      <c r="BE948" s="36"/>
      <c r="BF948" s="36"/>
      <c r="BG948" s="36"/>
      <c r="BH948" s="36"/>
      <c r="BI948" s="36"/>
      <c r="BJ948" s="36"/>
      <c r="BK948" s="36"/>
      <c r="BL948" s="36"/>
      <c r="BM948" s="36"/>
      <c r="BN948" s="36"/>
      <c r="BO948" s="36"/>
      <c r="BP948" s="36"/>
      <c r="BQ948" s="36"/>
    </row>
    <row r="949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51"/>
      <c r="S949" s="51"/>
      <c r="T949" s="51"/>
      <c r="U949" s="51"/>
      <c r="V949" s="51"/>
      <c r="W949" s="51"/>
      <c r="X949" s="51"/>
      <c r="Y949" s="45"/>
      <c r="Z949" s="45"/>
      <c r="AA949" s="45"/>
      <c r="AB949" s="45"/>
      <c r="AC949" s="45"/>
      <c r="AD949" s="45"/>
      <c r="AE949" s="45"/>
      <c r="AF949" s="45"/>
      <c r="AG949" s="45"/>
      <c r="AH949" s="45"/>
      <c r="AI949" s="45"/>
      <c r="AJ949" s="45"/>
      <c r="AK949" s="45"/>
      <c r="AL949" s="45"/>
      <c r="AM949" s="45"/>
      <c r="AN949" s="45"/>
      <c r="AO949" s="45"/>
      <c r="AP949" s="45"/>
      <c r="AQ949" s="36"/>
      <c r="AR949" s="36"/>
      <c r="AS949" s="36"/>
      <c r="AT949" s="36"/>
      <c r="AU949" s="36"/>
      <c r="AV949" s="36"/>
      <c r="AW949" s="36"/>
      <c r="AX949" s="36"/>
      <c r="AY949" s="36"/>
      <c r="AZ949" s="36"/>
      <c r="BA949" s="36"/>
      <c r="BB949" s="36"/>
      <c r="BC949" s="36"/>
      <c r="BD949" s="36"/>
      <c r="BE949" s="36"/>
      <c r="BF949" s="36"/>
      <c r="BG949" s="36"/>
      <c r="BH949" s="36"/>
      <c r="BI949" s="36"/>
      <c r="BJ949" s="36"/>
      <c r="BK949" s="36"/>
      <c r="BL949" s="36"/>
      <c r="BM949" s="36"/>
      <c r="BN949" s="36"/>
      <c r="BO949" s="36"/>
      <c r="BP949" s="36"/>
      <c r="BQ949" s="36"/>
    </row>
    <row r="950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51"/>
      <c r="S950" s="51"/>
      <c r="T950" s="51"/>
      <c r="U950" s="51"/>
      <c r="V950" s="51"/>
      <c r="W950" s="51"/>
      <c r="X950" s="51"/>
      <c r="Y950" s="45"/>
      <c r="Z950" s="45"/>
      <c r="AA950" s="45"/>
      <c r="AB950" s="45"/>
      <c r="AC950" s="45"/>
      <c r="AD950" s="45"/>
      <c r="AE950" s="45"/>
      <c r="AF950" s="45"/>
      <c r="AG950" s="45"/>
      <c r="AH950" s="45"/>
      <c r="AI950" s="45"/>
      <c r="AJ950" s="45"/>
      <c r="AK950" s="45"/>
      <c r="AL950" s="45"/>
      <c r="AM950" s="45"/>
      <c r="AN950" s="45"/>
      <c r="AO950" s="45"/>
      <c r="AP950" s="45"/>
      <c r="AQ950" s="36"/>
      <c r="AR950" s="36"/>
      <c r="AS950" s="36"/>
      <c r="AT950" s="36"/>
      <c r="AU950" s="36"/>
      <c r="AV950" s="36"/>
      <c r="AW950" s="36"/>
      <c r="AX950" s="36"/>
      <c r="AY950" s="36"/>
      <c r="AZ950" s="36"/>
      <c r="BA950" s="36"/>
      <c r="BB950" s="36"/>
      <c r="BC950" s="36"/>
      <c r="BD950" s="36"/>
      <c r="BE950" s="36"/>
      <c r="BF950" s="36"/>
      <c r="BG950" s="36"/>
      <c r="BH950" s="36"/>
      <c r="BI950" s="36"/>
      <c r="BJ950" s="36"/>
      <c r="BK950" s="36"/>
      <c r="BL950" s="36"/>
      <c r="BM950" s="36"/>
      <c r="BN950" s="36"/>
      <c r="BO950" s="36"/>
      <c r="BP950" s="36"/>
      <c r="BQ950" s="36"/>
    </row>
    <row r="95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51"/>
      <c r="S951" s="51"/>
      <c r="T951" s="51"/>
      <c r="U951" s="51"/>
      <c r="V951" s="51"/>
      <c r="W951" s="51"/>
      <c r="X951" s="51"/>
      <c r="Y951" s="45"/>
      <c r="Z951" s="45"/>
      <c r="AA951" s="45"/>
      <c r="AB951" s="45"/>
      <c r="AC951" s="45"/>
      <c r="AD951" s="45"/>
      <c r="AE951" s="45"/>
      <c r="AF951" s="45"/>
      <c r="AG951" s="45"/>
      <c r="AH951" s="45"/>
      <c r="AI951" s="45"/>
      <c r="AJ951" s="45"/>
      <c r="AK951" s="45"/>
      <c r="AL951" s="45"/>
      <c r="AM951" s="45"/>
      <c r="AN951" s="45"/>
      <c r="AO951" s="45"/>
      <c r="AP951" s="45"/>
      <c r="AQ951" s="36"/>
      <c r="AR951" s="36"/>
      <c r="AS951" s="36"/>
      <c r="AT951" s="36"/>
      <c r="AU951" s="36"/>
      <c r="AV951" s="36"/>
      <c r="AW951" s="36"/>
      <c r="AX951" s="36"/>
      <c r="AY951" s="36"/>
      <c r="AZ951" s="36"/>
      <c r="BA951" s="36"/>
      <c r="BB951" s="36"/>
      <c r="BC951" s="36"/>
      <c r="BD951" s="36"/>
      <c r="BE951" s="36"/>
      <c r="BF951" s="36"/>
      <c r="BG951" s="36"/>
      <c r="BH951" s="36"/>
      <c r="BI951" s="36"/>
      <c r="BJ951" s="36"/>
      <c r="BK951" s="36"/>
      <c r="BL951" s="36"/>
      <c r="BM951" s="36"/>
      <c r="BN951" s="36"/>
      <c r="BO951" s="36"/>
      <c r="BP951" s="36"/>
      <c r="BQ951" s="36"/>
    </row>
    <row r="952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51"/>
      <c r="S952" s="51"/>
      <c r="T952" s="51"/>
      <c r="U952" s="51"/>
      <c r="V952" s="51"/>
      <c r="W952" s="51"/>
      <c r="X952" s="51"/>
      <c r="Y952" s="45"/>
      <c r="Z952" s="45"/>
      <c r="AA952" s="45"/>
      <c r="AB952" s="45"/>
      <c r="AC952" s="45"/>
      <c r="AD952" s="45"/>
      <c r="AE952" s="45"/>
      <c r="AF952" s="45"/>
      <c r="AG952" s="45"/>
      <c r="AH952" s="45"/>
      <c r="AI952" s="45"/>
      <c r="AJ952" s="45"/>
      <c r="AK952" s="45"/>
      <c r="AL952" s="45"/>
      <c r="AM952" s="45"/>
      <c r="AN952" s="45"/>
      <c r="AO952" s="45"/>
      <c r="AP952" s="45"/>
      <c r="AQ952" s="36"/>
      <c r="AR952" s="36"/>
      <c r="AS952" s="36"/>
      <c r="AT952" s="36"/>
      <c r="AU952" s="36"/>
      <c r="AV952" s="36"/>
      <c r="AW952" s="36"/>
      <c r="AX952" s="36"/>
      <c r="AY952" s="36"/>
      <c r="AZ952" s="36"/>
      <c r="BA952" s="36"/>
      <c r="BB952" s="36"/>
      <c r="BC952" s="36"/>
      <c r="BD952" s="36"/>
      <c r="BE952" s="36"/>
      <c r="BF952" s="36"/>
      <c r="BG952" s="36"/>
      <c r="BH952" s="36"/>
      <c r="BI952" s="36"/>
      <c r="BJ952" s="36"/>
      <c r="BK952" s="36"/>
      <c r="BL952" s="36"/>
      <c r="BM952" s="36"/>
      <c r="BN952" s="36"/>
      <c r="BO952" s="36"/>
      <c r="BP952" s="36"/>
      <c r="BQ952" s="36"/>
    </row>
    <row r="953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51"/>
      <c r="S953" s="51"/>
      <c r="T953" s="51"/>
      <c r="U953" s="51"/>
      <c r="V953" s="51"/>
      <c r="W953" s="51"/>
      <c r="X953" s="51"/>
      <c r="Y953" s="45"/>
      <c r="Z953" s="45"/>
      <c r="AA953" s="45"/>
      <c r="AB953" s="45"/>
      <c r="AC953" s="45"/>
      <c r="AD953" s="45"/>
      <c r="AE953" s="45"/>
      <c r="AF953" s="45"/>
      <c r="AG953" s="45"/>
      <c r="AH953" s="45"/>
      <c r="AI953" s="45"/>
      <c r="AJ953" s="45"/>
      <c r="AK953" s="45"/>
      <c r="AL953" s="45"/>
      <c r="AM953" s="45"/>
      <c r="AN953" s="45"/>
      <c r="AO953" s="45"/>
      <c r="AP953" s="45"/>
      <c r="AQ953" s="36"/>
      <c r="AR953" s="36"/>
      <c r="AS953" s="36"/>
      <c r="AT953" s="36"/>
      <c r="AU953" s="36"/>
      <c r="AV953" s="36"/>
      <c r="AW953" s="36"/>
      <c r="AX953" s="36"/>
      <c r="AY953" s="36"/>
      <c r="AZ953" s="36"/>
      <c r="BA953" s="36"/>
      <c r="BB953" s="36"/>
      <c r="BC953" s="36"/>
      <c r="BD953" s="36"/>
      <c r="BE953" s="36"/>
      <c r="BF953" s="36"/>
      <c r="BG953" s="36"/>
      <c r="BH953" s="36"/>
      <c r="BI953" s="36"/>
      <c r="BJ953" s="36"/>
      <c r="BK953" s="36"/>
      <c r="BL953" s="36"/>
      <c r="BM953" s="36"/>
      <c r="BN953" s="36"/>
      <c r="BO953" s="36"/>
      <c r="BP953" s="36"/>
      <c r="BQ953" s="36"/>
    </row>
    <row r="954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51"/>
      <c r="S954" s="51"/>
      <c r="T954" s="51"/>
      <c r="U954" s="51"/>
      <c r="V954" s="51"/>
      <c r="W954" s="51"/>
      <c r="X954" s="51"/>
      <c r="Y954" s="45"/>
      <c r="Z954" s="45"/>
      <c r="AA954" s="45"/>
      <c r="AB954" s="45"/>
      <c r="AC954" s="45"/>
      <c r="AD954" s="45"/>
      <c r="AE954" s="45"/>
      <c r="AF954" s="45"/>
      <c r="AG954" s="45"/>
      <c r="AH954" s="45"/>
      <c r="AI954" s="45"/>
      <c r="AJ954" s="45"/>
      <c r="AK954" s="45"/>
      <c r="AL954" s="45"/>
      <c r="AM954" s="45"/>
      <c r="AN954" s="45"/>
      <c r="AO954" s="45"/>
      <c r="AP954" s="45"/>
      <c r="AQ954" s="36"/>
      <c r="AR954" s="36"/>
      <c r="AS954" s="36"/>
      <c r="AT954" s="36"/>
      <c r="AU954" s="36"/>
      <c r="AV954" s="36"/>
      <c r="AW954" s="36"/>
      <c r="AX954" s="36"/>
      <c r="AY954" s="36"/>
      <c r="AZ954" s="36"/>
      <c r="BA954" s="36"/>
      <c r="BB954" s="36"/>
      <c r="BC954" s="36"/>
      <c r="BD954" s="36"/>
      <c r="BE954" s="36"/>
      <c r="BF954" s="36"/>
      <c r="BG954" s="36"/>
      <c r="BH954" s="36"/>
      <c r="BI954" s="36"/>
      <c r="BJ954" s="36"/>
      <c r="BK954" s="36"/>
      <c r="BL954" s="36"/>
      <c r="BM954" s="36"/>
      <c r="BN954" s="36"/>
      <c r="BO954" s="36"/>
      <c r="BP954" s="36"/>
      <c r="BQ954" s="36"/>
    </row>
    <row r="95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51"/>
      <c r="S955" s="51"/>
      <c r="T955" s="51"/>
      <c r="U955" s="51"/>
      <c r="V955" s="51"/>
      <c r="W955" s="51"/>
      <c r="X955" s="51"/>
      <c r="Y955" s="45"/>
      <c r="Z955" s="45"/>
      <c r="AA955" s="45"/>
      <c r="AB955" s="45"/>
      <c r="AC955" s="45"/>
      <c r="AD955" s="45"/>
      <c r="AE955" s="45"/>
      <c r="AF955" s="45"/>
      <c r="AG955" s="45"/>
      <c r="AH955" s="45"/>
      <c r="AI955" s="45"/>
      <c r="AJ955" s="45"/>
      <c r="AK955" s="45"/>
      <c r="AL955" s="45"/>
      <c r="AM955" s="45"/>
      <c r="AN955" s="45"/>
      <c r="AO955" s="45"/>
      <c r="AP955" s="45"/>
      <c r="AQ955" s="36"/>
      <c r="AR955" s="36"/>
      <c r="AS955" s="36"/>
      <c r="AT955" s="36"/>
      <c r="AU955" s="36"/>
      <c r="AV955" s="36"/>
      <c r="AW955" s="36"/>
      <c r="AX955" s="36"/>
      <c r="AY955" s="36"/>
      <c r="AZ955" s="36"/>
      <c r="BA955" s="36"/>
      <c r="BB955" s="36"/>
      <c r="BC955" s="36"/>
      <c r="BD955" s="36"/>
      <c r="BE955" s="36"/>
      <c r="BF955" s="36"/>
      <c r="BG955" s="36"/>
      <c r="BH955" s="36"/>
      <c r="BI955" s="36"/>
      <c r="BJ955" s="36"/>
      <c r="BK955" s="36"/>
      <c r="BL955" s="36"/>
      <c r="BM955" s="36"/>
      <c r="BN955" s="36"/>
      <c r="BO955" s="36"/>
      <c r="BP955" s="36"/>
      <c r="BQ955" s="36"/>
    </row>
    <row r="956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51"/>
      <c r="S956" s="51"/>
      <c r="T956" s="51"/>
      <c r="U956" s="51"/>
      <c r="V956" s="51"/>
      <c r="W956" s="51"/>
      <c r="X956" s="51"/>
      <c r="Y956" s="45"/>
      <c r="Z956" s="45"/>
      <c r="AA956" s="45"/>
      <c r="AB956" s="45"/>
      <c r="AC956" s="45"/>
      <c r="AD956" s="45"/>
      <c r="AE956" s="45"/>
      <c r="AF956" s="45"/>
      <c r="AG956" s="45"/>
      <c r="AH956" s="45"/>
      <c r="AI956" s="45"/>
      <c r="AJ956" s="45"/>
      <c r="AK956" s="45"/>
      <c r="AL956" s="45"/>
      <c r="AM956" s="45"/>
      <c r="AN956" s="45"/>
      <c r="AO956" s="45"/>
      <c r="AP956" s="45"/>
      <c r="AQ956" s="36"/>
      <c r="AR956" s="36"/>
      <c r="AS956" s="36"/>
      <c r="AT956" s="36"/>
      <c r="AU956" s="36"/>
      <c r="AV956" s="36"/>
      <c r="AW956" s="36"/>
      <c r="AX956" s="36"/>
      <c r="AY956" s="36"/>
      <c r="AZ956" s="36"/>
      <c r="BA956" s="36"/>
      <c r="BB956" s="36"/>
      <c r="BC956" s="36"/>
      <c r="BD956" s="36"/>
      <c r="BE956" s="36"/>
      <c r="BF956" s="36"/>
      <c r="BG956" s="36"/>
      <c r="BH956" s="36"/>
      <c r="BI956" s="36"/>
      <c r="BJ956" s="36"/>
      <c r="BK956" s="36"/>
      <c r="BL956" s="36"/>
      <c r="BM956" s="36"/>
      <c r="BN956" s="36"/>
      <c r="BO956" s="36"/>
      <c r="BP956" s="36"/>
      <c r="BQ956" s="36"/>
    </row>
    <row r="957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51"/>
      <c r="S957" s="51"/>
      <c r="T957" s="51"/>
      <c r="U957" s="51"/>
      <c r="V957" s="51"/>
      <c r="W957" s="51"/>
      <c r="X957" s="51"/>
      <c r="Y957" s="45"/>
      <c r="Z957" s="45"/>
      <c r="AA957" s="45"/>
      <c r="AB957" s="45"/>
      <c r="AC957" s="45"/>
      <c r="AD957" s="45"/>
      <c r="AE957" s="45"/>
      <c r="AF957" s="45"/>
      <c r="AG957" s="45"/>
      <c r="AH957" s="45"/>
      <c r="AI957" s="45"/>
      <c r="AJ957" s="45"/>
      <c r="AK957" s="45"/>
      <c r="AL957" s="45"/>
      <c r="AM957" s="45"/>
      <c r="AN957" s="45"/>
      <c r="AO957" s="45"/>
      <c r="AP957" s="45"/>
      <c r="AQ957" s="36"/>
      <c r="AR957" s="36"/>
      <c r="AS957" s="36"/>
      <c r="AT957" s="36"/>
      <c r="AU957" s="36"/>
      <c r="AV957" s="36"/>
      <c r="AW957" s="36"/>
      <c r="AX957" s="36"/>
      <c r="AY957" s="36"/>
      <c r="AZ957" s="36"/>
      <c r="BA957" s="36"/>
      <c r="BB957" s="36"/>
      <c r="BC957" s="36"/>
      <c r="BD957" s="36"/>
      <c r="BE957" s="36"/>
      <c r="BF957" s="36"/>
      <c r="BG957" s="36"/>
      <c r="BH957" s="36"/>
      <c r="BI957" s="36"/>
      <c r="BJ957" s="36"/>
      <c r="BK957" s="36"/>
      <c r="BL957" s="36"/>
      <c r="BM957" s="36"/>
      <c r="BN957" s="36"/>
      <c r="BO957" s="36"/>
      <c r="BP957" s="36"/>
      <c r="BQ957" s="36"/>
    </row>
    <row r="958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51"/>
      <c r="S958" s="51"/>
      <c r="T958" s="51"/>
      <c r="U958" s="51"/>
      <c r="V958" s="51"/>
      <c r="W958" s="51"/>
      <c r="X958" s="51"/>
      <c r="Y958" s="45"/>
      <c r="Z958" s="45"/>
      <c r="AA958" s="45"/>
      <c r="AB958" s="45"/>
      <c r="AC958" s="45"/>
      <c r="AD958" s="45"/>
      <c r="AE958" s="45"/>
      <c r="AF958" s="45"/>
      <c r="AG958" s="45"/>
      <c r="AH958" s="45"/>
      <c r="AI958" s="45"/>
      <c r="AJ958" s="45"/>
      <c r="AK958" s="45"/>
      <c r="AL958" s="45"/>
      <c r="AM958" s="45"/>
      <c r="AN958" s="45"/>
      <c r="AO958" s="45"/>
      <c r="AP958" s="45"/>
      <c r="AQ958" s="36"/>
      <c r="AR958" s="36"/>
      <c r="AS958" s="36"/>
      <c r="AT958" s="36"/>
      <c r="AU958" s="36"/>
      <c r="AV958" s="36"/>
      <c r="AW958" s="36"/>
      <c r="AX958" s="36"/>
      <c r="AY958" s="36"/>
      <c r="AZ958" s="36"/>
      <c r="BA958" s="36"/>
      <c r="BB958" s="36"/>
      <c r="BC958" s="36"/>
      <c r="BD958" s="36"/>
      <c r="BE958" s="36"/>
      <c r="BF958" s="36"/>
      <c r="BG958" s="36"/>
      <c r="BH958" s="36"/>
      <c r="BI958" s="36"/>
      <c r="BJ958" s="36"/>
      <c r="BK958" s="36"/>
      <c r="BL958" s="36"/>
      <c r="BM958" s="36"/>
      <c r="BN958" s="36"/>
      <c r="BO958" s="36"/>
      <c r="BP958" s="36"/>
      <c r="BQ958" s="36"/>
    </row>
    <row r="959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51"/>
      <c r="S959" s="51"/>
      <c r="T959" s="51"/>
      <c r="U959" s="51"/>
      <c r="V959" s="51"/>
      <c r="W959" s="51"/>
      <c r="X959" s="51"/>
      <c r="Y959" s="45"/>
      <c r="Z959" s="45"/>
      <c r="AA959" s="45"/>
      <c r="AB959" s="45"/>
      <c r="AC959" s="45"/>
      <c r="AD959" s="45"/>
      <c r="AE959" s="45"/>
      <c r="AF959" s="45"/>
      <c r="AG959" s="45"/>
      <c r="AH959" s="45"/>
      <c r="AI959" s="45"/>
      <c r="AJ959" s="45"/>
      <c r="AK959" s="45"/>
      <c r="AL959" s="45"/>
      <c r="AM959" s="45"/>
      <c r="AN959" s="45"/>
      <c r="AO959" s="45"/>
      <c r="AP959" s="45"/>
      <c r="AQ959" s="36"/>
      <c r="AR959" s="36"/>
      <c r="AS959" s="36"/>
      <c r="AT959" s="36"/>
      <c r="AU959" s="36"/>
      <c r="AV959" s="36"/>
      <c r="AW959" s="36"/>
      <c r="AX959" s="36"/>
      <c r="AY959" s="36"/>
      <c r="AZ959" s="36"/>
      <c r="BA959" s="36"/>
      <c r="BB959" s="36"/>
      <c r="BC959" s="36"/>
      <c r="BD959" s="36"/>
      <c r="BE959" s="36"/>
      <c r="BF959" s="36"/>
      <c r="BG959" s="36"/>
      <c r="BH959" s="36"/>
      <c r="BI959" s="36"/>
      <c r="BJ959" s="36"/>
      <c r="BK959" s="36"/>
      <c r="BL959" s="36"/>
      <c r="BM959" s="36"/>
      <c r="BN959" s="36"/>
      <c r="BO959" s="36"/>
      <c r="BP959" s="36"/>
      <c r="BQ959" s="36"/>
    </row>
    <row r="960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51"/>
      <c r="S960" s="51"/>
      <c r="T960" s="51"/>
      <c r="U960" s="51"/>
      <c r="V960" s="51"/>
      <c r="W960" s="51"/>
      <c r="X960" s="51"/>
      <c r="Y960" s="45"/>
      <c r="Z960" s="45"/>
      <c r="AA960" s="45"/>
      <c r="AB960" s="45"/>
      <c r="AC960" s="45"/>
      <c r="AD960" s="45"/>
      <c r="AE960" s="45"/>
      <c r="AF960" s="45"/>
      <c r="AG960" s="45"/>
      <c r="AH960" s="45"/>
      <c r="AI960" s="45"/>
      <c r="AJ960" s="45"/>
      <c r="AK960" s="45"/>
      <c r="AL960" s="45"/>
      <c r="AM960" s="45"/>
      <c r="AN960" s="45"/>
      <c r="AO960" s="45"/>
      <c r="AP960" s="45"/>
      <c r="AQ960" s="36"/>
      <c r="AR960" s="36"/>
      <c r="AS960" s="36"/>
      <c r="AT960" s="36"/>
      <c r="AU960" s="36"/>
      <c r="AV960" s="36"/>
      <c r="AW960" s="36"/>
      <c r="AX960" s="36"/>
      <c r="AY960" s="36"/>
      <c r="AZ960" s="36"/>
      <c r="BA960" s="36"/>
      <c r="BB960" s="36"/>
      <c r="BC960" s="36"/>
      <c r="BD960" s="36"/>
      <c r="BE960" s="36"/>
      <c r="BF960" s="36"/>
      <c r="BG960" s="36"/>
      <c r="BH960" s="36"/>
      <c r="BI960" s="36"/>
      <c r="BJ960" s="36"/>
      <c r="BK960" s="36"/>
      <c r="BL960" s="36"/>
      <c r="BM960" s="36"/>
      <c r="BN960" s="36"/>
      <c r="BO960" s="36"/>
      <c r="BP960" s="36"/>
      <c r="BQ960" s="36"/>
    </row>
    <row r="96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51"/>
      <c r="S961" s="51"/>
      <c r="T961" s="51"/>
      <c r="U961" s="51"/>
      <c r="V961" s="51"/>
      <c r="W961" s="51"/>
      <c r="X961" s="51"/>
      <c r="Y961" s="45"/>
      <c r="Z961" s="45"/>
      <c r="AA961" s="45"/>
      <c r="AB961" s="45"/>
      <c r="AC961" s="45"/>
      <c r="AD961" s="45"/>
      <c r="AE961" s="45"/>
      <c r="AF961" s="45"/>
      <c r="AG961" s="45"/>
      <c r="AH961" s="45"/>
      <c r="AI961" s="45"/>
      <c r="AJ961" s="45"/>
      <c r="AK961" s="45"/>
      <c r="AL961" s="45"/>
      <c r="AM961" s="45"/>
      <c r="AN961" s="45"/>
      <c r="AO961" s="45"/>
      <c r="AP961" s="45"/>
      <c r="AQ961" s="36"/>
      <c r="AR961" s="36"/>
      <c r="AS961" s="36"/>
      <c r="AT961" s="36"/>
      <c r="AU961" s="36"/>
      <c r="AV961" s="36"/>
      <c r="AW961" s="36"/>
      <c r="AX961" s="36"/>
      <c r="AY961" s="36"/>
      <c r="AZ961" s="36"/>
      <c r="BA961" s="36"/>
      <c r="BB961" s="36"/>
      <c r="BC961" s="36"/>
      <c r="BD961" s="36"/>
      <c r="BE961" s="36"/>
      <c r="BF961" s="36"/>
      <c r="BG961" s="36"/>
      <c r="BH961" s="36"/>
      <c r="BI961" s="36"/>
      <c r="BJ961" s="36"/>
      <c r="BK961" s="36"/>
      <c r="BL961" s="36"/>
      <c r="BM961" s="36"/>
      <c r="BN961" s="36"/>
      <c r="BO961" s="36"/>
      <c r="BP961" s="36"/>
      <c r="BQ961" s="36"/>
    </row>
    <row r="962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51"/>
      <c r="S962" s="51"/>
      <c r="T962" s="51"/>
      <c r="U962" s="51"/>
      <c r="V962" s="51"/>
      <c r="W962" s="51"/>
      <c r="X962" s="51"/>
      <c r="Y962" s="45"/>
      <c r="Z962" s="45"/>
      <c r="AA962" s="45"/>
      <c r="AB962" s="45"/>
      <c r="AC962" s="45"/>
      <c r="AD962" s="45"/>
      <c r="AE962" s="45"/>
      <c r="AF962" s="45"/>
      <c r="AG962" s="45"/>
      <c r="AH962" s="45"/>
      <c r="AI962" s="45"/>
      <c r="AJ962" s="45"/>
      <c r="AK962" s="45"/>
      <c r="AL962" s="45"/>
      <c r="AM962" s="45"/>
      <c r="AN962" s="45"/>
      <c r="AO962" s="45"/>
      <c r="AP962" s="45"/>
      <c r="AQ962" s="36"/>
      <c r="AR962" s="36"/>
      <c r="AS962" s="36"/>
      <c r="AT962" s="36"/>
      <c r="AU962" s="36"/>
      <c r="AV962" s="36"/>
      <c r="AW962" s="36"/>
      <c r="AX962" s="36"/>
      <c r="AY962" s="36"/>
      <c r="AZ962" s="36"/>
      <c r="BA962" s="36"/>
      <c r="BB962" s="36"/>
      <c r="BC962" s="36"/>
      <c r="BD962" s="36"/>
      <c r="BE962" s="36"/>
      <c r="BF962" s="36"/>
      <c r="BG962" s="36"/>
      <c r="BH962" s="36"/>
      <c r="BI962" s="36"/>
      <c r="BJ962" s="36"/>
      <c r="BK962" s="36"/>
      <c r="BL962" s="36"/>
      <c r="BM962" s="36"/>
      <c r="BN962" s="36"/>
      <c r="BO962" s="36"/>
      <c r="BP962" s="36"/>
      <c r="BQ962" s="36"/>
    </row>
    <row r="963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51"/>
      <c r="S963" s="51"/>
      <c r="T963" s="51"/>
      <c r="U963" s="51"/>
      <c r="V963" s="51"/>
      <c r="W963" s="51"/>
      <c r="X963" s="51"/>
      <c r="Y963" s="45"/>
      <c r="Z963" s="45"/>
      <c r="AA963" s="45"/>
      <c r="AB963" s="45"/>
      <c r="AC963" s="45"/>
      <c r="AD963" s="45"/>
      <c r="AE963" s="45"/>
      <c r="AF963" s="45"/>
      <c r="AG963" s="45"/>
      <c r="AH963" s="45"/>
      <c r="AI963" s="45"/>
      <c r="AJ963" s="45"/>
      <c r="AK963" s="45"/>
      <c r="AL963" s="45"/>
      <c r="AM963" s="45"/>
      <c r="AN963" s="45"/>
      <c r="AO963" s="45"/>
      <c r="AP963" s="45"/>
      <c r="AQ963" s="36"/>
      <c r="AR963" s="36"/>
      <c r="AS963" s="36"/>
      <c r="AT963" s="36"/>
      <c r="AU963" s="36"/>
      <c r="AV963" s="36"/>
      <c r="AW963" s="36"/>
      <c r="AX963" s="36"/>
      <c r="AY963" s="36"/>
      <c r="AZ963" s="36"/>
      <c r="BA963" s="36"/>
      <c r="BB963" s="36"/>
      <c r="BC963" s="36"/>
      <c r="BD963" s="36"/>
      <c r="BE963" s="36"/>
      <c r="BF963" s="36"/>
      <c r="BG963" s="36"/>
      <c r="BH963" s="36"/>
      <c r="BI963" s="36"/>
      <c r="BJ963" s="36"/>
      <c r="BK963" s="36"/>
      <c r="BL963" s="36"/>
      <c r="BM963" s="36"/>
      <c r="BN963" s="36"/>
      <c r="BO963" s="36"/>
      <c r="BP963" s="36"/>
      <c r="BQ963" s="36"/>
    </row>
    <row r="964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51"/>
      <c r="S964" s="51"/>
      <c r="T964" s="51"/>
      <c r="U964" s="51"/>
      <c r="V964" s="51"/>
      <c r="W964" s="51"/>
      <c r="X964" s="51"/>
      <c r="Y964" s="45"/>
      <c r="Z964" s="45"/>
      <c r="AA964" s="45"/>
      <c r="AB964" s="45"/>
      <c r="AC964" s="45"/>
      <c r="AD964" s="45"/>
      <c r="AE964" s="45"/>
      <c r="AF964" s="45"/>
      <c r="AG964" s="45"/>
      <c r="AH964" s="45"/>
      <c r="AI964" s="45"/>
      <c r="AJ964" s="45"/>
      <c r="AK964" s="45"/>
      <c r="AL964" s="45"/>
      <c r="AM964" s="45"/>
      <c r="AN964" s="45"/>
      <c r="AO964" s="45"/>
      <c r="AP964" s="45"/>
      <c r="AQ964" s="36"/>
      <c r="AR964" s="36"/>
      <c r="AS964" s="36"/>
      <c r="AT964" s="36"/>
      <c r="AU964" s="36"/>
      <c r="AV964" s="36"/>
      <c r="AW964" s="36"/>
      <c r="AX964" s="36"/>
      <c r="AY964" s="36"/>
      <c r="AZ964" s="36"/>
      <c r="BA964" s="36"/>
      <c r="BB964" s="36"/>
      <c r="BC964" s="36"/>
      <c r="BD964" s="36"/>
      <c r="BE964" s="36"/>
      <c r="BF964" s="36"/>
      <c r="BG964" s="36"/>
      <c r="BH964" s="36"/>
      <c r="BI964" s="36"/>
      <c r="BJ964" s="36"/>
      <c r="BK964" s="36"/>
      <c r="BL964" s="36"/>
      <c r="BM964" s="36"/>
      <c r="BN964" s="36"/>
      <c r="BO964" s="36"/>
      <c r="BP964" s="36"/>
      <c r="BQ964" s="36"/>
    </row>
    <row r="96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51"/>
      <c r="S965" s="51"/>
      <c r="T965" s="51"/>
      <c r="U965" s="51"/>
      <c r="V965" s="51"/>
      <c r="W965" s="51"/>
      <c r="X965" s="51"/>
      <c r="Y965" s="45"/>
      <c r="Z965" s="45"/>
      <c r="AA965" s="45"/>
      <c r="AB965" s="45"/>
      <c r="AC965" s="45"/>
      <c r="AD965" s="45"/>
      <c r="AE965" s="45"/>
      <c r="AF965" s="45"/>
      <c r="AG965" s="45"/>
      <c r="AH965" s="45"/>
      <c r="AI965" s="45"/>
      <c r="AJ965" s="45"/>
      <c r="AK965" s="45"/>
      <c r="AL965" s="45"/>
      <c r="AM965" s="45"/>
      <c r="AN965" s="45"/>
      <c r="AO965" s="45"/>
      <c r="AP965" s="45"/>
      <c r="AQ965" s="36"/>
      <c r="AR965" s="36"/>
      <c r="AS965" s="36"/>
      <c r="AT965" s="36"/>
      <c r="AU965" s="36"/>
      <c r="AV965" s="36"/>
      <c r="AW965" s="36"/>
      <c r="AX965" s="36"/>
      <c r="AY965" s="36"/>
      <c r="AZ965" s="36"/>
      <c r="BA965" s="36"/>
      <c r="BB965" s="36"/>
      <c r="BC965" s="36"/>
      <c r="BD965" s="36"/>
      <c r="BE965" s="36"/>
      <c r="BF965" s="36"/>
      <c r="BG965" s="36"/>
      <c r="BH965" s="36"/>
      <c r="BI965" s="36"/>
      <c r="BJ965" s="36"/>
      <c r="BK965" s="36"/>
      <c r="BL965" s="36"/>
      <c r="BM965" s="36"/>
      <c r="BN965" s="36"/>
      <c r="BO965" s="36"/>
      <c r="BP965" s="36"/>
      <c r="BQ965" s="36"/>
    </row>
    <row r="966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51"/>
      <c r="S966" s="51"/>
      <c r="T966" s="51"/>
      <c r="U966" s="51"/>
      <c r="V966" s="51"/>
      <c r="W966" s="51"/>
      <c r="X966" s="51"/>
      <c r="Y966" s="45"/>
      <c r="Z966" s="45"/>
      <c r="AA966" s="45"/>
      <c r="AB966" s="45"/>
      <c r="AC966" s="45"/>
      <c r="AD966" s="45"/>
      <c r="AE966" s="45"/>
      <c r="AF966" s="45"/>
      <c r="AG966" s="45"/>
      <c r="AH966" s="45"/>
      <c r="AI966" s="45"/>
      <c r="AJ966" s="45"/>
      <c r="AK966" s="45"/>
      <c r="AL966" s="45"/>
      <c r="AM966" s="45"/>
      <c r="AN966" s="45"/>
      <c r="AO966" s="45"/>
      <c r="AP966" s="45"/>
      <c r="AQ966" s="36"/>
      <c r="AR966" s="36"/>
      <c r="AS966" s="36"/>
      <c r="AT966" s="36"/>
      <c r="AU966" s="36"/>
      <c r="AV966" s="36"/>
      <c r="AW966" s="36"/>
      <c r="AX966" s="36"/>
      <c r="AY966" s="36"/>
      <c r="AZ966" s="36"/>
      <c r="BA966" s="36"/>
      <c r="BB966" s="36"/>
      <c r="BC966" s="36"/>
      <c r="BD966" s="36"/>
      <c r="BE966" s="36"/>
      <c r="BF966" s="36"/>
      <c r="BG966" s="36"/>
      <c r="BH966" s="36"/>
      <c r="BI966" s="36"/>
      <c r="BJ966" s="36"/>
      <c r="BK966" s="36"/>
      <c r="BL966" s="36"/>
      <c r="BM966" s="36"/>
      <c r="BN966" s="36"/>
      <c r="BO966" s="36"/>
      <c r="BP966" s="36"/>
      <c r="BQ966" s="36"/>
    </row>
    <row r="967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51"/>
      <c r="S967" s="51"/>
      <c r="T967" s="51"/>
      <c r="U967" s="51"/>
      <c r="V967" s="51"/>
      <c r="W967" s="51"/>
      <c r="X967" s="51"/>
      <c r="Y967" s="45"/>
      <c r="Z967" s="45"/>
      <c r="AA967" s="45"/>
      <c r="AB967" s="45"/>
      <c r="AC967" s="45"/>
      <c r="AD967" s="45"/>
      <c r="AE967" s="45"/>
      <c r="AF967" s="45"/>
      <c r="AG967" s="45"/>
      <c r="AH967" s="45"/>
      <c r="AI967" s="45"/>
      <c r="AJ967" s="45"/>
      <c r="AK967" s="45"/>
      <c r="AL967" s="45"/>
      <c r="AM967" s="45"/>
      <c r="AN967" s="45"/>
      <c r="AO967" s="45"/>
      <c r="AP967" s="45"/>
      <c r="AQ967" s="36"/>
      <c r="AR967" s="36"/>
      <c r="AS967" s="36"/>
      <c r="AT967" s="36"/>
      <c r="AU967" s="36"/>
      <c r="AV967" s="36"/>
      <c r="AW967" s="36"/>
      <c r="AX967" s="36"/>
      <c r="AY967" s="36"/>
      <c r="AZ967" s="36"/>
      <c r="BA967" s="36"/>
      <c r="BB967" s="36"/>
      <c r="BC967" s="36"/>
      <c r="BD967" s="36"/>
      <c r="BE967" s="36"/>
      <c r="BF967" s="36"/>
      <c r="BG967" s="36"/>
      <c r="BH967" s="36"/>
      <c r="BI967" s="36"/>
      <c r="BJ967" s="36"/>
      <c r="BK967" s="36"/>
      <c r="BL967" s="36"/>
      <c r="BM967" s="36"/>
      <c r="BN967" s="36"/>
      <c r="BO967" s="36"/>
      <c r="BP967" s="36"/>
      <c r="BQ967" s="36"/>
    </row>
    <row r="968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51"/>
      <c r="S968" s="51"/>
      <c r="T968" s="51"/>
      <c r="U968" s="51"/>
      <c r="V968" s="51"/>
      <c r="W968" s="51"/>
      <c r="X968" s="51"/>
      <c r="Y968" s="45"/>
      <c r="Z968" s="45"/>
      <c r="AA968" s="45"/>
      <c r="AB968" s="45"/>
      <c r="AC968" s="45"/>
      <c r="AD968" s="45"/>
      <c r="AE968" s="45"/>
      <c r="AF968" s="45"/>
      <c r="AG968" s="45"/>
      <c r="AH968" s="45"/>
      <c r="AI968" s="45"/>
      <c r="AJ968" s="45"/>
      <c r="AK968" s="45"/>
      <c r="AL968" s="45"/>
      <c r="AM968" s="45"/>
      <c r="AN968" s="45"/>
      <c r="AO968" s="45"/>
      <c r="AP968" s="45"/>
      <c r="AQ968" s="36"/>
      <c r="AR968" s="36"/>
      <c r="AS968" s="36"/>
      <c r="AT968" s="36"/>
      <c r="AU968" s="36"/>
      <c r="AV968" s="36"/>
      <c r="AW968" s="36"/>
      <c r="AX968" s="36"/>
      <c r="AY968" s="36"/>
      <c r="AZ968" s="36"/>
      <c r="BA968" s="36"/>
      <c r="BB968" s="36"/>
      <c r="BC968" s="36"/>
      <c r="BD968" s="36"/>
      <c r="BE968" s="36"/>
      <c r="BF968" s="36"/>
      <c r="BG968" s="36"/>
      <c r="BH968" s="36"/>
      <c r="BI968" s="36"/>
      <c r="BJ968" s="36"/>
      <c r="BK968" s="36"/>
      <c r="BL968" s="36"/>
      <c r="BM968" s="36"/>
      <c r="BN968" s="36"/>
      <c r="BO968" s="36"/>
      <c r="BP968" s="36"/>
      <c r="BQ968" s="36"/>
    </row>
    <row r="969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51"/>
      <c r="S969" s="51"/>
      <c r="T969" s="51"/>
      <c r="U969" s="51"/>
      <c r="V969" s="51"/>
      <c r="W969" s="51"/>
      <c r="X969" s="51"/>
      <c r="Y969" s="45"/>
      <c r="Z969" s="45"/>
      <c r="AA969" s="45"/>
      <c r="AB969" s="45"/>
      <c r="AC969" s="45"/>
      <c r="AD969" s="45"/>
      <c r="AE969" s="45"/>
      <c r="AF969" s="45"/>
      <c r="AG969" s="45"/>
      <c r="AH969" s="45"/>
      <c r="AI969" s="45"/>
      <c r="AJ969" s="45"/>
      <c r="AK969" s="45"/>
      <c r="AL969" s="45"/>
      <c r="AM969" s="45"/>
      <c r="AN969" s="45"/>
      <c r="AO969" s="45"/>
      <c r="AP969" s="45"/>
      <c r="AQ969" s="36"/>
      <c r="AR969" s="36"/>
      <c r="AS969" s="36"/>
      <c r="AT969" s="36"/>
      <c r="AU969" s="36"/>
      <c r="AV969" s="36"/>
      <c r="AW969" s="36"/>
      <c r="AX969" s="36"/>
      <c r="AY969" s="36"/>
      <c r="AZ969" s="36"/>
      <c r="BA969" s="36"/>
      <c r="BB969" s="36"/>
      <c r="BC969" s="36"/>
      <c r="BD969" s="36"/>
      <c r="BE969" s="36"/>
      <c r="BF969" s="36"/>
      <c r="BG969" s="36"/>
      <c r="BH969" s="36"/>
      <c r="BI969" s="36"/>
      <c r="BJ969" s="36"/>
      <c r="BK969" s="36"/>
      <c r="BL969" s="36"/>
      <c r="BM969" s="36"/>
      <c r="BN969" s="36"/>
      <c r="BO969" s="36"/>
      <c r="BP969" s="36"/>
      <c r="BQ969" s="36"/>
    </row>
    <row r="970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51"/>
      <c r="S970" s="51"/>
      <c r="T970" s="51"/>
      <c r="U970" s="51"/>
      <c r="V970" s="51"/>
      <c r="W970" s="51"/>
      <c r="X970" s="51"/>
      <c r="Y970" s="45"/>
      <c r="Z970" s="45"/>
      <c r="AA970" s="45"/>
      <c r="AB970" s="45"/>
      <c r="AC970" s="45"/>
      <c r="AD970" s="45"/>
      <c r="AE970" s="45"/>
      <c r="AF970" s="45"/>
      <c r="AG970" s="45"/>
      <c r="AH970" s="45"/>
      <c r="AI970" s="45"/>
      <c r="AJ970" s="45"/>
      <c r="AK970" s="45"/>
      <c r="AL970" s="45"/>
      <c r="AM970" s="45"/>
      <c r="AN970" s="45"/>
      <c r="AO970" s="45"/>
      <c r="AP970" s="45"/>
      <c r="AQ970" s="36"/>
      <c r="AR970" s="36"/>
      <c r="AS970" s="36"/>
      <c r="AT970" s="36"/>
      <c r="AU970" s="36"/>
      <c r="AV970" s="36"/>
      <c r="AW970" s="36"/>
      <c r="AX970" s="36"/>
      <c r="AY970" s="36"/>
      <c r="AZ970" s="36"/>
      <c r="BA970" s="36"/>
      <c r="BB970" s="36"/>
      <c r="BC970" s="36"/>
      <c r="BD970" s="36"/>
      <c r="BE970" s="36"/>
      <c r="BF970" s="36"/>
      <c r="BG970" s="36"/>
      <c r="BH970" s="36"/>
      <c r="BI970" s="36"/>
      <c r="BJ970" s="36"/>
      <c r="BK970" s="36"/>
      <c r="BL970" s="36"/>
      <c r="BM970" s="36"/>
      <c r="BN970" s="36"/>
      <c r="BO970" s="36"/>
      <c r="BP970" s="36"/>
      <c r="BQ970" s="36"/>
    </row>
    <row r="97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51"/>
      <c r="S971" s="51"/>
      <c r="T971" s="51"/>
      <c r="U971" s="51"/>
      <c r="V971" s="51"/>
      <c r="W971" s="51"/>
      <c r="X971" s="51"/>
      <c r="Y971" s="45"/>
      <c r="Z971" s="45"/>
      <c r="AA971" s="45"/>
      <c r="AB971" s="45"/>
      <c r="AC971" s="45"/>
      <c r="AD971" s="45"/>
      <c r="AE971" s="45"/>
      <c r="AF971" s="45"/>
      <c r="AG971" s="45"/>
      <c r="AH971" s="45"/>
      <c r="AI971" s="45"/>
      <c r="AJ971" s="45"/>
      <c r="AK971" s="45"/>
      <c r="AL971" s="45"/>
      <c r="AM971" s="45"/>
      <c r="AN971" s="45"/>
      <c r="AO971" s="45"/>
      <c r="AP971" s="45"/>
      <c r="AQ971" s="36"/>
      <c r="AR971" s="36"/>
      <c r="AS971" s="36"/>
      <c r="AT971" s="36"/>
      <c r="AU971" s="36"/>
      <c r="AV971" s="36"/>
      <c r="AW971" s="36"/>
      <c r="AX971" s="36"/>
      <c r="AY971" s="36"/>
      <c r="AZ971" s="36"/>
      <c r="BA971" s="36"/>
      <c r="BB971" s="36"/>
      <c r="BC971" s="36"/>
      <c r="BD971" s="36"/>
      <c r="BE971" s="36"/>
      <c r="BF971" s="36"/>
      <c r="BG971" s="36"/>
      <c r="BH971" s="36"/>
      <c r="BI971" s="36"/>
      <c r="BJ971" s="36"/>
      <c r="BK971" s="36"/>
      <c r="BL971" s="36"/>
      <c r="BM971" s="36"/>
      <c r="BN971" s="36"/>
      <c r="BO971" s="36"/>
      <c r="BP971" s="36"/>
      <c r="BQ971" s="36"/>
    </row>
    <row r="972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51"/>
      <c r="S972" s="51"/>
      <c r="T972" s="51"/>
      <c r="U972" s="51"/>
      <c r="V972" s="51"/>
      <c r="W972" s="51"/>
      <c r="X972" s="51"/>
      <c r="Y972" s="45"/>
      <c r="Z972" s="45"/>
      <c r="AA972" s="45"/>
      <c r="AB972" s="45"/>
      <c r="AC972" s="45"/>
      <c r="AD972" s="45"/>
      <c r="AE972" s="45"/>
      <c r="AF972" s="45"/>
      <c r="AG972" s="45"/>
      <c r="AH972" s="45"/>
      <c r="AI972" s="45"/>
      <c r="AJ972" s="45"/>
      <c r="AK972" s="45"/>
      <c r="AL972" s="45"/>
      <c r="AM972" s="45"/>
      <c r="AN972" s="45"/>
      <c r="AO972" s="45"/>
      <c r="AP972" s="45"/>
      <c r="AQ972" s="36"/>
      <c r="AR972" s="36"/>
      <c r="AS972" s="36"/>
      <c r="AT972" s="36"/>
      <c r="AU972" s="36"/>
      <c r="AV972" s="36"/>
      <c r="AW972" s="36"/>
      <c r="AX972" s="36"/>
      <c r="AY972" s="36"/>
      <c r="AZ972" s="36"/>
      <c r="BA972" s="36"/>
      <c r="BB972" s="36"/>
      <c r="BC972" s="36"/>
      <c r="BD972" s="36"/>
      <c r="BE972" s="36"/>
      <c r="BF972" s="36"/>
      <c r="BG972" s="36"/>
      <c r="BH972" s="36"/>
      <c r="BI972" s="36"/>
      <c r="BJ972" s="36"/>
      <c r="BK972" s="36"/>
      <c r="BL972" s="36"/>
      <c r="BM972" s="36"/>
      <c r="BN972" s="36"/>
      <c r="BO972" s="36"/>
      <c r="BP972" s="36"/>
      <c r="BQ972" s="36"/>
    </row>
    <row r="973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51"/>
      <c r="S973" s="51"/>
      <c r="T973" s="51"/>
      <c r="U973" s="51"/>
      <c r="V973" s="51"/>
      <c r="W973" s="51"/>
      <c r="X973" s="51"/>
      <c r="Y973" s="45"/>
      <c r="Z973" s="45"/>
      <c r="AA973" s="45"/>
      <c r="AB973" s="45"/>
      <c r="AC973" s="45"/>
      <c r="AD973" s="45"/>
      <c r="AE973" s="45"/>
      <c r="AF973" s="45"/>
      <c r="AG973" s="45"/>
      <c r="AH973" s="45"/>
      <c r="AI973" s="45"/>
      <c r="AJ973" s="45"/>
      <c r="AK973" s="45"/>
      <c r="AL973" s="45"/>
      <c r="AM973" s="45"/>
      <c r="AN973" s="45"/>
      <c r="AO973" s="45"/>
      <c r="AP973" s="45"/>
      <c r="AQ973" s="36"/>
      <c r="AR973" s="36"/>
      <c r="AS973" s="36"/>
      <c r="AT973" s="36"/>
      <c r="AU973" s="36"/>
      <c r="AV973" s="36"/>
      <c r="AW973" s="36"/>
      <c r="AX973" s="36"/>
      <c r="AY973" s="36"/>
      <c r="AZ973" s="36"/>
      <c r="BA973" s="36"/>
      <c r="BB973" s="36"/>
      <c r="BC973" s="36"/>
      <c r="BD973" s="36"/>
      <c r="BE973" s="36"/>
      <c r="BF973" s="36"/>
      <c r="BG973" s="36"/>
      <c r="BH973" s="36"/>
      <c r="BI973" s="36"/>
      <c r="BJ973" s="36"/>
      <c r="BK973" s="36"/>
      <c r="BL973" s="36"/>
      <c r="BM973" s="36"/>
      <c r="BN973" s="36"/>
      <c r="BO973" s="36"/>
      <c r="BP973" s="36"/>
      <c r="BQ973" s="36"/>
    </row>
    <row r="974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51"/>
      <c r="S974" s="51"/>
      <c r="T974" s="51"/>
      <c r="U974" s="51"/>
      <c r="V974" s="51"/>
      <c r="W974" s="51"/>
      <c r="X974" s="51"/>
      <c r="Y974" s="45"/>
      <c r="Z974" s="45"/>
      <c r="AA974" s="45"/>
      <c r="AB974" s="45"/>
      <c r="AC974" s="45"/>
      <c r="AD974" s="45"/>
      <c r="AE974" s="45"/>
      <c r="AF974" s="45"/>
      <c r="AG974" s="45"/>
      <c r="AH974" s="45"/>
      <c r="AI974" s="45"/>
      <c r="AJ974" s="45"/>
      <c r="AK974" s="45"/>
      <c r="AL974" s="45"/>
      <c r="AM974" s="45"/>
      <c r="AN974" s="45"/>
      <c r="AO974" s="45"/>
      <c r="AP974" s="45"/>
      <c r="AQ974" s="36"/>
      <c r="AR974" s="36"/>
      <c r="AS974" s="36"/>
      <c r="AT974" s="36"/>
      <c r="AU974" s="36"/>
      <c r="AV974" s="36"/>
      <c r="AW974" s="36"/>
      <c r="AX974" s="36"/>
      <c r="AY974" s="36"/>
      <c r="AZ974" s="36"/>
      <c r="BA974" s="36"/>
      <c r="BB974" s="36"/>
      <c r="BC974" s="36"/>
      <c r="BD974" s="36"/>
      <c r="BE974" s="36"/>
      <c r="BF974" s="36"/>
      <c r="BG974" s="36"/>
      <c r="BH974" s="36"/>
      <c r="BI974" s="36"/>
      <c r="BJ974" s="36"/>
      <c r="BK974" s="36"/>
      <c r="BL974" s="36"/>
      <c r="BM974" s="36"/>
      <c r="BN974" s="36"/>
      <c r="BO974" s="36"/>
      <c r="BP974" s="36"/>
      <c r="BQ974" s="36"/>
    </row>
    <row r="97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51"/>
      <c r="S975" s="51"/>
      <c r="T975" s="51"/>
      <c r="U975" s="51"/>
      <c r="V975" s="51"/>
      <c r="W975" s="51"/>
      <c r="X975" s="51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5"/>
      <c r="AM975" s="45"/>
      <c r="AN975" s="45"/>
      <c r="AO975" s="45"/>
      <c r="AP975" s="45"/>
      <c r="AQ975" s="36"/>
      <c r="AR975" s="36"/>
      <c r="AS975" s="36"/>
      <c r="AT975" s="36"/>
      <c r="AU975" s="36"/>
      <c r="AV975" s="36"/>
      <c r="AW975" s="36"/>
      <c r="AX975" s="36"/>
      <c r="AY975" s="36"/>
      <c r="AZ975" s="36"/>
      <c r="BA975" s="36"/>
      <c r="BB975" s="36"/>
      <c r="BC975" s="36"/>
      <c r="BD975" s="36"/>
      <c r="BE975" s="36"/>
      <c r="BF975" s="36"/>
      <c r="BG975" s="36"/>
      <c r="BH975" s="36"/>
      <c r="BI975" s="36"/>
      <c r="BJ975" s="36"/>
      <c r="BK975" s="36"/>
      <c r="BL975" s="36"/>
      <c r="BM975" s="36"/>
      <c r="BN975" s="36"/>
      <c r="BO975" s="36"/>
      <c r="BP975" s="36"/>
      <c r="BQ975" s="36"/>
    </row>
    <row r="976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51"/>
      <c r="S976" s="51"/>
      <c r="T976" s="51"/>
      <c r="U976" s="51"/>
      <c r="V976" s="51"/>
      <c r="W976" s="51"/>
      <c r="X976" s="51"/>
      <c r="Y976" s="45"/>
      <c r="Z976" s="45"/>
      <c r="AA976" s="45"/>
      <c r="AB976" s="45"/>
      <c r="AC976" s="45"/>
      <c r="AD976" s="45"/>
      <c r="AE976" s="45"/>
      <c r="AF976" s="45"/>
      <c r="AG976" s="45"/>
      <c r="AH976" s="45"/>
      <c r="AI976" s="45"/>
      <c r="AJ976" s="45"/>
      <c r="AK976" s="45"/>
      <c r="AL976" s="45"/>
      <c r="AM976" s="45"/>
      <c r="AN976" s="45"/>
      <c r="AO976" s="45"/>
      <c r="AP976" s="45"/>
      <c r="AQ976" s="36"/>
      <c r="AR976" s="36"/>
      <c r="AS976" s="36"/>
      <c r="AT976" s="36"/>
      <c r="AU976" s="36"/>
      <c r="AV976" s="36"/>
      <c r="AW976" s="36"/>
      <c r="AX976" s="36"/>
      <c r="AY976" s="36"/>
      <c r="AZ976" s="36"/>
      <c r="BA976" s="36"/>
      <c r="BB976" s="36"/>
      <c r="BC976" s="36"/>
      <c r="BD976" s="36"/>
      <c r="BE976" s="36"/>
      <c r="BF976" s="36"/>
      <c r="BG976" s="36"/>
      <c r="BH976" s="36"/>
      <c r="BI976" s="36"/>
      <c r="BJ976" s="36"/>
      <c r="BK976" s="36"/>
      <c r="BL976" s="36"/>
      <c r="BM976" s="36"/>
      <c r="BN976" s="36"/>
      <c r="BO976" s="36"/>
      <c r="BP976" s="36"/>
      <c r="BQ976" s="36"/>
    </row>
    <row r="977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51"/>
      <c r="S977" s="51"/>
      <c r="T977" s="51"/>
      <c r="U977" s="51"/>
      <c r="V977" s="51"/>
      <c r="W977" s="51"/>
      <c r="X977" s="51"/>
      <c r="Y977" s="45"/>
      <c r="Z977" s="45"/>
      <c r="AA977" s="45"/>
      <c r="AB977" s="45"/>
      <c r="AC977" s="45"/>
      <c r="AD977" s="45"/>
      <c r="AE977" s="45"/>
      <c r="AF977" s="45"/>
      <c r="AG977" s="45"/>
      <c r="AH977" s="45"/>
      <c r="AI977" s="45"/>
      <c r="AJ977" s="45"/>
      <c r="AK977" s="45"/>
      <c r="AL977" s="45"/>
      <c r="AM977" s="45"/>
      <c r="AN977" s="45"/>
      <c r="AO977" s="45"/>
      <c r="AP977" s="45"/>
      <c r="AQ977" s="36"/>
      <c r="AR977" s="36"/>
      <c r="AS977" s="36"/>
      <c r="AT977" s="36"/>
      <c r="AU977" s="36"/>
      <c r="AV977" s="36"/>
      <c r="AW977" s="36"/>
      <c r="AX977" s="36"/>
      <c r="AY977" s="36"/>
      <c r="AZ977" s="36"/>
      <c r="BA977" s="36"/>
      <c r="BB977" s="36"/>
      <c r="BC977" s="36"/>
      <c r="BD977" s="36"/>
      <c r="BE977" s="36"/>
      <c r="BF977" s="36"/>
      <c r="BG977" s="36"/>
      <c r="BH977" s="36"/>
      <c r="BI977" s="36"/>
      <c r="BJ977" s="36"/>
      <c r="BK977" s="36"/>
      <c r="BL977" s="36"/>
      <c r="BM977" s="36"/>
      <c r="BN977" s="36"/>
      <c r="BO977" s="36"/>
      <c r="BP977" s="36"/>
      <c r="BQ977" s="36"/>
    </row>
    <row r="978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51"/>
      <c r="S978" s="51"/>
      <c r="T978" s="51"/>
      <c r="U978" s="51"/>
      <c r="V978" s="51"/>
      <c r="W978" s="51"/>
      <c r="X978" s="51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5"/>
      <c r="AM978" s="45"/>
      <c r="AN978" s="45"/>
      <c r="AO978" s="45"/>
      <c r="AP978" s="45"/>
      <c r="AQ978" s="36"/>
      <c r="AR978" s="36"/>
      <c r="AS978" s="36"/>
      <c r="AT978" s="36"/>
      <c r="AU978" s="36"/>
      <c r="AV978" s="36"/>
      <c r="AW978" s="36"/>
      <c r="AX978" s="36"/>
      <c r="AY978" s="36"/>
      <c r="AZ978" s="36"/>
      <c r="BA978" s="36"/>
      <c r="BB978" s="36"/>
      <c r="BC978" s="36"/>
      <c r="BD978" s="36"/>
      <c r="BE978" s="36"/>
      <c r="BF978" s="36"/>
      <c r="BG978" s="36"/>
      <c r="BH978" s="36"/>
      <c r="BI978" s="36"/>
      <c r="BJ978" s="36"/>
      <c r="BK978" s="36"/>
      <c r="BL978" s="36"/>
      <c r="BM978" s="36"/>
      <c r="BN978" s="36"/>
      <c r="BO978" s="36"/>
      <c r="BP978" s="36"/>
      <c r="BQ978" s="36"/>
    </row>
    <row r="979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51"/>
      <c r="S979" s="51"/>
      <c r="T979" s="51"/>
      <c r="U979" s="51"/>
      <c r="V979" s="51"/>
      <c r="W979" s="51"/>
      <c r="X979" s="51"/>
      <c r="Y979" s="45"/>
      <c r="Z979" s="45"/>
      <c r="AA979" s="45"/>
      <c r="AB979" s="45"/>
      <c r="AC979" s="45"/>
      <c r="AD979" s="45"/>
      <c r="AE979" s="45"/>
      <c r="AF979" s="45"/>
      <c r="AG979" s="45"/>
      <c r="AH979" s="45"/>
      <c r="AI979" s="45"/>
      <c r="AJ979" s="45"/>
      <c r="AK979" s="45"/>
      <c r="AL979" s="45"/>
      <c r="AM979" s="45"/>
      <c r="AN979" s="45"/>
      <c r="AO979" s="45"/>
      <c r="AP979" s="45"/>
      <c r="AQ979" s="36"/>
      <c r="AR979" s="36"/>
      <c r="AS979" s="36"/>
      <c r="AT979" s="36"/>
      <c r="AU979" s="36"/>
      <c r="AV979" s="36"/>
      <c r="AW979" s="36"/>
      <c r="AX979" s="36"/>
      <c r="AY979" s="36"/>
      <c r="AZ979" s="36"/>
      <c r="BA979" s="36"/>
      <c r="BB979" s="36"/>
      <c r="BC979" s="36"/>
      <c r="BD979" s="36"/>
      <c r="BE979" s="36"/>
      <c r="BF979" s="36"/>
      <c r="BG979" s="36"/>
      <c r="BH979" s="36"/>
      <c r="BI979" s="36"/>
      <c r="BJ979" s="36"/>
      <c r="BK979" s="36"/>
      <c r="BL979" s="36"/>
      <c r="BM979" s="36"/>
      <c r="BN979" s="36"/>
      <c r="BO979" s="36"/>
      <c r="BP979" s="36"/>
      <c r="BQ979" s="36"/>
    </row>
    <row r="980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51"/>
      <c r="S980" s="51"/>
      <c r="T980" s="51"/>
      <c r="U980" s="51"/>
      <c r="V980" s="51"/>
      <c r="W980" s="51"/>
      <c r="X980" s="51"/>
      <c r="Y980" s="45"/>
      <c r="Z980" s="45"/>
      <c r="AA980" s="45"/>
      <c r="AB980" s="45"/>
      <c r="AC980" s="45"/>
      <c r="AD980" s="45"/>
      <c r="AE980" s="45"/>
      <c r="AF980" s="45"/>
      <c r="AG980" s="45"/>
      <c r="AH980" s="45"/>
      <c r="AI980" s="45"/>
      <c r="AJ980" s="45"/>
      <c r="AK980" s="45"/>
      <c r="AL980" s="45"/>
      <c r="AM980" s="45"/>
      <c r="AN980" s="45"/>
      <c r="AO980" s="45"/>
      <c r="AP980" s="45"/>
      <c r="AQ980" s="36"/>
      <c r="AR980" s="36"/>
      <c r="AS980" s="36"/>
      <c r="AT980" s="36"/>
      <c r="AU980" s="36"/>
      <c r="AV980" s="36"/>
      <c r="AW980" s="36"/>
      <c r="AX980" s="36"/>
      <c r="AY980" s="36"/>
      <c r="AZ980" s="36"/>
      <c r="BA980" s="36"/>
      <c r="BB980" s="36"/>
      <c r="BC980" s="36"/>
      <c r="BD980" s="36"/>
      <c r="BE980" s="36"/>
      <c r="BF980" s="36"/>
      <c r="BG980" s="36"/>
      <c r="BH980" s="36"/>
      <c r="BI980" s="36"/>
      <c r="BJ980" s="36"/>
      <c r="BK980" s="36"/>
      <c r="BL980" s="36"/>
      <c r="BM980" s="36"/>
      <c r="BN980" s="36"/>
      <c r="BO980" s="36"/>
      <c r="BP980" s="36"/>
      <c r="BQ980" s="36"/>
    </row>
    <row r="98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51"/>
      <c r="S981" s="51"/>
      <c r="T981" s="51"/>
      <c r="U981" s="51"/>
      <c r="V981" s="51"/>
      <c r="W981" s="51"/>
      <c r="X981" s="51"/>
      <c r="Y981" s="45"/>
      <c r="Z981" s="45"/>
      <c r="AA981" s="45"/>
      <c r="AB981" s="45"/>
      <c r="AC981" s="45"/>
      <c r="AD981" s="45"/>
      <c r="AE981" s="45"/>
      <c r="AF981" s="45"/>
      <c r="AG981" s="45"/>
      <c r="AH981" s="45"/>
      <c r="AI981" s="45"/>
      <c r="AJ981" s="45"/>
      <c r="AK981" s="45"/>
      <c r="AL981" s="45"/>
      <c r="AM981" s="45"/>
      <c r="AN981" s="45"/>
      <c r="AO981" s="45"/>
      <c r="AP981" s="45"/>
      <c r="AQ981" s="36"/>
      <c r="AR981" s="36"/>
      <c r="AS981" s="36"/>
      <c r="AT981" s="36"/>
      <c r="AU981" s="36"/>
      <c r="AV981" s="36"/>
      <c r="AW981" s="36"/>
      <c r="AX981" s="36"/>
      <c r="AY981" s="36"/>
      <c r="AZ981" s="36"/>
      <c r="BA981" s="36"/>
      <c r="BB981" s="36"/>
      <c r="BC981" s="36"/>
      <c r="BD981" s="36"/>
      <c r="BE981" s="36"/>
      <c r="BF981" s="36"/>
      <c r="BG981" s="36"/>
      <c r="BH981" s="36"/>
      <c r="BI981" s="36"/>
      <c r="BJ981" s="36"/>
      <c r="BK981" s="36"/>
      <c r="BL981" s="36"/>
      <c r="BM981" s="36"/>
      <c r="BN981" s="36"/>
      <c r="BO981" s="36"/>
      <c r="BP981" s="36"/>
      <c r="BQ981" s="36"/>
    </row>
    <row r="982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51"/>
      <c r="S982" s="51"/>
      <c r="T982" s="51"/>
      <c r="U982" s="51"/>
      <c r="V982" s="51"/>
      <c r="W982" s="51"/>
      <c r="X982" s="51"/>
      <c r="Y982" s="45"/>
      <c r="Z982" s="45"/>
      <c r="AA982" s="45"/>
      <c r="AB982" s="45"/>
      <c r="AC982" s="45"/>
      <c r="AD982" s="45"/>
      <c r="AE982" s="45"/>
      <c r="AF982" s="45"/>
      <c r="AG982" s="45"/>
      <c r="AH982" s="45"/>
      <c r="AI982" s="45"/>
      <c r="AJ982" s="45"/>
      <c r="AK982" s="45"/>
      <c r="AL982" s="45"/>
      <c r="AM982" s="45"/>
      <c r="AN982" s="45"/>
      <c r="AO982" s="45"/>
      <c r="AP982" s="45"/>
      <c r="AQ982" s="36"/>
      <c r="AR982" s="36"/>
      <c r="AS982" s="36"/>
      <c r="AT982" s="36"/>
      <c r="AU982" s="36"/>
      <c r="AV982" s="36"/>
      <c r="AW982" s="36"/>
      <c r="AX982" s="36"/>
      <c r="AY982" s="36"/>
      <c r="AZ982" s="36"/>
      <c r="BA982" s="36"/>
      <c r="BB982" s="36"/>
      <c r="BC982" s="36"/>
      <c r="BD982" s="36"/>
      <c r="BE982" s="36"/>
      <c r="BF982" s="36"/>
      <c r="BG982" s="36"/>
      <c r="BH982" s="36"/>
      <c r="BI982" s="36"/>
      <c r="BJ982" s="36"/>
      <c r="BK982" s="36"/>
      <c r="BL982" s="36"/>
      <c r="BM982" s="36"/>
      <c r="BN982" s="36"/>
      <c r="BO982" s="36"/>
      <c r="BP982" s="36"/>
      <c r="BQ982" s="36"/>
    </row>
    <row r="983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51"/>
      <c r="S983" s="51"/>
      <c r="T983" s="51"/>
      <c r="U983" s="51"/>
      <c r="V983" s="51"/>
      <c r="W983" s="51"/>
      <c r="X983" s="51"/>
      <c r="Y983" s="45"/>
      <c r="Z983" s="45"/>
      <c r="AA983" s="45"/>
      <c r="AB983" s="45"/>
      <c r="AC983" s="45"/>
      <c r="AD983" s="45"/>
      <c r="AE983" s="45"/>
      <c r="AF983" s="45"/>
      <c r="AG983" s="45"/>
      <c r="AH983" s="45"/>
      <c r="AI983" s="45"/>
      <c r="AJ983" s="45"/>
      <c r="AK983" s="45"/>
      <c r="AL983" s="45"/>
      <c r="AM983" s="45"/>
      <c r="AN983" s="45"/>
      <c r="AO983" s="45"/>
      <c r="AP983" s="45"/>
      <c r="AQ983" s="36"/>
      <c r="AR983" s="36"/>
      <c r="AS983" s="36"/>
      <c r="AT983" s="36"/>
      <c r="AU983" s="36"/>
      <c r="AV983" s="36"/>
      <c r="AW983" s="36"/>
      <c r="AX983" s="36"/>
      <c r="AY983" s="36"/>
      <c r="AZ983" s="36"/>
      <c r="BA983" s="36"/>
      <c r="BB983" s="36"/>
      <c r="BC983" s="36"/>
      <c r="BD983" s="36"/>
      <c r="BE983" s="36"/>
      <c r="BF983" s="36"/>
      <c r="BG983" s="36"/>
      <c r="BH983" s="36"/>
      <c r="BI983" s="36"/>
      <c r="BJ983" s="36"/>
      <c r="BK983" s="36"/>
      <c r="BL983" s="36"/>
      <c r="BM983" s="36"/>
      <c r="BN983" s="36"/>
      <c r="BO983" s="36"/>
      <c r="BP983" s="36"/>
      <c r="BQ983" s="36"/>
    </row>
    <row r="984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51"/>
      <c r="S984" s="51"/>
      <c r="T984" s="51"/>
      <c r="U984" s="51"/>
      <c r="V984" s="51"/>
      <c r="W984" s="51"/>
      <c r="X984" s="51"/>
      <c r="Y984" s="45"/>
      <c r="Z984" s="45"/>
      <c r="AA984" s="45"/>
      <c r="AB984" s="45"/>
      <c r="AC984" s="45"/>
      <c r="AD984" s="45"/>
      <c r="AE984" s="45"/>
      <c r="AF984" s="45"/>
      <c r="AG984" s="45"/>
      <c r="AH984" s="45"/>
      <c r="AI984" s="45"/>
      <c r="AJ984" s="45"/>
      <c r="AK984" s="45"/>
      <c r="AL984" s="45"/>
      <c r="AM984" s="45"/>
      <c r="AN984" s="45"/>
      <c r="AO984" s="45"/>
      <c r="AP984" s="45"/>
      <c r="AQ984" s="36"/>
      <c r="AR984" s="36"/>
      <c r="AS984" s="36"/>
      <c r="AT984" s="36"/>
      <c r="AU984" s="36"/>
      <c r="AV984" s="36"/>
      <c r="AW984" s="36"/>
      <c r="AX984" s="36"/>
      <c r="AY984" s="36"/>
      <c r="AZ984" s="36"/>
      <c r="BA984" s="36"/>
      <c r="BB984" s="36"/>
      <c r="BC984" s="36"/>
      <c r="BD984" s="36"/>
      <c r="BE984" s="36"/>
      <c r="BF984" s="36"/>
      <c r="BG984" s="36"/>
      <c r="BH984" s="36"/>
      <c r="BI984" s="36"/>
      <c r="BJ984" s="36"/>
      <c r="BK984" s="36"/>
      <c r="BL984" s="36"/>
      <c r="BM984" s="36"/>
      <c r="BN984" s="36"/>
      <c r="BO984" s="36"/>
      <c r="BP984" s="36"/>
      <c r="BQ984" s="36"/>
    </row>
    <row r="985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51"/>
      <c r="S985" s="51"/>
      <c r="T985" s="51"/>
      <c r="U985" s="51"/>
      <c r="V985" s="51"/>
      <c r="W985" s="51"/>
      <c r="X985" s="51"/>
      <c r="Y985" s="45"/>
      <c r="Z985" s="45"/>
      <c r="AA985" s="45"/>
      <c r="AB985" s="45"/>
      <c r="AC985" s="45"/>
      <c r="AD985" s="45"/>
      <c r="AE985" s="45"/>
      <c r="AF985" s="45"/>
      <c r="AG985" s="45"/>
      <c r="AH985" s="45"/>
      <c r="AI985" s="45"/>
      <c r="AJ985" s="45"/>
      <c r="AK985" s="45"/>
      <c r="AL985" s="45"/>
      <c r="AM985" s="45"/>
      <c r="AN985" s="45"/>
      <c r="AO985" s="45"/>
      <c r="AP985" s="45"/>
      <c r="AQ985" s="36"/>
      <c r="AR985" s="36"/>
      <c r="AS985" s="36"/>
      <c r="AT985" s="36"/>
      <c r="AU985" s="36"/>
      <c r="AV985" s="36"/>
      <c r="AW985" s="36"/>
      <c r="AX985" s="36"/>
      <c r="AY985" s="36"/>
      <c r="AZ985" s="36"/>
      <c r="BA985" s="36"/>
      <c r="BB985" s="36"/>
      <c r="BC985" s="36"/>
      <c r="BD985" s="36"/>
      <c r="BE985" s="36"/>
      <c r="BF985" s="36"/>
      <c r="BG985" s="36"/>
      <c r="BH985" s="36"/>
      <c r="BI985" s="36"/>
      <c r="BJ985" s="36"/>
      <c r="BK985" s="36"/>
      <c r="BL985" s="36"/>
      <c r="BM985" s="36"/>
      <c r="BN985" s="36"/>
      <c r="BO985" s="36"/>
      <c r="BP985" s="36"/>
      <c r="BQ985" s="36"/>
    </row>
    <row r="986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51"/>
      <c r="S986" s="51"/>
      <c r="T986" s="51"/>
      <c r="U986" s="51"/>
      <c r="V986" s="51"/>
      <c r="W986" s="51"/>
      <c r="X986" s="51"/>
      <c r="Y986" s="45"/>
      <c r="Z986" s="45"/>
      <c r="AA986" s="45"/>
      <c r="AB986" s="45"/>
      <c r="AC986" s="45"/>
      <c r="AD986" s="45"/>
      <c r="AE986" s="45"/>
      <c r="AF986" s="45"/>
      <c r="AG986" s="45"/>
      <c r="AH986" s="45"/>
      <c r="AI986" s="45"/>
      <c r="AJ986" s="45"/>
      <c r="AK986" s="45"/>
      <c r="AL986" s="45"/>
      <c r="AM986" s="45"/>
      <c r="AN986" s="45"/>
      <c r="AO986" s="45"/>
      <c r="AP986" s="45"/>
      <c r="AQ986" s="36"/>
      <c r="AR986" s="36"/>
      <c r="AS986" s="36"/>
      <c r="AT986" s="36"/>
      <c r="AU986" s="36"/>
      <c r="AV986" s="36"/>
      <c r="AW986" s="36"/>
      <c r="AX986" s="36"/>
      <c r="AY986" s="36"/>
      <c r="AZ986" s="36"/>
      <c r="BA986" s="36"/>
      <c r="BB986" s="36"/>
      <c r="BC986" s="36"/>
      <c r="BD986" s="36"/>
      <c r="BE986" s="36"/>
      <c r="BF986" s="36"/>
      <c r="BG986" s="36"/>
      <c r="BH986" s="36"/>
      <c r="BI986" s="36"/>
      <c r="BJ986" s="36"/>
      <c r="BK986" s="36"/>
      <c r="BL986" s="36"/>
      <c r="BM986" s="36"/>
      <c r="BN986" s="36"/>
      <c r="BO986" s="36"/>
      <c r="BP986" s="36"/>
      <c r="BQ986" s="36"/>
    </row>
    <row r="987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51"/>
      <c r="S987" s="51"/>
      <c r="T987" s="51"/>
      <c r="U987" s="51"/>
      <c r="V987" s="51"/>
      <c r="W987" s="51"/>
      <c r="X987" s="51"/>
      <c r="Y987" s="45"/>
      <c r="Z987" s="45"/>
      <c r="AA987" s="45"/>
      <c r="AB987" s="45"/>
      <c r="AC987" s="45"/>
      <c r="AD987" s="45"/>
      <c r="AE987" s="45"/>
      <c r="AF987" s="45"/>
      <c r="AG987" s="45"/>
      <c r="AH987" s="45"/>
      <c r="AI987" s="45"/>
      <c r="AJ987" s="45"/>
      <c r="AK987" s="45"/>
      <c r="AL987" s="45"/>
      <c r="AM987" s="45"/>
      <c r="AN987" s="45"/>
      <c r="AO987" s="45"/>
      <c r="AP987" s="45"/>
      <c r="AQ987" s="36"/>
      <c r="AR987" s="36"/>
      <c r="AS987" s="36"/>
      <c r="AT987" s="36"/>
      <c r="AU987" s="36"/>
      <c r="AV987" s="36"/>
      <c r="AW987" s="36"/>
      <c r="AX987" s="36"/>
      <c r="AY987" s="36"/>
      <c r="AZ987" s="36"/>
      <c r="BA987" s="36"/>
      <c r="BB987" s="36"/>
      <c r="BC987" s="36"/>
      <c r="BD987" s="36"/>
      <c r="BE987" s="36"/>
      <c r="BF987" s="36"/>
      <c r="BG987" s="36"/>
      <c r="BH987" s="36"/>
      <c r="BI987" s="36"/>
      <c r="BJ987" s="36"/>
      <c r="BK987" s="36"/>
      <c r="BL987" s="36"/>
      <c r="BM987" s="36"/>
      <c r="BN987" s="36"/>
      <c r="BO987" s="36"/>
      <c r="BP987" s="36"/>
      <c r="BQ987" s="36"/>
    </row>
    <row r="988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51"/>
      <c r="S988" s="51"/>
      <c r="T988" s="51"/>
      <c r="U988" s="51"/>
      <c r="V988" s="51"/>
      <c r="W988" s="51"/>
      <c r="X988" s="51"/>
      <c r="Y988" s="45"/>
      <c r="Z988" s="45"/>
      <c r="AA988" s="45"/>
      <c r="AB988" s="45"/>
      <c r="AC988" s="45"/>
      <c r="AD988" s="45"/>
      <c r="AE988" s="45"/>
      <c r="AF988" s="45"/>
      <c r="AG988" s="45"/>
      <c r="AH988" s="45"/>
      <c r="AI988" s="45"/>
      <c r="AJ988" s="45"/>
      <c r="AK988" s="45"/>
      <c r="AL988" s="45"/>
      <c r="AM988" s="45"/>
      <c r="AN988" s="45"/>
      <c r="AO988" s="45"/>
      <c r="AP988" s="45"/>
      <c r="AQ988" s="36"/>
      <c r="AR988" s="36"/>
      <c r="AS988" s="36"/>
      <c r="AT988" s="36"/>
      <c r="AU988" s="36"/>
      <c r="AV988" s="36"/>
      <c r="AW988" s="36"/>
      <c r="AX988" s="36"/>
      <c r="AY988" s="36"/>
      <c r="AZ988" s="36"/>
      <c r="BA988" s="36"/>
      <c r="BB988" s="36"/>
      <c r="BC988" s="36"/>
      <c r="BD988" s="36"/>
      <c r="BE988" s="36"/>
      <c r="BF988" s="36"/>
      <c r="BG988" s="36"/>
      <c r="BH988" s="36"/>
      <c r="BI988" s="36"/>
      <c r="BJ988" s="36"/>
      <c r="BK988" s="36"/>
      <c r="BL988" s="36"/>
      <c r="BM988" s="36"/>
      <c r="BN988" s="36"/>
      <c r="BO988" s="36"/>
      <c r="BP988" s="36"/>
      <c r="BQ988" s="36"/>
    </row>
    <row r="989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51"/>
      <c r="S989" s="51"/>
      <c r="T989" s="51"/>
      <c r="U989" s="51"/>
      <c r="V989" s="51"/>
      <c r="W989" s="51"/>
      <c r="X989" s="51"/>
      <c r="Y989" s="45"/>
      <c r="Z989" s="45"/>
      <c r="AA989" s="45"/>
      <c r="AB989" s="45"/>
      <c r="AC989" s="45"/>
      <c r="AD989" s="45"/>
      <c r="AE989" s="45"/>
      <c r="AF989" s="45"/>
      <c r="AG989" s="45"/>
      <c r="AH989" s="45"/>
      <c r="AI989" s="45"/>
      <c r="AJ989" s="45"/>
      <c r="AK989" s="45"/>
      <c r="AL989" s="45"/>
      <c r="AM989" s="45"/>
      <c r="AN989" s="45"/>
      <c r="AO989" s="45"/>
      <c r="AP989" s="45"/>
      <c r="AQ989" s="36"/>
      <c r="AR989" s="36"/>
      <c r="AS989" s="36"/>
      <c r="AT989" s="36"/>
      <c r="AU989" s="36"/>
      <c r="AV989" s="36"/>
      <c r="AW989" s="36"/>
      <c r="AX989" s="36"/>
      <c r="AY989" s="36"/>
      <c r="AZ989" s="36"/>
      <c r="BA989" s="36"/>
      <c r="BB989" s="36"/>
      <c r="BC989" s="36"/>
      <c r="BD989" s="36"/>
      <c r="BE989" s="36"/>
      <c r="BF989" s="36"/>
      <c r="BG989" s="36"/>
      <c r="BH989" s="36"/>
      <c r="BI989" s="36"/>
      <c r="BJ989" s="36"/>
      <c r="BK989" s="36"/>
      <c r="BL989" s="36"/>
      <c r="BM989" s="36"/>
      <c r="BN989" s="36"/>
      <c r="BO989" s="36"/>
      <c r="BP989" s="36"/>
      <c r="BQ989" s="36"/>
    </row>
    <row r="990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51"/>
      <c r="S990" s="51"/>
      <c r="T990" s="51"/>
      <c r="U990" s="51"/>
      <c r="V990" s="51"/>
      <c r="W990" s="51"/>
      <c r="X990" s="51"/>
      <c r="Y990" s="45"/>
      <c r="Z990" s="45"/>
      <c r="AA990" s="45"/>
      <c r="AB990" s="45"/>
      <c r="AC990" s="45"/>
      <c r="AD990" s="45"/>
      <c r="AE990" s="45"/>
      <c r="AF990" s="45"/>
      <c r="AG990" s="45"/>
      <c r="AH990" s="45"/>
      <c r="AI990" s="45"/>
      <c r="AJ990" s="45"/>
      <c r="AK990" s="45"/>
      <c r="AL990" s="45"/>
      <c r="AM990" s="45"/>
      <c r="AN990" s="45"/>
      <c r="AO990" s="45"/>
      <c r="AP990" s="45"/>
      <c r="AQ990" s="36"/>
      <c r="AR990" s="36"/>
      <c r="AS990" s="36"/>
      <c r="AT990" s="36"/>
      <c r="AU990" s="36"/>
      <c r="AV990" s="36"/>
      <c r="AW990" s="36"/>
      <c r="AX990" s="36"/>
      <c r="AY990" s="36"/>
      <c r="AZ990" s="36"/>
      <c r="BA990" s="36"/>
      <c r="BB990" s="36"/>
      <c r="BC990" s="36"/>
      <c r="BD990" s="36"/>
      <c r="BE990" s="36"/>
      <c r="BF990" s="36"/>
      <c r="BG990" s="36"/>
      <c r="BH990" s="36"/>
      <c r="BI990" s="36"/>
      <c r="BJ990" s="36"/>
      <c r="BK990" s="36"/>
      <c r="BL990" s="36"/>
      <c r="BM990" s="36"/>
      <c r="BN990" s="36"/>
      <c r="BO990" s="36"/>
      <c r="BP990" s="36"/>
      <c r="BQ990" s="36"/>
    </row>
    <row r="99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51"/>
      <c r="S991" s="51"/>
      <c r="T991" s="51"/>
      <c r="U991" s="51"/>
      <c r="V991" s="51"/>
      <c r="W991" s="51"/>
      <c r="X991" s="51"/>
      <c r="Y991" s="45"/>
      <c r="Z991" s="45"/>
      <c r="AA991" s="45"/>
      <c r="AB991" s="45"/>
      <c r="AC991" s="45"/>
      <c r="AD991" s="45"/>
      <c r="AE991" s="45"/>
      <c r="AF991" s="45"/>
      <c r="AG991" s="45"/>
      <c r="AH991" s="45"/>
      <c r="AI991" s="45"/>
      <c r="AJ991" s="45"/>
      <c r="AK991" s="45"/>
      <c r="AL991" s="45"/>
      <c r="AM991" s="45"/>
      <c r="AN991" s="45"/>
      <c r="AO991" s="45"/>
      <c r="AP991" s="45"/>
      <c r="AQ991" s="36"/>
      <c r="AR991" s="36"/>
      <c r="AS991" s="36"/>
      <c r="AT991" s="36"/>
      <c r="AU991" s="36"/>
      <c r="AV991" s="36"/>
      <c r="AW991" s="36"/>
      <c r="AX991" s="36"/>
      <c r="AY991" s="36"/>
      <c r="AZ991" s="36"/>
      <c r="BA991" s="36"/>
      <c r="BB991" s="36"/>
      <c r="BC991" s="36"/>
      <c r="BD991" s="36"/>
      <c r="BE991" s="36"/>
      <c r="BF991" s="36"/>
      <c r="BG991" s="36"/>
      <c r="BH991" s="36"/>
      <c r="BI991" s="36"/>
      <c r="BJ991" s="36"/>
      <c r="BK991" s="36"/>
      <c r="BL991" s="36"/>
      <c r="BM991" s="36"/>
      <c r="BN991" s="36"/>
      <c r="BO991" s="36"/>
      <c r="BP991" s="36"/>
      <c r="BQ991" s="36"/>
    </row>
    <row r="992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51"/>
      <c r="S992" s="51"/>
      <c r="T992" s="51"/>
      <c r="U992" s="51"/>
      <c r="V992" s="51"/>
      <c r="W992" s="51"/>
      <c r="X992" s="51"/>
      <c r="Y992" s="45"/>
      <c r="Z992" s="45"/>
      <c r="AA992" s="45"/>
      <c r="AB992" s="45"/>
      <c r="AC992" s="45"/>
      <c r="AD992" s="45"/>
      <c r="AE992" s="45"/>
      <c r="AF992" s="45"/>
      <c r="AG992" s="45"/>
      <c r="AH992" s="45"/>
      <c r="AI992" s="45"/>
      <c r="AJ992" s="45"/>
      <c r="AK992" s="45"/>
      <c r="AL992" s="45"/>
      <c r="AM992" s="45"/>
      <c r="AN992" s="45"/>
      <c r="AO992" s="45"/>
      <c r="AP992" s="45"/>
      <c r="AQ992" s="36"/>
      <c r="AR992" s="36"/>
      <c r="AS992" s="36"/>
      <c r="AT992" s="36"/>
      <c r="AU992" s="36"/>
      <c r="AV992" s="36"/>
      <c r="AW992" s="36"/>
      <c r="AX992" s="36"/>
      <c r="AY992" s="36"/>
      <c r="AZ992" s="36"/>
      <c r="BA992" s="36"/>
      <c r="BB992" s="36"/>
      <c r="BC992" s="36"/>
      <c r="BD992" s="36"/>
      <c r="BE992" s="36"/>
      <c r="BF992" s="36"/>
      <c r="BG992" s="36"/>
      <c r="BH992" s="36"/>
      <c r="BI992" s="36"/>
      <c r="BJ992" s="36"/>
      <c r="BK992" s="36"/>
      <c r="BL992" s="36"/>
      <c r="BM992" s="36"/>
      <c r="BN992" s="36"/>
      <c r="BO992" s="36"/>
      <c r="BP992" s="36"/>
      <c r="BQ992" s="36"/>
    </row>
    <row r="993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51"/>
      <c r="S993" s="51"/>
      <c r="T993" s="51"/>
      <c r="U993" s="51"/>
      <c r="V993" s="51"/>
      <c r="W993" s="51"/>
      <c r="X993" s="51"/>
      <c r="Y993" s="45"/>
      <c r="Z993" s="45"/>
      <c r="AA993" s="45"/>
      <c r="AB993" s="45"/>
      <c r="AC993" s="45"/>
      <c r="AD993" s="45"/>
      <c r="AE993" s="45"/>
      <c r="AF993" s="45"/>
      <c r="AG993" s="45"/>
      <c r="AH993" s="45"/>
      <c r="AI993" s="45"/>
      <c r="AJ993" s="45"/>
      <c r="AK993" s="45"/>
      <c r="AL993" s="45"/>
      <c r="AM993" s="45"/>
      <c r="AN993" s="45"/>
      <c r="AO993" s="45"/>
      <c r="AP993" s="45"/>
      <c r="AQ993" s="36"/>
      <c r="AR993" s="36"/>
      <c r="AS993" s="36"/>
      <c r="AT993" s="36"/>
      <c r="AU993" s="36"/>
      <c r="AV993" s="36"/>
      <c r="AW993" s="36"/>
      <c r="AX993" s="36"/>
      <c r="AY993" s="36"/>
      <c r="AZ993" s="36"/>
      <c r="BA993" s="36"/>
      <c r="BB993" s="36"/>
      <c r="BC993" s="36"/>
      <c r="BD993" s="36"/>
      <c r="BE993" s="36"/>
      <c r="BF993" s="36"/>
      <c r="BG993" s="36"/>
      <c r="BH993" s="36"/>
      <c r="BI993" s="36"/>
      <c r="BJ993" s="36"/>
      <c r="BK993" s="36"/>
      <c r="BL993" s="36"/>
      <c r="BM993" s="36"/>
      <c r="BN993" s="36"/>
      <c r="BO993" s="36"/>
      <c r="BP993" s="36"/>
      <c r="BQ993" s="36"/>
    </row>
    <row r="994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51"/>
      <c r="S994" s="51"/>
      <c r="T994" s="51"/>
      <c r="U994" s="51"/>
      <c r="V994" s="51"/>
      <c r="W994" s="51"/>
      <c r="X994" s="51"/>
      <c r="Y994" s="45"/>
      <c r="Z994" s="45"/>
      <c r="AA994" s="45"/>
      <c r="AB994" s="45"/>
      <c r="AC994" s="45"/>
      <c r="AD994" s="45"/>
      <c r="AE994" s="45"/>
      <c r="AF994" s="45"/>
      <c r="AG994" s="45"/>
      <c r="AH994" s="45"/>
      <c r="AI994" s="45"/>
      <c r="AJ994" s="45"/>
      <c r="AK994" s="45"/>
      <c r="AL994" s="45"/>
      <c r="AM994" s="45"/>
      <c r="AN994" s="45"/>
      <c r="AO994" s="45"/>
      <c r="AP994" s="45"/>
      <c r="AQ994" s="36"/>
      <c r="AR994" s="36"/>
      <c r="AS994" s="36"/>
      <c r="AT994" s="36"/>
      <c r="AU994" s="36"/>
      <c r="AV994" s="36"/>
      <c r="AW994" s="36"/>
      <c r="AX994" s="36"/>
      <c r="AY994" s="36"/>
      <c r="AZ994" s="36"/>
      <c r="BA994" s="36"/>
      <c r="BB994" s="36"/>
      <c r="BC994" s="36"/>
      <c r="BD994" s="36"/>
      <c r="BE994" s="36"/>
      <c r="BF994" s="36"/>
      <c r="BG994" s="36"/>
      <c r="BH994" s="36"/>
      <c r="BI994" s="36"/>
      <c r="BJ994" s="36"/>
      <c r="BK994" s="36"/>
      <c r="BL994" s="36"/>
      <c r="BM994" s="36"/>
      <c r="BN994" s="36"/>
      <c r="BO994" s="36"/>
      <c r="BP994" s="36"/>
      <c r="BQ994" s="36"/>
    </row>
    <row r="995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51"/>
      <c r="S995" s="51"/>
      <c r="T995" s="51"/>
      <c r="U995" s="51"/>
      <c r="V995" s="51"/>
      <c r="W995" s="51"/>
      <c r="X995" s="51"/>
      <c r="Y995" s="45"/>
      <c r="Z995" s="45"/>
      <c r="AA995" s="45"/>
      <c r="AB995" s="45"/>
      <c r="AC995" s="45"/>
      <c r="AD995" s="45"/>
      <c r="AE995" s="45"/>
      <c r="AF995" s="45"/>
      <c r="AG995" s="45"/>
      <c r="AH995" s="45"/>
      <c r="AI995" s="45"/>
      <c r="AJ995" s="45"/>
      <c r="AK995" s="45"/>
      <c r="AL995" s="45"/>
      <c r="AM995" s="45"/>
      <c r="AN995" s="45"/>
      <c r="AO995" s="45"/>
      <c r="AP995" s="45"/>
      <c r="AQ995" s="36"/>
      <c r="AR995" s="36"/>
      <c r="AS995" s="36"/>
      <c r="AT995" s="36"/>
      <c r="AU995" s="36"/>
      <c r="AV995" s="36"/>
      <c r="AW995" s="36"/>
      <c r="AX995" s="36"/>
      <c r="AY995" s="36"/>
      <c r="AZ995" s="36"/>
      <c r="BA995" s="36"/>
      <c r="BB995" s="36"/>
      <c r="BC995" s="36"/>
      <c r="BD995" s="36"/>
      <c r="BE995" s="36"/>
      <c r="BF995" s="36"/>
      <c r="BG995" s="36"/>
      <c r="BH995" s="36"/>
      <c r="BI995" s="36"/>
      <c r="BJ995" s="36"/>
      <c r="BK995" s="36"/>
      <c r="BL995" s="36"/>
      <c r="BM995" s="36"/>
      <c r="BN995" s="36"/>
      <c r="BO995" s="36"/>
      <c r="BP995" s="36"/>
      <c r="BQ995" s="36"/>
    </row>
    <row r="996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51"/>
      <c r="S996" s="51"/>
      <c r="T996" s="51"/>
      <c r="U996" s="51"/>
      <c r="V996" s="51"/>
      <c r="W996" s="51"/>
      <c r="X996" s="51"/>
      <c r="Y996" s="45"/>
      <c r="Z996" s="45"/>
      <c r="AA996" s="45"/>
      <c r="AB996" s="45"/>
      <c r="AC996" s="45"/>
      <c r="AD996" s="45"/>
      <c r="AE996" s="45"/>
      <c r="AF996" s="45"/>
      <c r="AG996" s="45"/>
      <c r="AH996" s="45"/>
      <c r="AI996" s="45"/>
      <c r="AJ996" s="45"/>
      <c r="AK996" s="45"/>
      <c r="AL996" s="45"/>
      <c r="AM996" s="45"/>
      <c r="AN996" s="45"/>
      <c r="AO996" s="45"/>
      <c r="AP996" s="45"/>
      <c r="AQ996" s="36"/>
      <c r="AR996" s="36"/>
      <c r="AS996" s="36"/>
      <c r="AT996" s="36"/>
      <c r="AU996" s="36"/>
      <c r="AV996" s="36"/>
      <c r="AW996" s="36"/>
      <c r="AX996" s="36"/>
      <c r="AY996" s="36"/>
      <c r="AZ996" s="36"/>
      <c r="BA996" s="36"/>
      <c r="BB996" s="36"/>
      <c r="BC996" s="36"/>
      <c r="BD996" s="36"/>
      <c r="BE996" s="36"/>
      <c r="BF996" s="36"/>
      <c r="BG996" s="36"/>
      <c r="BH996" s="36"/>
      <c r="BI996" s="36"/>
      <c r="BJ996" s="36"/>
      <c r="BK996" s="36"/>
      <c r="BL996" s="36"/>
      <c r="BM996" s="36"/>
      <c r="BN996" s="36"/>
      <c r="BO996" s="36"/>
      <c r="BP996" s="36"/>
      <c r="BQ996" s="36"/>
    </row>
    <row r="997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51"/>
      <c r="S997" s="51"/>
      <c r="T997" s="51"/>
      <c r="U997" s="51"/>
      <c r="V997" s="51"/>
      <c r="W997" s="51"/>
      <c r="X997" s="51"/>
      <c r="Y997" s="45"/>
      <c r="Z997" s="45"/>
      <c r="AA997" s="45"/>
      <c r="AB997" s="45"/>
      <c r="AC997" s="45"/>
      <c r="AD997" s="45"/>
      <c r="AE997" s="45"/>
      <c r="AF997" s="45"/>
      <c r="AG997" s="45"/>
      <c r="AH997" s="45"/>
      <c r="AI997" s="45"/>
      <c r="AJ997" s="45"/>
      <c r="AK997" s="45"/>
      <c r="AL997" s="45"/>
      <c r="AM997" s="45"/>
      <c r="AN997" s="45"/>
      <c r="AO997" s="45"/>
      <c r="AP997" s="45"/>
      <c r="AQ997" s="36"/>
      <c r="AR997" s="36"/>
      <c r="AS997" s="36"/>
      <c r="AT997" s="36"/>
      <c r="AU997" s="36"/>
      <c r="AV997" s="36"/>
      <c r="AW997" s="36"/>
      <c r="AX997" s="36"/>
      <c r="AY997" s="36"/>
      <c r="AZ997" s="36"/>
      <c r="BA997" s="36"/>
      <c r="BB997" s="36"/>
      <c r="BC997" s="36"/>
      <c r="BD997" s="36"/>
      <c r="BE997" s="36"/>
      <c r="BF997" s="36"/>
      <c r="BG997" s="36"/>
      <c r="BH997" s="36"/>
      <c r="BI997" s="36"/>
      <c r="BJ997" s="36"/>
      <c r="BK997" s="36"/>
      <c r="BL997" s="36"/>
      <c r="BM997" s="36"/>
      <c r="BN997" s="36"/>
      <c r="BO997" s="36"/>
      <c r="BP997" s="36"/>
      <c r="BQ997" s="36"/>
    </row>
    <row r="998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51"/>
      <c r="S998" s="51"/>
      <c r="T998" s="51"/>
      <c r="U998" s="51"/>
      <c r="V998" s="51"/>
      <c r="W998" s="51"/>
      <c r="X998" s="51"/>
      <c r="Y998" s="45"/>
      <c r="Z998" s="45"/>
      <c r="AA998" s="45"/>
      <c r="AB998" s="45"/>
      <c r="AC998" s="45"/>
      <c r="AD998" s="45"/>
      <c r="AE998" s="45"/>
      <c r="AF998" s="45"/>
      <c r="AG998" s="45"/>
      <c r="AH998" s="45"/>
      <c r="AI998" s="45"/>
      <c r="AJ998" s="45"/>
      <c r="AK998" s="45"/>
      <c r="AL998" s="45"/>
      <c r="AM998" s="45"/>
      <c r="AN998" s="45"/>
      <c r="AO998" s="45"/>
      <c r="AP998" s="45"/>
      <c r="AQ998" s="36"/>
      <c r="AR998" s="36"/>
      <c r="AS998" s="36"/>
      <c r="AT998" s="36"/>
      <c r="AU998" s="36"/>
      <c r="AV998" s="36"/>
      <c r="AW998" s="36"/>
      <c r="AX998" s="36"/>
      <c r="AY998" s="36"/>
      <c r="AZ998" s="36"/>
      <c r="BA998" s="36"/>
      <c r="BB998" s="36"/>
      <c r="BC998" s="36"/>
      <c r="BD998" s="36"/>
      <c r="BE998" s="36"/>
      <c r="BF998" s="36"/>
      <c r="BG998" s="36"/>
      <c r="BH998" s="36"/>
      <c r="BI998" s="36"/>
      <c r="BJ998" s="36"/>
      <c r="BK998" s="36"/>
      <c r="BL998" s="36"/>
      <c r="BM998" s="36"/>
      <c r="BN998" s="36"/>
      <c r="BO998" s="36"/>
      <c r="BP998" s="36"/>
      <c r="BQ998" s="36"/>
    </row>
    <row r="999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51"/>
      <c r="S999" s="51"/>
      <c r="T999" s="51"/>
      <c r="U999" s="51"/>
      <c r="V999" s="51"/>
      <c r="W999" s="51"/>
      <c r="X999" s="51"/>
      <c r="Y999" s="45"/>
      <c r="Z999" s="45"/>
      <c r="AA999" s="45"/>
      <c r="AB999" s="45"/>
      <c r="AC999" s="45"/>
      <c r="AD999" s="45"/>
      <c r="AE999" s="45"/>
      <c r="AF999" s="45"/>
      <c r="AG999" s="45"/>
      <c r="AH999" s="45"/>
      <c r="AI999" s="45"/>
      <c r="AJ999" s="45"/>
      <c r="AK999" s="45"/>
      <c r="AL999" s="45"/>
      <c r="AM999" s="45"/>
      <c r="AN999" s="45"/>
      <c r="AO999" s="45"/>
      <c r="AP999" s="45"/>
      <c r="AQ999" s="36"/>
      <c r="AR999" s="36"/>
      <c r="AS999" s="36"/>
      <c r="AT999" s="36"/>
      <c r="AU999" s="36"/>
      <c r="AV999" s="36"/>
      <c r="AW999" s="36"/>
      <c r="AX999" s="36"/>
      <c r="AY999" s="36"/>
      <c r="AZ999" s="36"/>
      <c r="BA999" s="36"/>
      <c r="BB999" s="36"/>
      <c r="BC999" s="36"/>
      <c r="BD999" s="36"/>
      <c r="BE999" s="36"/>
      <c r="BF999" s="36"/>
      <c r="BG999" s="36"/>
      <c r="BH999" s="36"/>
      <c r="BI999" s="36"/>
      <c r="BJ999" s="36"/>
      <c r="BK999" s="36"/>
      <c r="BL999" s="36"/>
      <c r="BM999" s="36"/>
      <c r="BN999" s="36"/>
      <c r="BO999" s="36"/>
      <c r="BP999" s="36"/>
      <c r="BQ999" s="36"/>
    </row>
    <row r="1000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51"/>
      <c r="S1000" s="51"/>
      <c r="T1000" s="51"/>
      <c r="U1000" s="51"/>
      <c r="V1000" s="51"/>
      <c r="W1000" s="51"/>
      <c r="X1000" s="51"/>
      <c r="Y1000" s="45"/>
      <c r="Z1000" s="45"/>
      <c r="AA1000" s="45"/>
      <c r="AB1000" s="45"/>
      <c r="AC1000" s="45"/>
      <c r="AD1000" s="45"/>
      <c r="AE1000" s="45"/>
      <c r="AF1000" s="45"/>
      <c r="AG1000" s="45"/>
      <c r="AH1000" s="45"/>
      <c r="AI1000" s="45"/>
      <c r="AJ1000" s="45"/>
      <c r="AK1000" s="45"/>
      <c r="AL1000" s="45"/>
      <c r="AM1000" s="45"/>
      <c r="AN1000" s="45"/>
      <c r="AO1000" s="45"/>
      <c r="AP1000" s="45"/>
      <c r="AQ1000" s="36"/>
      <c r="AR1000" s="36"/>
      <c r="AS1000" s="36"/>
      <c r="AT1000" s="36"/>
      <c r="AU1000" s="36"/>
      <c r="AV1000" s="36"/>
      <c r="AW1000" s="36"/>
      <c r="AX1000" s="36"/>
      <c r="AY1000" s="36"/>
      <c r="AZ1000" s="36"/>
      <c r="BA1000" s="36"/>
      <c r="BB1000" s="36"/>
      <c r="BC1000" s="36"/>
      <c r="BD1000" s="36"/>
      <c r="BE1000" s="36"/>
      <c r="BF1000" s="36"/>
      <c r="BG1000" s="36"/>
      <c r="BH1000" s="36"/>
      <c r="BI1000" s="36"/>
      <c r="BJ1000" s="36"/>
      <c r="BK1000" s="36"/>
      <c r="BL1000" s="36"/>
      <c r="BM1000" s="36"/>
      <c r="BN1000" s="36"/>
      <c r="BO1000" s="36"/>
      <c r="BP1000" s="36"/>
      <c r="BQ1000" s="36"/>
    </row>
    <row r="1001">
      <c r="A1001" s="45"/>
      <c r="B1001" s="45"/>
      <c r="C1001" s="45"/>
      <c r="D1001" s="45"/>
      <c r="E1001" s="45"/>
      <c r="F1001" s="45"/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51"/>
      <c r="S1001" s="51"/>
      <c r="T1001" s="51"/>
      <c r="U1001" s="51"/>
      <c r="V1001" s="51"/>
      <c r="W1001" s="51"/>
      <c r="X1001" s="51"/>
      <c r="Y1001" s="45"/>
      <c r="Z1001" s="45"/>
      <c r="AA1001" s="45"/>
      <c r="AB1001" s="45"/>
      <c r="AC1001" s="45"/>
      <c r="AD1001" s="45"/>
      <c r="AE1001" s="45"/>
      <c r="AF1001" s="45"/>
      <c r="AG1001" s="45"/>
      <c r="AH1001" s="45"/>
      <c r="AI1001" s="45"/>
      <c r="AJ1001" s="45"/>
      <c r="AK1001" s="45"/>
      <c r="AL1001" s="45"/>
      <c r="AM1001" s="45"/>
      <c r="AN1001" s="45"/>
      <c r="AO1001" s="45"/>
      <c r="AP1001" s="45"/>
      <c r="AQ1001" s="36"/>
      <c r="AR1001" s="36"/>
      <c r="AS1001" s="36"/>
      <c r="AT1001" s="36"/>
      <c r="AU1001" s="36"/>
      <c r="AV1001" s="36"/>
      <c r="AW1001" s="36"/>
      <c r="AX1001" s="36"/>
      <c r="AY1001" s="36"/>
      <c r="AZ1001" s="36"/>
      <c r="BA1001" s="36"/>
      <c r="BB1001" s="36"/>
      <c r="BC1001" s="36"/>
      <c r="BD1001" s="36"/>
      <c r="BE1001" s="36"/>
      <c r="BF1001" s="36"/>
      <c r="BG1001" s="36"/>
      <c r="BH1001" s="36"/>
      <c r="BI1001" s="36"/>
      <c r="BJ1001" s="36"/>
      <c r="BK1001" s="36"/>
      <c r="BL1001" s="36"/>
      <c r="BM1001" s="36"/>
      <c r="BN1001" s="36"/>
      <c r="BO1001" s="36"/>
      <c r="BP1001" s="36"/>
      <c r="BQ1001" s="36"/>
    </row>
    <row r="1002">
      <c r="A1002" s="45"/>
      <c r="B1002" s="45"/>
      <c r="C1002" s="45"/>
      <c r="D1002" s="45"/>
      <c r="E1002" s="45"/>
      <c r="F1002" s="45"/>
      <c r="G1002" s="45"/>
      <c r="H1002" s="45"/>
      <c r="I1002" s="45"/>
      <c r="J1002" s="45"/>
      <c r="K1002" s="45"/>
      <c r="L1002" s="45"/>
      <c r="M1002" s="45"/>
      <c r="N1002" s="45"/>
      <c r="O1002" s="45"/>
      <c r="P1002" s="45"/>
      <c r="Q1002" s="45"/>
      <c r="R1002" s="51"/>
      <c r="S1002" s="51"/>
      <c r="T1002" s="51"/>
      <c r="U1002" s="51"/>
      <c r="V1002" s="51"/>
      <c r="W1002" s="51"/>
      <c r="X1002" s="51"/>
      <c r="Y1002" s="45"/>
      <c r="Z1002" s="45"/>
      <c r="AA1002" s="45"/>
      <c r="AB1002" s="45"/>
      <c r="AC1002" s="45"/>
      <c r="AD1002" s="45"/>
      <c r="AE1002" s="45"/>
      <c r="AF1002" s="45"/>
      <c r="AG1002" s="45"/>
      <c r="AH1002" s="45"/>
      <c r="AI1002" s="45"/>
      <c r="AJ1002" s="45"/>
      <c r="AK1002" s="45"/>
      <c r="AL1002" s="45"/>
      <c r="AM1002" s="45"/>
      <c r="AN1002" s="45"/>
      <c r="AO1002" s="45"/>
      <c r="AP1002" s="45"/>
      <c r="AQ1002" s="36"/>
      <c r="AR1002" s="36"/>
      <c r="AS1002" s="36"/>
      <c r="AT1002" s="36"/>
      <c r="AU1002" s="36"/>
      <c r="AV1002" s="36"/>
      <c r="AW1002" s="36"/>
      <c r="AX1002" s="36"/>
      <c r="AY1002" s="36"/>
      <c r="AZ1002" s="36"/>
      <c r="BA1002" s="36"/>
      <c r="BB1002" s="36"/>
      <c r="BC1002" s="36"/>
      <c r="BD1002" s="36"/>
      <c r="BE1002" s="36"/>
      <c r="BF1002" s="36"/>
      <c r="BG1002" s="36"/>
      <c r="BH1002" s="36"/>
      <c r="BI1002" s="36"/>
      <c r="BJ1002" s="36"/>
      <c r="BK1002" s="36"/>
      <c r="BL1002" s="36"/>
      <c r="BM1002" s="36"/>
      <c r="BN1002" s="36"/>
      <c r="BO1002" s="36"/>
      <c r="BP1002" s="36"/>
      <c r="BQ1002" s="36"/>
    </row>
    <row r="1003">
      <c r="A1003" s="45"/>
      <c r="B1003" s="45"/>
      <c r="C1003" s="45"/>
      <c r="D1003" s="45"/>
      <c r="E1003" s="45"/>
      <c r="F1003" s="45"/>
      <c r="G1003" s="45"/>
      <c r="H1003" s="45"/>
      <c r="I1003" s="45"/>
      <c r="J1003" s="45"/>
      <c r="K1003" s="45"/>
      <c r="L1003" s="45"/>
      <c r="M1003" s="45"/>
      <c r="N1003" s="45"/>
      <c r="O1003" s="45"/>
      <c r="P1003" s="45"/>
      <c r="Q1003" s="45"/>
      <c r="R1003" s="51"/>
      <c r="S1003" s="51"/>
      <c r="T1003" s="51"/>
      <c r="U1003" s="51"/>
      <c r="V1003" s="51"/>
      <c r="W1003" s="51"/>
      <c r="X1003" s="51"/>
      <c r="Y1003" s="45"/>
      <c r="Z1003" s="45"/>
      <c r="AA1003" s="45"/>
      <c r="AB1003" s="45"/>
      <c r="AC1003" s="45"/>
      <c r="AD1003" s="45"/>
      <c r="AE1003" s="45"/>
      <c r="AF1003" s="45"/>
      <c r="AG1003" s="45"/>
      <c r="AH1003" s="45"/>
      <c r="AI1003" s="45"/>
      <c r="AJ1003" s="45"/>
      <c r="AK1003" s="45"/>
      <c r="AL1003" s="45"/>
      <c r="AM1003" s="45"/>
      <c r="AN1003" s="45"/>
      <c r="AO1003" s="45"/>
      <c r="AP1003" s="45"/>
      <c r="AQ1003" s="36"/>
      <c r="AR1003" s="36"/>
      <c r="AS1003" s="36"/>
      <c r="AT1003" s="36"/>
      <c r="AU1003" s="36"/>
      <c r="AV1003" s="36"/>
      <c r="AW1003" s="36"/>
      <c r="AX1003" s="36"/>
      <c r="AY1003" s="36"/>
      <c r="AZ1003" s="36"/>
      <c r="BA1003" s="36"/>
      <c r="BB1003" s="36"/>
      <c r="BC1003" s="36"/>
      <c r="BD1003" s="36"/>
      <c r="BE1003" s="36"/>
      <c r="BF1003" s="36"/>
      <c r="BG1003" s="36"/>
      <c r="BH1003" s="36"/>
      <c r="BI1003" s="36"/>
      <c r="BJ1003" s="36"/>
      <c r="BK1003" s="36"/>
      <c r="BL1003" s="36"/>
      <c r="BM1003" s="36"/>
      <c r="BN1003" s="36"/>
      <c r="BO1003" s="36"/>
      <c r="BP1003" s="36"/>
      <c r="BQ1003" s="36"/>
    </row>
    <row r="1004">
      <c r="A1004" s="45"/>
      <c r="B1004" s="45"/>
      <c r="C1004" s="45"/>
      <c r="D1004" s="45"/>
      <c r="E1004" s="45"/>
      <c r="F1004" s="45"/>
      <c r="G1004" s="45"/>
      <c r="H1004" s="45"/>
      <c r="I1004" s="45"/>
      <c r="J1004" s="45"/>
      <c r="K1004" s="45"/>
      <c r="L1004" s="45"/>
      <c r="M1004" s="45"/>
      <c r="N1004" s="45"/>
      <c r="O1004" s="45"/>
      <c r="P1004" s="45"/>
      <c r="Q1004" s="45"/>
      <c r="R1004" s="51"/>
      <c r="S1004" s="51"/>
      <c r="T1004" s="51"/>
      <c r="U1004" s="51"/>
      <c r="V1004" s="51"/>
      <c r="W1004" s="51"/>
      <c r="X1004" s="51"/>
      <c r="Y1004" s="45"/>
      <c r="Z1004" s="45"/>
      <c r="AA1004" s="45"/>
      <c r="AB1004" s="45"/>
      <c r="AC1004" s="45"/>
      <c r="AD1004" s="45"/>
      <c r="AE1004" s="45"/>
      <c r="AF1004" s="45"/>
      <c r="AG1004" s="45"/>
      <c r="AH1004" s="45"/>
      <c r="AI1004" s="45"/>
      <c r="AJ1004" s="45"/>
      <c r="AK1004" s="45"/>
      <c r="AL1004" s="45"/>
      <c r="AM1004" s="45"/>
      <c r="AN1004" s="45"/>
      <c r="AO1004" s="45"/>
      <c r="AP1004" s="45"/>
      <c r="AQ1004" s="36"/>
      <c r="AR1004" s="36"/>
      <c r="AS1004" s="36"/>
      <c r="AT1004" s="36"/>
      <c r="AU1004" s="36"/>
      <c r="AV1004" s="36"/>
      <c r="AW1004" s="36"/>
      <c r="AX1004" s="36"/>
      <c r="AY1004" s="36"/>
      <c r="AZ1004" s="36"/>
      <c r="BA1004" s="36"/>
      <c r="BB1004" s="36"/>
      <c r="BC1004" s="36"/>
      <c r="BD1004" s="36"/>
      <c r="BE1004" s="36"/>
      <c r="BF1004" s="36"/>
      <c r="BG1004" s="36"/>
      <c r="BH1004" s="36"/>
      <c r="BI1004" s="36"/>
      <c r="BJ1004" s="36"/>
      <c r="BK1004" s="36"/>
      <c r="BL1004" s="36"/>
      <c r="BM1004" s="36"/>
      <c r="BN1004" s="36"/>
      <c r="BO1004" s="36"/>
      <c r="BP1004" s="36"/>
      <c r="BQ1004" s="36"/>
    </row>
    <row r="1005">
      <c r="A1005" s="45"/>
      <c r="B1005" s="45"/>
      <c r="C1005" s="45"/>
      <c r="D1005" s="45"/>
      <c r="E1005" s="45"/>
      <c r="F1005" s="45"/>
      <c r="G1005" s="45"/>
      <c r="H1005" s="45"/>
      <c r="I1005" s="45"/>
      <c r="J1005" s="45"/>
      <c r="K1005" s="45"/>
      <c r="L1005" s="45"/>
      <c r="M1005" s="45"/>
      <c r="N1005" s="45"/>
      <c r="O1005" s="45"/>
      <c r="P1005" s="45"/>
      <c r="Q1005" s="45"/>
      <c r="R1005" s="51"/>
      <c r="S1005" s="51"/>
      <c r="T1005" s="51"/>
      <c r="U1005" s="51"/>
      <c r="V1005" s="51"/>
      <c r="W1005" s="51"/>
      <c r="X1005" s="51"/>
      <c r="Y1005" s="45"/>
      <c r="Z1005" s="45"/>
      <c r="AA1005" s="45"/>
      <c r="AB1005" s="45"/>
      <c r="AC1005" s="45"/>
      <c r="AD1005" s="45"/>
      <c r="AE1005" s="45"/>
      <c r="AF1005" s="45"/>
      <c r="AG1005" s="45"/>
      <c r="AH1005" s="45"/>
      <c r="AI1005" s="45"/>
      <c r="AJ1005" s="45"/>
      <c r="AK1005" s="45"/>
      <c r="AL1005" s="45"/>
      <c r="AM1005" s="45"/>
      <c r="AN1005" s="45"/>
      <c r="AO1005" s="45"/>
      <c r="AP1005" s="45"/>
      <c r="AQ1005" s="36"/>
      <c r="AR1005" s="36"/>
      <c r="AS1005" s="36"/>
      <c r="AT1005" s="36"/>
      <c r="AU1005" s="36"/>
      <c r="AV1005" s="36"/>
      <c r="AW1005" s="36"/>
      <c r="AX1005" s="36"/>
      <c r="AY1005" s="36"/>
      <c r="AZ1005" s="36"/>
      <c r="BA1005" s="36"/>
      <c r="BB1005" s="36"/>
      <c r="BC1005" s="36"/>
      <c r="BD1005" s="36"/>
      <c r="BE1005" s="36"/>
      <c r="BF1005" s="36"/>
      <c r="BG1005" s="36"/>
      <c r="BH1005" s="36"/>
      <c r="BI1005" s="36"/>
      <c r="BJ1005" s="36"/>
      <c r="BK1005" s="36"/>
      <c r="BL1005" s="36"/>
      <c r="BM1005" s="36"/>
      <c r="BN1005" s="36"/>
      <c r="BO1005" s="36"/>
      <c r="BP1005" s="36"/>
      <c r="BQ1005" s="36"/>
    </row>
    <row r="1006">
      <c r="A1006" s="45"/>
      <c r="B1006" s="45"/>
      <c r="C1006" s="45"/>
      <c r="D1006" s="45"/>
      <c r="E1006" s="45"/>
      <c r="F1006" s="45"/>
      <c r="G1006" s="45"/>
      <c r="H1006" s="45"/>
      <c r="I1006" s="45"/>
      <c r="J1006" s="45"/>
      <c r="K1006" s="45"/>
      <c r="L1006" s="45"/>
      <c r="M1006" s="45"/>
      <c r="N1006" s="45"/>
      <c r="O1006" s="45"/>
      <c r="P1006" s="45"/>
      <c r="Q1006" s="45"/>
      <c r="R1006" s="51"/>
      <c r="S1006" s="51"/>
      <c r="T1006" s="51"/>
      <c r="U1006" s="51"/>
      <c r="V1006" s="51"/>
      <c r="W1006" s="51"/>
      <c r="X1006" s="51"/>
      <c r="Y1006" s="45"/>
      <c r="Z1006" s="45"/>
      <c r="AA1006" s="45"/>
      <c r="AB1006" s="45"/>
      <c r="AC1006" s="45"/>
      <c r="AD1006" s="45"/>
      <c r="AE1006" s="45"/>
      <c r="AF1006" s="45"/>
      <c r="AG1006" s="45"/>
      <c r="AH1006" s="45"/>
      <c r="AI1006" s="45"/>
      <c r="AJ1006" s="45"/>
      <c r="AK1006" s="45"/>
      <c r="AL1006" s="45"/>
      <c r="AM1006" s="45"/>
      <c r="AN1006" s="45"/>
      <c r="AO1006" s="45"/>
      <c r="AP1006" s="45"/>
      <c r="AQ1006" s="36"/>
      <c r="AR1006" s="36"/>
      <c r="AS1006" s="36"/>
      <c r="AT1006" s="36"/>
      <c r="AU1006" s="36"/>
      <c r="AV1006" s="36"/>
      <c r="AW1006" s="36"/>
      <c r="AX1006" s="36"/>
      <c r="AY1006" s="36"/>
      <c r="AZ1006" s="36"/>
      <c r="BA1006" s="36"/>
      <c r="BB1006" s="36"/>
      <c r="BC1006" s="36"/>
      <c r="BD1006" s="36"/>
      <c r="BE1006" s="36"/>
      <c r="BF1006" s="36"/>
      <c r="BG1006" s="36"/>
      <c r="BH1006" s="36"/>
      <c r="BI1006" s="36"/>
      <c r="BJ1006" s="36"/>
      <c r="BK1006" s="36"/>
      <c r="BL1006" s="36"/>
      <c r="BM1006" s="36"/>
      <c r="BN1006" s="36"/>
      <c r="BO1006" s="36"/>
      <c r="BP1006" s="36"/>
      <c r="BQ1006" s="36"/>
    </row>
    <row r="1007">
      <c r="A1007" s="45"/>
      <c r="B1007" s="45"/>
      <c r="C1007" s="45"/>
      <c r="D1007" s="45"/>
      <c r="E1007" s="45"/>
      <c r="F1007" s="45"/>
      <c r="G1007" s="45"/>
      <c r="H1007" s="45"/>
      <c r="I1007" s="45"/>
      <c r="J1007" s="45"/>
      <c r="K1007" s="45"/>
      <c r="L1007" s="45"/>
      <c r="M1007" s="45"/>
      <c r="N1007" s="45"/>
      <c r="O1007" s="45"/>
      <c r="P1007" s="45"/>
      <c r="Q1007" s="45"/>
      <c r="R1007" s="51"/>
      <c r="S1007" s="51"/>
      <c r="T1007" s="51"/>
      <c r="U1007" s="51"/>
      <c r="V1007" s="51"/>
      <c r="W1007" s="51"/>
      <c r="X1007" s="51"/>
      <c r="Y1007" s="45"/>
      <c r="Z1007" s="45"/>
      <c r="AA1007" s="45"/>
      <c r="AB1007" s="45"/>
      <c r="AC1007" s="45"/>
      <c r="AD1007" s="45"/>
      <c r="AE1007" s="45"/>
      <c r="AF1007" s="45"/>
      <c r="AG1007" s="45"/>
      <c r="AH1007" s="45"/>
      <c r="AI1007" s="45"/>
      <c r="AJ1007" s="45"/>
      <c r="AK1007" s="45"/>
      <c r="AL1007" s="45"/>
      <c r="AM1007" s="45"/>
      <c r="AN1007" s="45"/>
      <c r="AO1007" s="45"/>
      <c r="AP1007" s="45"/>
      <c r="AQ1007" s="36"/>
      <c r="AR1007" s="36"/>
      <c r="AS1007" s="36"/>
      <c r="AT1007" s="36"/>
      <c r="AU1007" s="36"/>
      <c r="AV1007" s="36"/>
      <c r="AW1007" s="36"/>
      <c r="AX1007" s="36"/>
      <c r="AY1007" s="36"/>
      <c r="AZ1007" s="36"/>
      <c r="BA1007" s="36"/>
      <c r="BB1007" s="36"/>
      <c r="BC1007" s="36"/>
      <c r="BD1007" s="36"/>
      <c r="BE1007" s="36"/>
      <c r="BF1007" s="36"/>
      <c r="BG1007" s="36"/>
      <c r="BH1007" s="36"/>
      <c r="BI1007" s="36"/>
      <c r="BJ1007" s="36"/>
      <c r="BK1007" s="36"/>
      <c r="BL1007" s="36"/>
      <c r="BM1007" s="36"/>
      <c r="BN1007" s="36"/>
      <c r="BO1007" s="36"/>
      <c r="BP1007" s="36"/>
      <c r="BQ1007" s="36"/>
    </row>
    <row r="1008">
      <c r="A1008" s="45"/>
      <c r="B1008" s="45"/>
      <c r="C1008" s="45"/>
      <c r="D1008" s="45"/>
      <c r="E1008" s="45"/>
      <c r="F1008" s="45"/>
      <c r="G1008" s="45"/>
      <c r="H1008" s="45"/>
      <c r="I1008" s="45"/>
      <c r="J1008" s="45"/>
      <c r="K1008" s="45"/>
      <c r="L1008" s="45"/>
      <c r="M1008" s="45"/>
      <c r="N1008" s="45"/>
      <c r="O1008" s="45"/>
      <c r="P1008" s="45"/>
      <c r="Q1008" s="45"/>
      <c r="R1008" s="51"/>
      <c r="S1008" s="51"/>
      <c r="T1008" s="51"/>
      <c r="U1008" s="51"/>
      <c r="V1008" s="51"/>
      <c r="W1008" s="51"/>
      <c r="X1008" s="51"/>
      <c r="Y1008" s="45"/>
      <c r="Z1008" s="45"/>
      <c r="AA1008" s="45"/>
      <c r="AB1008" s="45"/>
      <c r="AC1008" s="45"/>
      <c r="AD1008" s="45"/>
      <c r="AE1008" s="45"/>
      <c r="AF1008" s="45"/>
      <c r="AG1008" s="45"/>
      <c r="AH1008" s="45"/>
      <c r="AI1008" s="45"/>
      <c r="AJ1008" s="45"/>
      <c r="AK1008" s="45"/>
      <c r="AL1008" s="45"/>
      <c r="AM1008" s="45"/>
      <c r="AN1008" s="45"/>
      <c r="AO1008" s="45"/>
      <c r="AP1008" s="45"/>
      <c r="AQ1008" s="36"/>
      <c r="AR1008" s="36"/>
      <c r="AS1008" s="36"/>
      <c r="AT1008" s="36"/>
      <c r="AU1008" s="36"/>
      <c r="AV1008" s="36"/>
      <c r="AW1008" s="36"/>
      <c r="AX1008" s="36"/>
      <c r="AY1008" s="36"/>
      <c r="AZ1008" s="36"/>
      <c r="BA1008" s="36"/>
      <c r="BB1008" s="36"/>
      <c r="BC1008" s="36"/>
      <c r="BD1008" s="36"/>
      <c r="BE1008" s="36"/>
      <c r="BF1008" s="36"/>
      <c r="BG1008" s="36"/>
      <c r="BH1008" s="36"/>
      <c r="BI1008" s="36"/>
      <c r="BJ1008" s="36"/>
      <c r="BK1008" s="36"/>
      <c r="BL1008" s="36"/>
      <c r="BM1008" s="36"/>
      <c r="BN1008" s="36"/>
      <c r="BO1008" s="36"/>
      <c r="BP1008" s="36"/>
      <c r="BQ1008" s="36"/>
    </row>
    <row r="1009">
      <c r="A1009" s="45"/>
      <c r="B1009" s="45"/>
      <c r="C1009" s="45"/>
      <c r="D1009" s="45"/>
      <c r="E1009" s="45"/>
      <c r="F1009" s="45"/>
      <c r="G1009" s="45"/>
      <c r="H1009" s="45"/>
      <c r="I1009" s="45"/>
      <c r="J1009" s="45"/>
      <c r="K1009" s="45"/>
      <c r="L1009" s="45"/>
      <c r="M1009" s="45"/>
      <c r="N1009" s="45"/>
      <c r="O1009" s="45"/>
      <c r="P1009" s="45"/>
      <c r="Q1009" s="45"/>
      <c r="R1009" s="51"/>
      <c r="S1009" s="51"/>
      <c r="T1009" s="51"/>
      <c r="U1009" s="51"/>
      <c r="V1009" s="51"/>
      <c r="W1009" s="51"/>
      <c r="X1009" s="51"/>
      <c r="Y1009" s="45"/>
      <c r="Z1009" s="45"/>
      <c r="AA1009" s="45"/>
      <c r="AB1009" s="45"/>
      <c r="AC1009" s="45"/>
      <c r="AD1009" s="45"/>
      <c r="AE1009" s="45"/>
      <c r="AF1009" s="45"/>
      <c r="AG1009" s="45"/>
      <c r="AH1009" s="45"/>
      <c r="AI1009" s="45"/>
      <c r="AJ1009" s="45"/>
      <c r="AK1009" s="45"/>
      <c r="AL1009" s="45"/>
      <c r="AM1009" s="45"/>
      <c r="AN1009" s="45"/>
      <c r="AO1009" s="45"/>
      <c r="AP1009" s="45"/>
      <c r="AQ1009" s="36"/>
      <c r="AR1009" s="36"/>
      <c r="AS1009" s="36"/>
      <c r="AT1009" s="36"/>
      <c r="AU1009" s="36"/>
      <c r="AV1009" s="36"/>
      <c r="AW1009" s="36"/>
      <c r="AX1009" s="36"/>
      <c r="AY1009" s="36"/>
      <c r="AZ1009" s="36"/>
      <c r="BA1009" s="36"/>
      <c r="BB1009" s="36"/>
      <c r="BC1009" s="36"/>
      <c r="BD1009" s="36"/>
      <c r="BE1009" s="36"/>
      <c r="BF1009" s="36"/>
      <c r="BG1009" s="36"/>
      <c r="BH1009" s="36"/>
      <c r="BI1009" s="36"/>
      <c r="BJ1009" s="36"/>
      <c r="BK1009" s="36"/>
      <c r="BL1009" s="36"/>
      <c r="BM1009" s="36"/>
      <c r="BN1009" s="36"/>
      <c r="BO1009" s="36"/>
      <c r="BP1009" s="36"/>
      <c r="BQ1009" s="36"/>
    </row>
    <row r="1010">
      <c r="A1010" s="45"/>
      <c r="B1010" s="45"/>
      <c r="C1010" s="45"/>
      <c r="D1010" s="45"/>
      <c r="E1010" s="45"/>
      <c r="F1010" s="45"/>
      <c r="G1010" s="45"/>
      <c r="H1010" s="45"/>
      <c r="I1010" s="45"/>
      <c r="J1010" s="45"/>
      <c r="K1010" s="45"/>
      <c r="L1010" s="45"/>
      <c r="M1010" s="45"/>
      <c r="N1010" s="45"/>
      <c r="O1010" s="45"/>
      <c r="P1010" s="45"/>
      <c r="Q1010" s="45"/>
      <c r="R1010" s="51"/>
      <c r="S1010" s="51"/>
      <c r="T1010" s="51"/>
      <c r="U1010" s="51"/>
      <c r="V1010" s="51"/>
      <c r="W1010" s="51"/>
      <c r="X1010" s="51"/>
      <c r="Y1010" s="45"/>
      <c r="Z1010" s="45"/>
      <c r="AA1010" s="45"/>
      <c r="AB1010" s="45"/>
      <c r="AC1010" s="45"/>
      <c r="AD1010" s="45"/>
      <c r="AE1010" s="45"/>
      <c r="AF1010" s="45"/>
      <c r="AG1010" s="45"/>
      <c r="AH1010" s="45"/>
      <c r="AI1010" s="45"/>
      <c r="AJ1010" s="45"/>
      <c r="AK1010" s="45"/>
      <c r="AL1010" s="45"/>
      <c r="AM1010" s="45"/>
      <c r="AN1010" s="45"/>
      <c r="AO1010" s="45"/>
      <c r="AP1010" s="45"/>
      <c r="AQ1010" s="36"/>
      <c r="AR1010" s="36"/>
      <c r="AS1010" s="36"/>
      <c r="AT1010" s="36"/>
      <c r="AU1010" s="36"/>
      <c r="AV1010" s="36"/>
      <c r="AW1010" s="36"/>
      <c r="AX1010" s="36"/>
      <c r="AY1010" s="36"/>
      <c r="AZ1010" s="36"/>
      <c r="BA1010" s="36"/>
      <c r="BB1010" s="36"/>
      <c r="BC1010" s="36"/>
      <c r="BD1010" s="36"/>
      <c r="BE1010" s="36"/>
      <c r="BF1010" s="36"/>
      <c r="BG1010" s="36"/>
      <c r="BH1010" s="36"/>
      <c r="BI1010" s="36"/>
      <c r="BJ1010" s="36"/>
      <c r="BK1010" s="36"/>
      <c r="BL1010" s="36"/>
      <c r="BM1010" s="36"/>
      <c r="BN1010" s="36"/>
      <c r="BO1010" s="36"/>
      <c r="BP1010" s="36"/>
      <c r="BQ1010" s="36"/>
    </row>
    <row r="1011">
      <c r="A1011" s="45"/>
      <c r="B1011" s="45"/>
      <c r="C1011" s="45"/>
      <c r="D1011" s="45"/>
      <c r="E1011" s="45"/>
      <c r="F1011" s="45"/>
      <c r="G1011" s="45"/>
      <c r="H1011" s="45"/>
      <c r="I1011" s="45"/>
      <c r="J1011" s="45"/>
      <c r="K1011" s="45"/>
      <c r="L1011" s="45"/>
      <c r="M1011" s="45"/>
      <c r="N1011" s="45"/>
      <c r="O1011" s="45"/>
      <c r="P1011" s="45"/>
      <c r="Q1011" s="45"/>
      <c r="R1011" s="51"/>
      <c r="S1011" s="51"/>
      <c r="T1011" s="51"/>
      <c r="U1011" s="51"/>
      <c r="V1011" s="51"/>
      <c r="W1011" s="51"/>
      <c r="X1011" s="51"/>
      <c r="Y1011" s="45"/>
      <c r="Z1011" s="45"/>
      <c r="AA1011" s="45"/>
      <c r="AB1011" s="45"/>
      <c r="AC1011" s="45"/>
      <c r="AD1011" s="45"/>
      <c r="AE1011" s="45"/>
      <c r="AF1011" s="45"/>
      <c r="AG1011" s="45"/>
      <c r="AH1011" s="45"/>
      <c r="AI1011" s="45"/>
      <c r="AJ1011" s="45"/>
      <c r="AK1011" s="45"/>
      <c r="AL1011" s="45"/>
      <c r="AM1011" s="45"/>
      <c r="AN1011" s="45"/>
      <c r="AO1011" s="45"/>
      <c r="AP1011" s="45"/>
      <c r="AQ1011" s="36"/>
      <c r="AR1011" s="36"/>
      <c r="AS1011" s="36"/>
      <c r="AT1011" s="36"/>
      <c r="AU1011" s="36"/>
      <c r="AV1011" s="36"/>
      <c r="AW1011" s="36"/>
      <c r="AX1011" s="36"/>
      <c r="AY1011" s="36"/>
      <c r="AZ1011" s="36"/>
      <c r="BA1011" s="36"/>
      <c r="BB1011" s="36"/>
      <c r="BC1011" s="36"/>
      <c r="BD1011" s="36"/>
      <c r="BE1011" s="36"/>
      <c r="BF1011" s="36"/>
      <c r="BG1011" s="36"/>
      <c r="BH1011" s="36"/>
      <c r="BI1011" s="36"/>
      <c r="BJ1011" s="36"/>
      <c r="BK1011" s="36"/>
      <c r="BL1011" s="36"/>
      <c r="BM1011" s="36"/>
      <c r="BN1011" s="36"/>
      <c r="BO1011" s="36"/>
      <c r="BP1011" s="36"/>
      <c r="BQ1011" s="36"/>
    </row>
    <row r="1012">
      <c r="A1012" s="45"/>
      <c r="B1012" s="45"/>
      <c r="C1012" s="45"/>
      <c r="D1012" s="45"/>
      <c r="E1012" s="45"/>
      <c r="F1012" s="45"/>
      <c r="G1012" s="45"/>
      <c r="H1012" s="45"/>
      <c r="I1012" s="45"/>
      <c r="J1012" s="45"/>
      <c r="K1012" s="45"/>
      <c r="L1012" s="45"/>
      <c r="M1012" s="45"/>
      <c r="N1012" s="45"/>
      <c r="O1012" s="45"/>
      <c r="P1012" s="45"/>
      <c r="Q1012" s="45"/>
      <c r="R1012" s="51"/>
      <c r="S1012" s="51"/>
      <c r="T1012" s="51"/>
      <c r="U1012" s="51"/>
      <c r="V1012" s="51"/>
      <c r="W1012" s="51"/>
      <c r="X1012" s="51"/>
      <c r="Y1012" s="45"/>
      <c r="Z1012" s="45"/>
      <c r="AA1012" s="45"/>
      <c r="AB1012" s="45"/>
      <c r="AC1012" s="45"/>
      <c r="AD1012" s="45"/>
      <c r="AE1012" s="45"/>
      <c r="AF1012" s="45"/>
      <c r="AG1012" s="45"/>
      <c r="AH1012" s="45"/>
      <c r="AI1012" s="45"/>
      <c r="AJ1012" s="45"/>
      <c r="AK1012" s="45"/>
      <c r="AL1012" s="45"/>
      <c r="AM1012" s="45"/>
      <c r="AN1012" s="45"/>
      <c r="AO1012" s="45"/>
      <c r="AP1012" s="45"/>
      <c r="AQ1012" s="36"/>
      <c r="AR1012" s="36"/>
      <c r="AS1012" s="36"/>
      <c r="AT1012" s="36"/>
      <c r="AU1012" s="36"/>
      <c r="AV1012" s="36"/>
      <c r="AW1012" s="36"/>
      <c r="AX1012" s="36"/>
      <c r="AY1012" s="36"/>
      <c r="AZ1012" s="36"/>
      <c r="BA1012" s="36"/>
      <c r="BB1012" s="36"/>
      <c r="BC1012" s="36"/>
      <c r="BD1012" s="36"/>
      <c r="BE1012" s="36"/>
      <c r="BF1012" s="36"/>
      <c r="BG1012" s="36"/>
      <c r="BH1012" s="36"/>
      <c r="BI1012" s="36"/>
      <c r="BJ1012" s="36"/>
      <c r="BK1012" s="36"/>
      <c r="BL1012" s="36"/>
      <c r="BM1012" s="36"/>
      <c r="BN1012" s="36"/>
      <c r="BO1012" s="36"/>
      <c r="BP1012" s="36"/>
      <c r="BQ1012" s="36"/>
    </row>
    <row r="1013">
      <c r="A1013" s="45"/>
      <c r="B1013" s="45"/>
      <c r="C1013" s="45"/>
      <c r="D1013" s="45"/>
      <c r="E1013" s="45"/>
      <c r="F1013" s="45"/>
      <c r="G1013" s="45"/>
      <c r="H1013" s="45"/>
      <c r="I1013" s="45"/>
      <c r="J1013" s="45"/>
      <c r="K1013" s="45"/>
      <c r="L1013" s="45"/>
      <c r="M1013" s="45"/>
      <c r="N1013" s="45"/>
      <c r="O1013" s="45"/>
      <c r="P1013" s="45"/>
      <c r="Q1013" s="45"/>
      <c r="R1013" s="51"/>
      <c r="S1013" s="51"/>
      <c r="T1013" s="51"/>
      <c r="U1013" s="51"/>
      <c r="V1013" s="51"/>
      <c r="W1013" s="51"/>
      <c r="X1013" s="51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5"/>
      <c r="AM1013" s="45"/>
      <c r="AN1013" s="45"/>
      <c r="AO1013" s="45"/>
      <c r="AP1013" s="45"/>
      <c r="AQ1013" s="36"/>
      <c r="AR1013" s="36"/>
      <c r="AS1013" s="36"/>
      <c r="AT1013" s="36"/>
      <c r="AU1013" s="36"/>
      <c r="AV1013" s="36"/>
      <c r="AW1013" s="36"/>
      <c r="AX1013" s="36"/>
      <c r="AY1013" s="36"/>
      <c r="AZ1013" s="36"/>
      <c r="BA1013" s="36"/>
      <c r="BB1013" s="36"/>
      <c r="BC1013" s="36"/>
      <c r="BD1013" s="36"/>
      <c r="BE1013" s="36"/>
      <c r="BF1013" s="36"/>
      <c r="BG1013" s="36"/>
      <c r="BH1013" s="36"/>
      <c r="BI1013" s="36"/>
      <c r="BJ1013" s="36"/>
      <c r="BK1013" s="36"/>
      <c r="BL1013" s="36"/>
      <c r="BM1013" s="36"/>
      <c r="BN1013" s="36"/>
      <c r="BO1013" s="36"/>
      <c r="BP1013" s="36"/>
      <c r="BQ1013" s="36"/>
    </row>
    <row r="1014">
      <c r="A1014" s="45"/>
      <c r="B1014" s="45"/>
      <c r="C1014" s="45"/>
      <c r="D1014" s="45"/>
      <c r="E1014" s="45"/>
      <c r="F1014" s="45"/>
      <c r="G1014" s="45"/>
      <c r="H1014" s="45"/>
      <c r="I1014" s="45"/>
      <c r="J1014" s="45"/>
      <c r="K1014" s="45"/>
      <c r="L1014" s="45"/>
      <c r="M1014" s="45"/>
      <c r="N1014" s="45"/>
      <c r="O1014" s="45"/>
      <c r="P1014" s="45"/>
      <c r="Q1014" s="45"/>
      <c r="R1014" s="51"/>
      <c r="S1014" s="51"/>
      <c r="T1014" s="51"/>
      <c r="U1014" s="51"/>
      <c r="V1014" s="51"/>
      <c r="W1014" s="51"/>
      <c r="X1014" s="51"/>
      <c r="Y1014" s="45"/>
      <c r="Z1014" s="45"/>
      <c r="AA1014" s="45"/>
      <c r="AB1014" s="45"/>
      <c r="AC1014" s="45"/>
      <c r="AD1014" s="45"/>
      <c r="AE1014" s="45"/>
      <c r="AF1014" s="45"/>
      <c r="AG1014" s="45"/>
      <c r="AH1014" s="45"/>
      <c r="AI1014" s="45"/>
      <c r="AJ1014" s="45"/>
      <c r="AK1014" s="45"/>
      <c r="AL1014" s="45"/>
      <c r="AM1014" s="45"/>
      <c r="AN1014" s="45"/>
      <c r="AO1014" s="45"/>
      <c r="AP1014" s="45"/>
      <c r="AQ1014" s="36"/>
      <c r="AR1014" s="36"/>
      <c r="AS1014" s="36"/>
      <c r="AT1014" s="36"/>
      <c r="AU1014" s="36"/>
      <c r="AV1014" s="36"/>
      <c r="AW1014" s="36"/>
      <c r="AX1014" s="36"/>
      <c r="AY1014" s="36"/>
      <c r="AZ1014" s="36"/>
      <c r="BA1014" s="36"/>
      <c r="BB1014" s="36"/>
      <c r="BC1014" s="36"/>
      <c r="BD1014" s="36"/>
      <c r="BE1014" s="36"/>
      <c r="BF1014" s="36"/>
      <c r="BG1014" s="36"/>
      <c r="BH1014" s="36"/>
      <c r="BI1014" s="36"/>
      <c r="BJ1014" s="36"/>
      <c r="BK1014" s="36"/>
      <c r="BL1014" s="36"/>
      <c r="BM1014" s="36"/>
      <c r="BN1014" s="36"/>
      <c r="BO1014" s="36"/>
      <c r="BP1014" s="36"/>
      <c r="BQ1014" s="36"/>
    </row>
    <row r="1015">
      <c r="A1015" s="45"/>
      <c r="B1015" s="45"/>
      <c r="C1015" s="45"/>
      <c r="D1015" s="45"/>
      <c r="E1015" s="45"/>
      <c r="F1015" s="45"/>
      <c r="G1015" s="45"/>
      <c r="H1015" s="45"/>
      <c r="I1015" s="45"/>
      <c r="J1015" s="45"/>
      <c r="K1015" s="45"/>
      <c r="L1015" s="45"/>
      <c r="M1015" s="45"/>
      <c r="N1015" s="45"/>
      <c r="O1015" s="45"/>
      <c r="P1015" s="45"/>
      <c r="Q1015" s="45"/>
      <c r="R1015" s="51"/>
      <c r="S1015" s="51"/>
      <c r="T1015" s="51"/>
      <c r="U1015" s="51"/>
      <c r="V1015" s="51"/>
      <c r="W1015" s="51"/>
      <c r="X1015" s="51"/>
      <c r="Y1015" s="45"/>
      <c r="Z1015" s="45"/>
      <c r="AA1015" s="45"/>
      <c r="AB1015" s="45"/>
      <c r="AC1015" s="45"/>
      <c r="AD1015" s="45"/>
      <c r="AE1015" s="45"/>
      <c r="AF1015" s="45"/>
      <c r="AG1015" s="45"/>
      <c r="AH1015" s="45"/>
      <c r="AI1015" s="45"/>
      <c r="AJ1015" s="45"/>
      <c r="AK1015" s="45"/>
      <c r="AL1015" s="45"/>
      <c r="AM1015" s="45"/>
      <c r="AN1015" s="45"/>
      <c r="AO1015" s="45"/>
      <c r="AP1015" s="45"/>
      <c r="AQ1015" s="36"/>
      <c r="AR1015" s="36"/>
      <c r="AS1015" s="36"/>
      <c r="AT1015" s="36"/>
      <c r="AU1015" s="36"/>
      <c r="AV1015" s="36"/>
      <c r="AW1015" s="36"/>
      <c r="AX1015" s="36"/>
      <c r="AY1015" s="36"/>
      <c r="AZ1015" s="36"/>
      <c r="BA1015" s="36"/>
      <c r="BB1015" s="36"/>
      <c r="BC1015" s="36"/>
      <c r="BD1015" s="36"/>
      <c r="BE1015" s="36"/>
      <c r="BF1015" s="36"/>
      <c r="BG1015" s="36"/>
      <c r="BH1015" s="36"/>
      <c r="BI1015" s="36"/>
      <c r="BJ1015" s="36"/>
      <c r="BK1015" s="36"/>
      <c r="BL1015" s="36"/>
      <c r="BM1015" s="36"/>
      <c r="BN1015" s="36"/>
      <c r="BO1015" s="36"/>
      <c r="BP1015" s="36"/>
      <c r="BQ1015" s="36"/>
    </row>
    <row r="1016">
      <c r="A1016" s="45"/>
      <c r="B1016" s="45"/>
      <c r="C1016" s="45"/>
      <c r="D1016" s="45"/>
      <c r="E1016" s="45"/>
      <c r="F1016" s="45"/>
      <c r="G1016" s="45"/>
      <c r="H1016" s="45"/>
      <c r="I1016" s="45"/>
      <c r="J1016" s="45"/>
      <c r="K1016" s="45"/>
      <c r="L1016" s="45"/>
      <c r="M1016" s="45"/>
      <c r="N1016" s="45"/>
      <c r="O1016" s="45"/>
      <c r="P1016" s="45"/>
      <c r="Q1016" s="45"/>
      <c r="R1016" s="51"/>
      <c r="S1016" s="51"/>
      <c r="T1016" s="51"/>
      <c r="U1016" s="51"/>
      <c r="V1016" s="51"/>
      <c r="W1016" s="51"/>
      <c r="X1016" s="51"/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5"/>
      <c r="AM1016" s="45"/>
      <c r="AN1016" s="45"/>
      <c r="AO1016" s="45"/>
      <c r="AP1016" s="45"/>
      <c r="AQ1016" s="36"/>
      <c r="AR1016" s="36"/>
      <c r="AS1016" s="36"/>
      <c r="AT1016" s="36"/>
      <c r="AU1016" s="36"/>
      <c r="AV1016" s="36"/>
      <c r="AW1016" s="36"/>
      <c r="AX1016" s="36"/>
      <c r="AY1016" s="36"/>
      <c r="AZ1016" s="36"/>
      <c r="BA1016" s="36"/>
      <c r="BB1016" s="36"/>
      <c r="BC1016" s="36"/>
      <c r="BD1016" s="36"/>
      <c r="BE1016" s="36"/>
      <c r="BF1016" s="36"/>
      <c r="BG1016" s="36"/>
      <c r="BH1016" s="36"/>
      <c r="BI1016" s="36"/>
      <c r="BJ1016" s="36"/>
      <c r="BK1016" s="36"/>
      <c r="BL1016" s="36"/>
      <c r="BM1016" s="36"/>
      <c r="BN1016" s="36"/>
      <c r="BO1016" s="36"/>
      <c r="BP1016" s="36"/>
      <c r="BQ1016" s="36"/>
    </row>
    <row r="1017">
      <c r="A1017" s="45"/>
      <c r="B1017" s="45"/>
      <c r="C1017" s="45"/>
      <c r="D1017" s="45"/>
      <c r="E1017" s="45"/>
      <c r="F1017" s="45"/>
      <c r="G1017" s="45"/>
      <c r="H1017" s="45"/>
      <c r="I1017" s="45"/>
      <c r="J1017" s="45"/>
      <c r="K1017" s="45"/>
      <c r="L1017" s="45"/>
      <c r="M1017" s="45"/>
      <c r="N1017" s="45"/>
      <c r="O1017" s="45"/>
      <c r="P1017" s="45"/>
      <c r="Q1017" s="45"/>
      <c r="R1017" s="51"/>
      <c r="S1017" s="51"/>
      <c r="T1017" s="51"/>
      <c r="U1017" s="51"/>
      <c r="V1017" s="51"/>
      <c r="W1017" s="51"/>
      <c r="X1017" s="51"/>
      <c r="Y1017" s="45"/>
      <c r="Z1017" s="45"/>
      <c r="AA1017" s="45"/>
      <c r="AB1017" s="45"/>
      <c r="AC1017" s="45"/>
      <c r="AD1017" s="45"/>
      <c r="AE1017" s="45"/>
      <c r="AF1017" s="45"/>
      <c r="AG1017" s="45"/>
      <c r="AH1017" s="45"/>
      <c r="AI1017" s="45"/>
      <c r="AJ1017" s="45"/>
      <c r="AK1017" s="45"/>
      <c r="AL1017" s="45"/>
      <c r="AM1017" s="45"/>
      <c r="AN1017" s="45"/>
      <c r="AO1017" s="45"/>
      <c r="AP1017" s="45"/>
      <c r="AQ1017" s="36"/>
      <c r="AR1017" s="36"/>
      <c r="AS1017" s="36"/>
      <c r="AT1017" s="36"/>
      <c r="AU1017" s="36"/>
      <c r="AV1017" s="36"/>
      <c r="AW1017" s="36"/>
      <c r="AX1017" s="36"/>
      <c r="AY1017" s="36"/>
      <c r="AZ1017" s="36"/>
      <c r="BA1017" s="36"/>
      <c r="BB1017" s="36"/>
      <c r="BC1017" s="36"/>
      <c r="BD1017" s="36"/>
      <c r="BE1017" s="36"/>
      <c r="BF1017" s="36"/>
      <c r="BG1017" s="36"/>
      <c r="BH1017" s="36"/>
      <c r="BI1017" s="36"/>
      <c r="BJ1017" s="36"/>
      <c r="BK1017" s="36"/>
      <c r="BL1017" s="36"/>
      <c r="BM1017" s="36"/>
      <c r="BN1017" s="36"/>
      <c r="BO1017" s="36"/>
      <c r="BP1017" s="36"/>
      <c r="BQ1017" s="36"/>
    </row>
    <row r="1018">
      <c r="A1018" s="45"/>
      <c r="B1018" s="45"/>
      <c r="C1018" s="45"/>
      <c r="D1018" s="45"/>
      <c r="E1018" s="45"/>
      <c r="F1018" s="45"/>
      <c r="G1018" s="45"/>
      <c r="H1018" s="45"/>
      <c r="I1018" s="45"/>
      <c r="J1018" s="45"/>
      <c r="K1018" s="45"/>
      <c r="L1018" s="45"/>
      <c r="M1018" s="45"/>
      <c r="N1018" s="45"/>
      <c r="O1018" s="45"/>
      <c r="P1018" s="45"/>
      <c r="Q1018" s="45"/>
      <c r="R1018" s="51"/>
      <c r="S1018" s="51"/>
      <c r="T1018" s="51"/>
      <c r="U1018" s="51"/>
      <c r="V1018" s="51"/>
      <c r="W1018" s="51"/>
      <c r="X1018" s="51"/>
      <c r="Y1018" s="45"/>
      <c r="Z1018" s="45"/>
      <c r="AA1018" s="45"/>
      <c r="AB1018" s="45"/>
      <c r="AC1018" s="45"/>
      <c r="AD1018" s="45"/>
      <c r="AE1018" s="45"/>
      <c r="AF1018" s="45"/>
      <c r="AG1018" s="45"/>
      <c r="AH1018" s="45"/>
      <c r="AI1018" s="45"/>
      <c r="AJ1018" s="45"/>
      <c r="AK1018" s="45"/>
      <c r="AL1018" s="45"/>
      <c r="AM1018" s="45"/>
      <c r="AN1018" s="45"/>
      <c r="AO1018" s="45"/>
      <c r="AP1018" s="45"/>
      <c r="AQ1018" s="36"/>
      <c r="AR1018" s="36"/>
      <c r="AS1018" s="36"/>
      <c r="AT1018" s="36"/>
      <c r="AU1018" s="36"/>
      <c r="AV1018" s="36"/>
      <c r="AW1018" s="36"/>
      <c r="AX1018" s="36"/>
      <c r="AY1018" s="36"/>
      <c r="AZ1018" s="36"/>
      <c r="BA1018" s="36"/>
      <c r="BB1018" s="36"/>
      <c r="BC1018" s="36"/>
      <c r="BD1018" s="36"/>
      <c r="BE1018" s="36"/>
      <c r="BF1018" s="36"/>
      <c r="BG1018" s="36"/>
      <c r="BH1018" s="36"/>
      <c r="BI1018" s="36"/>
      <c r="BJ1018" s="36"/>
      <c r="BK1018" s="36"/>
      <c r="BL1018" s="36"/>
      <c r="BM1018" s="36"/>
      <c r="BN1018" s="36"/>
      <c r="BO1018" s="36"/>
      <c r="BP1018" s="36"/>
      <c r="BQ1018" s="36"/>
    </row>
    <row r="1019">
      <c r="A1019" s="45"/>
      <c r="B1019" s="45"/>
      <c r="C1019" s="45"/>
      <c r="D1019" s="45"/>
      <c r="E1019" s="45"/>
      <c r="F1019" s="45"/>
      <c r="G1019" s="45"/>
      <c r="H1019" s="45"/>
      <c r="I1019" s="45"/>
      <c r="J1019" s="45"/>
      <c r="K1019" s="45"/>
      <c r="L1019" s="45"/>
      <c r="M1019" s="45"/>
      <c r="N1019" s="45"/>
      <c r="O1019" s="45"/>
      <c r="P1019" s="45"/>
      <c r="Q1019" s="45"/>
      <c r="R1019" s="51"/>
      <c r="S1019" s="51"/>
      <c r="T1019" s="51"/>
      <c r="U1019" s="51"/>
      <c r="V1019" s="51"/>
      <c r="W1019" s="51"/>
      <c r="X1019" s="51"/>
      <c r="Y1019" s="45"/>
      <c r="Z1019" s="45"/>
      <c r="AA1019" s="45"/>
      <c r="AB1019" s="45"/>
      <c r="AC1019" s="45"/>
      <c r="AD1019" s="45"/>
      <c r="AE1019" s="45"/>
      <c r="AF1019" s="45"/>
      <c r="AG1019" s="45"/>
      <c r="AH1019" s="45"/>
      <c r="AI1019" s="45"/>
      <c r="AJ1019" s="45"/>
      <c r="AK1019" s="45"/>
      <c r="AL1019" s="45"/>
      <c r="AM1019" s="45"/>
      <c r="AN1019" s="45"/>
      <c r="AO1019" s="45"/>
      <c r="AP1019" s="45"/>
      <c r="AQ1019" s="36"/>
      <c r="AR1019" s="36"/>
      <c r="AS1019" s="36"/>
      <c r="AT1019" s="36"/>
      <c r="AU1019" s="36"/>
      <c r="AV1019" s="36"/>
      <c r="AW1019" s="36"/>
      <c r="AX1019" s="36"/>
      <c r="AY1019" s="36"/>
      <c r="AZ1019" s="36"/>
      <c r="BA1019" s="36"/>
      <c r="BB1019" s="36"/>
      <c r="BC1019" s="36"/>
      <c r="BD1019" s="36"/>
      <c r="BE1019" s="36"/>
      <c r="BF1019" s="36"/>
      <c r="BG1019" s="36"/>
      <c r="BH1019" s="36"/>
      <c r="BI1019" s="36"/>
      <c r="BJ1019" s="36"/>
      <c r="BK1019" s="36"/>
      <c r="BL1019" s="36"/>
      <c r="BM1019" s="36"/>
      <c r="BN1019" s="36"/>
      <c r="BO1019" s="36"/>
      <c r="BP1019" s="36"/>
      <c r="BQ1019" s="36"/>
    </row>
    <row r="1020">
      <c r="A1020" s="45"/>
      <c r="B1020" s="45"/>
      <c r="C1020" s="45"/>
      <c r="D1020" s="45"/>
      <c r="E1020" s="45"/>
      <c r="F1020" s="45"/>
      <c r="G1020" s="45"/>
      <c r="H1020" s="45"/>
      <c r="I1020" s="45"/>
      <c r="J1020" s="45"/>
      <c r="K1020" s="45"/>
      <c r="L1020" s="45"/>
      <c r="M1020" s="45"/>
      <c r="N1020" s="45"/>
      <c r="O1020" s="45"/>
      <c r="P1020" s="45"/>
      <c r="Q1020" s="45"/>
      <c r="R1020" s="51"/>
      <c r="S1020" s="51"/>
      <c r="T1020" s="51"/>
      <c r="U1020" s="51"/>
      <c r="V1020" s="51"/>
      <c r="W1020" s="51"/>
      <c r="X1020" s="51"/>
      <c r="Y1020" s="45"/>
      <c r="Z1020" s="45"/>
      <c r="AA1020" s="45"/>
      <c r="AB1020" s="45"/>
      <c r="AC1020" s="45"/>
      <c r="AD1020" s="45"/>
      <c r="AE1020" s="45"/>
      <c r="AF1020" s="45"/>
      <c r="AG1020" s="45"/>
      <c r="AH1020" s="45"/>
      <c r="AI1020" s="45"/>
      <c r="AJ1020" s="45"/>
      <c r="AK1020" s="45"/>
      <c r="AL1020" s="45"/>
      <c r="AM1020" s="45"/>
      <c r="AN1020" s="45"/>
      <c r="AO1020" s="45"/>
      <c r="AP1020" s="45"/>
      <c r="AQ1020" s="36"/>
      <c r="AR1020" s="36"/>
      <c r="AS1020" s="36"/>
      <c r="AT1020" s="36"/>
      <c r="AU1020" s="36"/>
      <c r="AV1020" s="36"/>
      <c r="AW1020" s="36"/>
      <c r="AX1020" s="36"/>
      <c r="AY1020" s="36"/>
      <c r="AZ1020" s="36"/>
      <c r="BA1020" s="36"/>
      <c r="BB1020" s="36"/>
      <c r="BC1020" s="36"/>
      <c r="BD1020" s="36"/>
      <c r="BE1020" s="36"/>
      <c r="BF1020" s="36"/>
      <c r="BG1020" s="36"/>
      <c r="BH1020" s="36"/>
      <c r="BI1020" s="36"/>
      <c r="BJ1020" s="36"/>
      <c r="BK1020" s="36"/>
      <c r="BL1020" s="36"/>
      <c r="BM1020" s="36"/>
      <c r="BN1020" s="36"/>
      <c r="BO1020" s="36"/>
      <c r="BP1020" s="36"/>
      <c r="BQ1020" s="36"/>
    </row>
    <row r="1021">
      <c r="A1021" s="45"/>
      <c r="B1021" s="45"/>
      <c r="C1021" s="45"/>
      <c r="D1021" s="45"/>
      <c r="E1021" s="45"/>
      <c r="F1021" s="45"/>
      <c r="G1021" s="45"/>
      <c r="H1021" s="45"/>
      <c r="I1021" s="45"/>
      <c r="J1021" s="45"/>
      <c r="K1021" s="45"/>
      <c r="L1021" s="45"/>
      <c r="M1021" s="45"/>
      <c r="N1021" s="45"/>
      <c r="O1021" s="45"/>
      <c r="P1021" s="45"/>
      <c r="Q1021" s="45"/>
      <c r="R1021" s="51"/>
      <c r="S1021" s="51"/>
      <c r="T1021" s="51"/>
      <c r="U1021" s="51"/>
      <c r="V1021" s="51"/>
      <c r="W1021" s="51"/>
      <c r="X1021" s="51"/>
      <c r="Y1021" s="45"/>
      <c r="Z1021" s="45"/>
      <c r="AA1021" s="45"/>
      <c r="AB1021" s="45"/>
      <c r="AC1021" s="45"/>
      <c r="AD1021" s="45"/>
      <c r="AE1021" s="45"/>
      <c r="AF1021" s="45"/>
      <c r="AG1021" s="45"/>
      <c r="AH1021" s="45"/>
      <c r="AI1021" s="45"/>
      <c r="AJ1021" s="45"/>
      <c r="AK1021" s="45"/>
      <c r="AL1021" s="45"/>
      <c r="AM1021" s="45"/>
      <c r="AN1021" s="45"/>
      <c r="AO1021" s="45"/>
      <c r="AP1021" s="45"/>
      <c r="AQ1021" s="36"/>
      <c r="AR1021" s="36"/>
      <c r="AS1021" s="36"/>
      <c r="AT1021" s="36"/>
      <c r="AU1021" s="36"/>
      <c r="AV1021" s="36"/>
      <c r="AW1021" s="36"/>
      <c r="AX1021" s="36"/>
      <c r="AY1021" s="36"/>
      <c r="AZ1021" s="36"/>
      <c r="BA1021" s="36"/>
      <c r="BB1021" s="36"/>
      <c r="BC1021" s="36"/>
      <c r="BD1021" s="36"/>
      <c r="BE1021" s="36"/>
      <c r="BF1021" s="36"/>
      <c r="BG1021" s="36"/>
      <c r="BH1021" s="36"/>
      <c r="BI1021" s="36"/>
      <c r="BJ1021" s="36"/>
      <c r="BK1021" s="36"/>
      <c r="BL1021" s="36"/>
      <c r="BM1021" s="36"/>
      <c r="BN1021" s="36"/>
      <c r="BO1021" s="36"/>
      <c r="BP1021" s="36"/>
      <c r="BQ1021" s="36"/>
    </row>
    <row r="1022">
      <c r="A1022" s="45"/>
      <c r="B1022" s="45"/>
      <c r="C1022" s="45"/>
      <c r="D1022" s="45"/>
      <c r="E1022" s="45"/>
      <c r="F1022" s="45"/>
      <c r="G1022" s="45"/>
      <c r="H1022" s="45"/>
      <c r="I1022" s="45"/>
      <c r="J1022" s="45"/>
      <c r="K1022" s="45"/>
      <c r="L1022" s="45"/>
      <c r="M1022" s="45"/>
      <c r="N1022" s="45"/>
      <c r="O1022" s="45"/>
      <c r="P1022" s="45"/>
      <c r="Q1022" s="45"/>
      <c r="R1022" s="51"/>
      <c r="S1022" s="51"/>
      <c r="T1022" s="51"/>
      <c r="U1022" s="51"/>
      <c r="V1022" s="51"/>
      <c r="W1022" s="51"/>
      <c r="X1022" s="51"/>
      <c r="Y1022" s="45"/>
      <c r="Z1022" s="45"/>
      <c r="AA1022" s="45"/>
      <c r="AB1022" s="45"/>
      <c r="AC1022" s="45"/>
      <c r="AD1022" s="45"/>
      <c r="AE1022" s="45"/>
      <c r="AF1022" s="45"/>
      <c r="AG1022" s="45"/>
      <c r="AH1022" s="45"/>
      <c r="AI1022" s="45"/>
      <c r="AJ1022" s="45"/>
      <c r="AK1022" s="45"/>
      <c r="AL1022" s="45"/>
      <c r="AM1022" s="45"/>
      <c r="AN1022" s="45"/>
      <c r="AO1022" s="45"/>
      <c r="AP1022" s="45"/>
      <c r="AQ1022" s="36"/>
      <c r="AR1022" s="36"/>
      <c r="AS1022" s="36"/>
      <c r="AT1022" s="36"/>
      <c r="AU1022" s="36"/>
      <c r="AV1022" s="36"/>
      <c r="AW1022" s="36"/>
      <c r="AX1022" s="36"/>
      <c r="AY1022" s="36"/>
      <c r="AZ1022" s="36"/>
      <c r="BA1022" s="36"/>
      <c r="BB1022" s="36"/>
      <c r="BC1022" s="36"/>
      <c r="BD1022" s="36"/>
      <c r="BE1022" s="36"/>
      <c r="BF1022" s="36"/>
      <c r="BG1022" s="36"/>
      <c r="BH1022" s="36"/>
      <c r="BI1022" s="36"/>
      <c r="BJ1022" s="36"/>
      <c r="BK1022" s="36"/>
      <c r="BL1022" s="36"/>
      <c r="BM1022" s="36"/>
      <c r="BN1022" s="36"/>
      <c r="BO1022" s="36"/>
      <c r="BP1022" s="36"/>
      <c r="BQ1022" s="36"/>
    </row>
    <row r="1023">
      <c r="A1023" s="45"/>
      <c r="B1023" s="45"/>
      <c r="C1023" s="45"/>
      <c r="D1023" s="45"/>
      <c r="E1023" s="45"/>
      <c r="F1023" s="45"/>
      <c r="G1023" s="45"/>
      <c r="H1023" s="45"/>
      <c r="I1023" s="45"/>
      <c r="J1023" s="45"/>
      <c r="K1023" s="45"/>
      <c r="L1023" s="45"/>
      <c r="M1023" s="45"/>
      <c r="N1023" s="45"/>
      <c r="O1023" s="45"/>
      <c r="P1023" s="45"/>
      <c r="Q1023" s="45"/>
      <c r="R1023" s="51"/>
      <c r="S1023" s="51"/>
      <c r="T1023" s="51"/>
      <c r="U1023" s="51"/>
      <c r="V1023" s="51"/>
      <c r="W1023" s="51"/>
      <c r="X1023" s="51"/>
      <c r="Y1023" s="45"/>
      <c r="Z1023" s="45"/>
      <c r="AA1023" s="45"/>
      <c r="AB1023" s="45"/>
      <c r="AC1023" s="45"/>
      <c r="AD1023" s="45"/>
      <c r="AE1023" s="45"/>
      <c r="AF1023" s="45"/>
      <c r="AG1023" s="45"/>
      <c r="AH1023" s="45"/>
      <c r="AI1023" s="45"/>
      <c r="AJ1023" s="45"/>
      <c r="AK1023" s="45"/>
      <c r="AL1023" s="45"/>
      <c r="AM1023" s="45"/>
      <c r="AN1023" s="45"/>
      <c r="AO1023" s="45"/>
      <c r="AP1023" s="45"/>
      <c r="AQ1023" s="36"/>
      <c r="AR1023" s="36"/>
      <c r="AS1023" s="36"/>
      <c r="AT1023" s="36"/>
      <c r="AU1023" s="36"/>
      <c r="AV1023" s="36"/>
      <c r="AW1023" s="36"/>
      <c r="AX1023" s="36"/>
      <c r="AY1023" s="36"/>
      <c r="AZ1023" s="36"/>
      <c r="BA1023" s="36"/>
      <c r="BB1023" s="36"/>
      <c r="BC1023" s="36"/>
      <c r="BD1023" s="36"/>
      <c r="BE1023" s="36"/>
      <c r="BF1023" s="36"/>
      <c r="BG1023" s="36"/>
      <c r="BH1023" s="36"/>
      <c r="BI1023" s="36"/>
      <c r="BJ1023" s="36"/>
      <c r="BK1023" s="36"/>
      <c r="BL1023" s="36"/>
      <c r="BM1023" s="36"/>
      <c r="BN1023" s="36"/>
      <c r="BO1023" s="36"/>
      <c r="BP1023" s="36"/>
      <c r="BQ1023" s="36"/>
    </row>
    <row r="1024">
      <c r="A1024" s="45"/>
      <c r="B1024" s="45"/>
      <c r="C1024" s="45"/>
      <c r="D1024" s="45"/>
      <c r="E1024" s="45"/>
      <c r="F1024" s="45"/>
      <c r="G1024" s="45"/>
      <c r="H1024" s="45"/>
      <c r="I1024" s="45"/>
      <c r="J1024" s="45"/>
      <c r="K1024" s="45"/>
      <c r="L1024" s="45"/>
      <c r="M1024" s="45"/>
      <c r="N1024" s="45"/>
      <c r="O1024" s="45"/>
      <c r="P1024" s="45"/>
      <c r="Q1024" s="45"/>
      <c r="R1024" s="51"/>
      <c r="S1024" s="51"/>
      <c r="T1024" s="51"/>
      <c r="U1024" s="51"/>
      <c r="V1024" s="51"/>
      <c r="W1024" s="51"/>
      <c r="X1024" s="51"/>
      <c r="Y1024" s="45"/>
      <c r="Z1024" s="45"/>
      <c r="AA1024" s="45"/>
      <c r="AB1024" s="45"/>
      <c r="AC1024" s="45"/>
      <c r="AD1024" s="45"/>
      <c r="AE1024" s="45"/>
      <c r="AF1024" s="45"/>
      <c r="AG1024" s="45"/>
      <c r="AH1024" s="45"/>
      <c r="AI1024" s="45"/>
      <c r="AJ1024" s="45"/>
      <c r="AK1024" s="45"/>
      <c r="AL1024" s="45"/>
      <c r="AM1024" s="45"/>
      <c r="AN1024" s="45"/>
      <c r="AO1024" s="45"/>
      <c r="AP1024" s="45"/>
      <c r="AQ1024" s="36"/>
      <c r="AR1024" s="36"/>
      <c r="AS1024" s="36"/>
      <c r="AT1024" s="36"/>
      <c r="AU1024" s="36"/>
      <c r="AV1024" s="36"/>
      <c r="AW1024" s="36"/>
      <c r="AX1024" s="36"/>
      <c r="AY1024" s="36"/>
      <c r="AZ1024" s="36"/>
      <c r="BA1024" s="36"/>
      <c r="BB1024" s="36"/>
      <c r="BC1024" s="36"/>
      <c r="BD1024" s="36"/>
      <c r="BE1024" s="36"/>
      <c r="BF1024" s="36"/>
      <c r="BG1024" s="36"/>
      <c r="BH1024" s="36"/>
      <c r="BI1024" s="36"/>
      <c r="BJ1024" s="36"/>
      <c r="BK1024" s="36"/>
      <c r="BL1024" s="36"/>
      <c r="BM1024" s="36"/>
      <c r="BN1024" s="36"/>
      <c r="BO1024" s="36"/>
      <c r="BP1024" s="36"/>
      <c r="BQ1024" s="36"/>
    </row>
    <row r="1025">
      <c r="A1025" s="45"/>
      <c r="B1025" s="45"/>
      <c r="C1025" s="45"/>
      <c r="D1025" s="45"/>
      <c r="E1025" s="45"/>
      <c r="F1025" s="45"/>
      <c r="G1025" s="45"/>
      <c r="H1025" s="45"/>
      <c r="I1025" s="45"/>
      <c r="J1025" s="45"/>
      <c r="K1025" s="45"/>
      <c r="L1025" s="45"/>
      <c r="M1025" s="45"/>
      <c r="N1025" s="45"/>
      <c r="O1025" s="45"/>
      <c r="P1025" s="45"/>
      <c r="Q1025" s="45"/>
      <c r="R1025" s="51"/>
      <c r="S1025" s="51"/>
      <c r="T1025" s="51"/>
      <c r="U1025" s="51"/>
      <c r="V1025" s="51"/>
      <c r="W1025" s="51"/>
      <c r="X1025" s="51"/>
      <c r="Y1025" s="45"/>
      <c r="Z1025" s="45"/>
      <c r="AA1025" s="45"/>
      <c r="AB1025" s="45"/>
      <c r="AC1025" s="45"/>
      <c r="AD1025" s="45"/>
      <c r="AE1025" s="45"/>
      <c r="AF1025" s="45"/>
      <c r="AG1025" s="45"/>
      <c r="AH1025" s="45"/>
      <c r="AI1025" s="45"/>
      <c r="AJ1025" s="45"/>
      <c r="AK1025" s="45"/>
      <c r="AL1025" s="45"/>
      <c r="AM1025" s="45"/>
      <c r="AN1025" s="45"/>
      <c r="AO1025" s="45"/>
      <c r="AP1025" s="45"/>
      <c r="AQ1025" s="36"/>
      <c r="AR1025" s="36"/>
      <c r="AS1025" s="36"/>
      <c r="AT1025" s="36"/>
      <c r="AU1025" s="36"/>
      <c r="AV1025" s="36"/>
      <c r="AW1025" s="36"/>
      <c r="AX1025" s="36"/>
      <c r="AY1025" s="36"/>
      <c r="AZ1025" s="36"/>
      <c r="BA1025" s="36"/>
      <c r="BB1025" s="36"/>
      <c r="BC1025" s="36"/>
      <c r="BD1025" s="36"/>
      <c r="BE1025" s="36"/>
      <c r="BF1025" s="36"/>
      <c r="BG1025" s="36"/>
      <c r="BH1025" s="36"/>
      <c r="BI1025" s="36"/>
      <c r="BJ1025" s="36"/>
      <c r="BK1025" s="36"/>
      <c r="BL1025" s="36"/>
      <c r="BM1025" s="36"/>
      <c r="BN1025" s="36"/>
      <c r="BO1025" s="36"/>
      <c r="BP1025" s="36"/>
      <c r="BQ1025" s="36"/>
    </row>
    <row r="1026">
      <c r="A1026" s="45"/>
      <c r="B1026" s="45"/>
      <c r="C1026" s="45"/>
      <c r="D1026" s="45"/>
      <c r="E1026" s="45"/>
      <c r="F1026" s="45"/>
      <c r="G1026" s="45"/>
      <c r="H1026" s="45"/>
      <c r="I1026" s="45"/>
      <c r="J1026" s="45"/>
      <c r="K1026" s="45"/>
      <c r="L1026" s="45"/>
      <c r="M1026" s="45"/>
      <c r="N1026" s="45"/>
      <c r="O1026" s="45"/>
      <c r="P1026" s="45"/>
      <c r="Q1026" s="45"/>
      <c r="R1026" s="51"/>
      <c r="S1026" s="51"/>
      <c r="T1026" s="51"/>
      <c r="U1026" s="51"/>
      <c r="V1026" s="51"/>
      <c r="W1026" s="51"/>
      <c r="X1026" s="51"/>
      <c r="Y1026" s="45"/>
      <c r="Z1026" s="45"/>
      <c r="AA1026" s="45"/>
      <c r="AB1026" s="45"/>
      <c r="AC1026" s="45"/>
      <c r="AD1026" s="45"/>
      <c r="AE1026" s="45"/>
      <c r="AF1026" s="45"/>
      <c r="AG1026" s="45"/>
      <c r="AH1026" s="45"/>
      <c r="AI1026" s="45"/>
      <c r="AJ1026" s="45"/>
      <c r="AK1026" s="45"/>
      <c r="AL1026" s="45"/>
      <c r="AM1026" s="45"/>
      <c r="AN1026" s="45"/>
      <c r="AO1026" s="45"/>
      <c r="AP1026" s="45"/>
      <c r="AQ1026" s="36"/>
      <c r="AR1026" s="36"/>
      <c r="AS1026" s="36"/>
      <c r="AT1026" s="36"/>
      <c r="AU1026" s="36"/>
      <c r="AV1026" s="36"/>
      <c r="AW1026" s="36"/>
      <c r="AX1026" s="36"/>
      <c r="AY1026" s="36"/>
      <c r="AZ1026" s="36"/>
      <c r="BA1026" s="36"/>
      <c r="BB1026" s="36"/>
      <c r="BC1026" s="36"/>
      <c r="BD1026" s="36"/>
      <c r="BE1026" s="36"/>
      <c r="BF1026" s="36"/>
      <c r="BG1026" s="36"/>
      <c r="BH1026" s="36"/>
      <c r="BI1026" s="36"/>
      <c r="BJ1026" s="36"/>
      <c r="BK1026" s="36"/>
      <c r="BL1026" s="36"/>
      <c r="BM1026" s="36"/>
      <c r="BN1026" s="36"/>
      <c r="BO1026" s="36"/>
      <c r="BP1026" s="36"/>
      <c r="BQ1026" s="36"/>
    </row>
    <row r="1027">
      <c r="A1027" s="45"/>
      <c r="B1027" s="45"/>
      <c r="C1027" s="45"/>
      <c r="D1027" s="45"/>
      <c r="E1027" s="45"/>
      <c r="F1027" s="45"/>
      <c r="G1027" s="45"/>
      <c r="H1027" s="45"/>
      <c r="I1027" s="45"/>
      <c r="J1027" s="45"/>
      <c r="K1027" s="45"/>
      <c r="L1027" s="45"/>
      <c r="M1027" s="45"/>
      <c r="N1027" s="45"/>
      <c r="O1027" s="45"/>
      <c r="P1027" s="45"/>
      <c r="Q1027" s="45"/>
      <c r="R1027" s="51"/>
      <c r="S1027" s="51"/>
      <c r="T1027" s="51"/>
      <c r="U1027" s="51"/>
      <c r="V1027" s="51"/>
      <c r="W1027" s="51"/>
      <c r="X1027" s="51"/>
      <c r="Y1027" s="45"/>
      <c r="Z1027" s="45"/>
      <c r="AA1027" s="45"/>
      <c r="AB1027" s="45"/>
      <c r="AC1027" s="45"/>
      <c r="AD1027" s="45"/>
      <c r="AE1027" s="45"/>
      <c r="AF1027" s="45"/>
      <c r="AG1027" s="45"/>
      <c r="AH1027" s="45"/>
      <c r="AI1027" s="45"/>
      <c r="AJ1027" s="45"/>
      <c r="AK1027" s="45"/>
      <c r="AL1027" s="45"/>
      <c r="AM1027" s="45"/>
      <c r="AN1027" s="45"/>
      <c r="AO1027" s="45"/>
      <c r="AP1027" s="45"/>
      <c r="AQ1027" s="36"/>
      <c r="AR1027" s="36"/>
      <c r="AS1027" s="36"/>
      <c r="AT1027" s="36"/>
      <c r="AU1027" s="36"/>
      <c r="AV1027" s="36"/>
      <c r="AW1027" s="36"/>
      <c r="AX1027" s="36"/>
      <c r="AY1027" s="36"/>
      <c r="AZ1027" s="36"/>
      <c r="BA1027" s="36"/>
      <c r="BB1027" s="36"/>
      <c r="BC1027" s="36"/>
      <c r="BD1027" s="36"/>
      <c r="BE1027" s="36"/>
      <c r="BF1027" s="36"/>
      <c r="BG1027" s="36"/>
      <c r="BH1027" s="36"/>
      <c r="BI1027" s="36"/>
      <c r="BJ1027" s="36"/>
      <c r="BK1027" s="36"/>
      <c r="BL1027" s="36"/>
      <c r="BM1027" s="36"/>
      <c r="BN1027" s="36"/>
      <c r="BO1027" s="36"/>
      <c r="BP1027" s="36"/>
      <c r="BQ1027" s="36"/>
    </row>
    <row r="1028">
      <c r="A1028" s="45"/>
      <c r="B1028" s="45"/>
      <c r="C1028" s="45"/>
      <c r="D1028" s="45"/>
      <c r="E1028" s="45"/>
      <c r="F1028" s="45"/>
      <c r="G1028" s="45"/>
      <c r="H1028" s="45"/>
      <c r="I1028" s="45"/>
      <c r="J1028" s="45"/>
      <c r="K1028" s="45"/>
      <c r="L1028" s="45"/>
      <c r="M1028" s="45"/>
      <c r="N1028" s="45"/>
      <c r="O1028" s="45"/>
      <c r="P1028" s="45"/>
      <c r="Q1028" s="45"/>
      <c r="R1028" s="51"/>
      <c r="S1028" s="51"/>
      <c r="T1028" s="51"/>
      <c r="U1028" s="51"/>
      <c r="V1028" s="51"/>
      <c r="W1028" s="51"/>
      <c r="X1028" s="51"/>
      <c r="Y1028" s="45"/>
      <c r="Z1028" s="45"/>
      <c r="AA1028" s="45"/>
      <c r="AB1028" s="45"/>
      <c r="AC1028" s="45"/>
      <c r="AD1028" s="45"/>
      <c r="AE1028" s="45"/>
      <c r="AF1028" s="45"/>
      <c r="AG1028" s="45"/>
      <c r="AH1028" s="45"/>
      <c r="AI1028" s="45"/>
      <c r="AJ1028" s="45"/>
      <c r="AK1028" s="45"/>
      <c r="AL1028" s="45"/>
      <c r="AM1028" s="45"/>
      <c r="AN1028" s="45"/>
      <c r="AO1028" s="45"/>
      <c r="AP1028" s="45"/>
      <c r="AQ1028" s="36"/>
      <c r="AR1028" s="36"/>
      <c r="AS1028" s="36"/>
      <c r="AT1028" s="36"/>
      <c r="AU1028" s="36"/>
      <c r="AV1028" s="36"/>
      <c r="AW1028" s="36"/>
      <c r="AX1028" s="36"/>
      <c r="AY1028" s="36"/>
      <c r="AZ1028" s="36"/>
      <c r="BA1028" s="36"/>
      <c r="BB1028" s="36"/>
      <c r="BC1028" s="36"/>
      <c r="BD1028" s="36"/>
      <c r="BE1028" s="36"/>
      <c r="BF1028" s="36"/>
      <c r="BG1028" s="36"/>
      <c r="BH1028" s="36"/>
      <c r="BI1028" s="36"/>
      <c r="BJ1028" s="36"/>
      <c r="BK1028" s="36"/>
      <c r="BL1028" s="36"/>
      <c r="BM1028" s="36"/>
      <c r="BN1028" s="36"/>
      <c r="BO1028" s="36"/>
      <c r="BP1028" s="36"/>
      <c r="BQ1028" s="36"/>
    </row>
    <row r="1029">
      <c r="A1029" s="45"/>
      <c r="B1029" s="45"/>
      <c r="C1029" s="45"/>
      <c r="D1029" s="45"/>
      <c r="E1029" s="45"/>
      <c r="F1029" s="45"/>
      <c r="G1029" s="45"/>
      <c r="H1029" s="45"/>
      <c r="I1029" s="45"/>
      <c r="J1029" s="45"/>
      <c r="K1029" s="45"/>
      <c r="L1029" s="45"/>
      <c r="M1029" s="45"/>
      <c r="N1029" s="45"/>
      <c r="O1029" s="45"/>
      <c r="P1029" s="45"/>
      <c r="Q1029" s="45"/>
      <c r="R1029" s="51"/>
      <c r="S1029" s="51"/>
      <c r="T1029" s="51"/>
      <c r="U1029" s="51"/>
      <c r="V1029" s="51"/>
      <c r="W1029" s="51"/>
      <c r="X1029" s="51"/>
      <c r="Y1029" s="45"/>
      <c r="Z1029" s="45"/>
      <c r="AA1029" s="45"/>
      <c r="AB1029" s="45"/>
      <c r="AC1029" s="45"/>
      <c r="AD1029" s="45"/>
      <c r="AE1029" s="45"/>
      <c r="AF1029" s="45"/>
      <c r="AG1029" s="45"/>
      <c r="AH1029" s="45"/>
      <c r="AI1029" s="45"/>
      <c r="AJ1029" s="45"/>
      <c r="AK1029" s="45"/>
      <c r="AL1029" s="45"/>
      <c r="AM1029" s="45"/>
      <c r="AN1029" s="45"/>
      <c r="AO1029" s="45"/>
      <c r="AP1029" s="45"/>
      <c r="AQ1029" s="36"/>
      <c r="AR1029" s="36"/>
      <c r="AS1029" s="36"/>
      <c r="AT1029" s="36"/>
      <c r="AU1029" s="36"/>
      <c r="AV1029" s="36"/>
      <c r="AW1029" s="36"/>
      <c r="AX1029" s="36"/>
      <c r="AY1029" s="36"/>
      <c r="AZ1029" s="36"/>
      <c r="BA1029" s="36"/>
      <c r="BB1029" s="36"/>
      <c r="BC1029" s="36"/>
      <c r="BD1029" s="36"/>
      <c r="BE1029" s="36"/>
      <c r="BF1029" s="36"/>
      <c r="BG1029" s="36"/>
      <c r="BH1029" s="36"/>
      <c r="BI1029" s="36"/>
      <c r="BJ1029" s="36"/>
      <c r="BK1029" s="36"/>
      <c r="BL1029" s="36"/>
      <c r="BM1029" s="36"/>
      <c r="BN1029" s="36"/>
      <c r="BO1029" s="36"/>
      <c r="BP1029" s="36"/>
      <c r="BQ1029" s="36"/>
    </row>
    <row r="1030">
      <c r="A1030" s="45"/>
      <c r="B1030" s="45"/>
      <c r="C1030" s="45"/>
      <c r="D1030" s="45"/>
      <c r="E1030" s="45"/>
      <c r="F1030" s="45"/>
      <c r="G1030" s="45"/>
      <c r="H1030" s="45"/>
      <c r="I1030" s="45"/>
      <c r="J1030" s="45"/>
      <c r="K1030" s="45"/>
      <c r="L1030" s="45"/>
      <c r="M1030" s="45"/>
      <c r="N1030" s="45"/>
      <c r="O1030" s="45"/>
      <c r="P1030" s="45"/>
      <c r="Q1030" s="45"/>
      <c r="R1030" s="51"/>
      <c r="S1030" s="51"/>
      <c r="T1030" s="51"/>
      <c r="U1030" s="51"/>
      <c r="V1030" s="51"/>
      <c r="W1030" s="51"/>
      <c r="X1030" s="51"/>
      <c r="Y1030" s="45"/>
      <c r="Z1030" s="45"/>
      <c r="AA1030" s="45"/>
      <c r="AB1030" s="45"/>
      <c r="AC1030" s="45"/>
      <c r="AD1030" s="45"/>
      <c r="AE1030" s="45"/>
      <c r="AF1030" s="45"/>
      <c r="AG1030" s="45"/>
      <c r="AH1030" s="45"/>
      <c r="AI1030" s="45"/>
      <c r="AJ1030" s="45"/>
      <c r="AK1030" s="45"/>
      <c r="AL1030" s="45"/>
      <c r="AM1030" s="45"/>
      <c r="AN1030" s="45"/>
      <c r="AO1030" s="45"/>
      <c r="AP1030" s="45"/>
      <c r="AQ1030" s="36"/>
      <c r="AR1030" s="36"/>
      <c r="AS1030" s="36"/>
      <c r="AT1030" s="36"/>
      <c r="AU1030" s="36"/>
      <c r="AV1030" s="36"/>
      <c r="AW1030" s="36"/>
      <c r="AX1030" s="36"/>
      <c r="AY1030" s="36"/>
      <c r="AZ1030" s="36"/>
      <c r="BA1030" s="36"/>
      <c r="BB1030" s="36"/>
      <c r="BC1030" s="36"/>
      <c r="BD1030" s="36"/>
      <c r="BE1030" s="36"/>
      <c r="BF1030" s="36"/>
      <c r="BG1030" s="36"/>
      <c r="BH1030" s="36"/>
      <c r="BI1030" s="36"/>
      <c r="BJ1030" s="36"/>
      <c r="BK1030" s="36"/>
      <c r="BL1030" s="36"/>
      <c r="BM1030" s="36"/>
      <c r="BN1030" s="36"/>
      <c r="BO1030" s="36"/>
      <c r="BP1030" s="36"/>
      <c r="BQ1030" s="36"/>
    </row>
    <row r="1031">
      <c r="A1031" s="45"/>
      <c r="B1031" s="45"/>
      <c r="C1031" s="45"/>
      <c r="D1031" s="45"/>
      <c r="E1031" s="45"/>
      <c r="F1031" s="45"/>
      <c r="G1031" s="45"/>
      <c r="H1031" s="45"/>
      <c r="I1031" s="45"/>
      <c r="J1031" s="45"/>
      <c r="K1031" s="45"/>
      <c r="L1031" s="45"/>
      <c r="M1031" s="45"/>
      <c r="N1031" s="45"/>
      <c r="O1031" s="45"/>
      <c r="P1031" s="45"/>
      <c r="Q1031" s="45"/>
      <c r="R1031" s="51"/>
      <c r="S1031" s="51"/>
      <c r="T1031" s="51"/>
      <c r="U1031" s="51"/>
      <c r="V1031" s="51"/>
      <c r="W1031" s="51"/>
      <c r="X1031" s="51"/>
      <c r="Y1031" s="45"/>
      <c r="Z1031" s="45"/>
      <c r="AA1031" s="45"/>
      <c r="AB1031" s="45"/>
      <c r="AC1031" s="45"/>
      <c r="AD1031" s="45"/>
      <c r="AE1031" s="45"/>
      <c r="AF1031" s="45"/>
      <c r="AG1031" s="45"/>
      <c r="AH1031" s="45"/>
      <c r="AI1031" s="45"/>
      <c r="AJ1031" s="45"/>
      <c r="AK1031" s="45"/>
      <c r="AL1031" s="45"/>
      <c r="AM1031" s="45"/>
      <c r="AN1031" s="45"/>
      <c r="AO1031" s="45"/>
      <c r="AP1031" s="45"/>
      <c r="AQ1031" s="36"/>
      <c r="AR1031" s="36"/>
      <c r="AS1031" s="36"/>
      <c r="AT1031" s="36"/>
      <c r="AU1031" s="36"/>
      <c r="AV1031" s="36"/>
      <c r="AW1031" s="36"/>
      <c r="AX1031" s="36"/>
      <c r="AY1031" s="36"/>
      <c r="AZ1031" s="36"/>
      <c r="BA1031" s="36"/>
      <c r="BB1031" s="36"/>
      <c r="BC1031" s="36"/>
      <c r="BD1031" s="36"/>
      <c r="BE1031" s="36"/>
      <c r="BF1031" s="36"/>
      <c r="BG1031" s="36"/>
      <c r="BH1031" s="36"/>
      <c r="BI1031" s="36"/>
      <c r="BJ1031" s="36"/>
      <c r="BK1031" s="36"/>
      <c r="BL1031" s="36"/>
      <c r="BM1031" s="36"/>
      <c r="BN1031" s="36"/>
      <c r="BO1031" s="36"/>
      <c r="BP1031" s="36"/>
      <c r="BQ1031" s="36"/>
    </row>
    <row r="1032">
      <c r="A1032" s="45"/>
      <c r="B1032" s="45"/>
      <c r="C1032" s="45"/>
      <c r="D1032" s="45"/>
      <c r="E1032" s="45"/>
      <c r="F1032" s="45"/>
      <c r="G1032" s="45"/>
      <c r="H1032" s="45"/>
      <c r="I1032" s="45"/>
      <c r="J1032" s="45"/>
      <c r="K1032" s="45"/>
      <c r="L1032" s="45"/>
      <c r="M1032" s="45"/>
      <c r="N1032" s="45"/>
      <c r="O1032" s="45"/>
      <c r="P1032" s="45"/>
      <c r="Q1032" s="45"/>
      <c r="R1032" s="51"/>
      <c r="S1032" s="51"/>
      <c r="T1032" s="51"/>
      <c r="U1032" s="51"/>
      <c r="V1032" s="51"/>
      <c r="W1032" s="51"/>
      <c r="X1032" s="51"/>
      <c r="Y1032" s="45"/>
      <c r="Z1032" s="45"/>
      <c r="AA1032" s="45"/>
      <c r="AB1032" s="45"/>
      <c r="AC1032" s="45"/>
      <c r="AD1032" s="45"/>
      <c r="AE1032" s="45"/>
      <c r="AF1032" s="45"/>
      <c r="AG1032" s="45"/>
      <c r="AH1032" s="45"/>
      <c r="AI1032" s="45"/>
      <c r="AJ1032" s="45"/>
      <c r="AK1032" s="45"/>
      <c r="AL1032" s="45"/>
      <c r="AM1032" s="45"/>
      <c r="AN1032" s="45"/>
      <c r="AO1032" s="45"/>
      <c r="AP1032" s="45"/>
      <c r="AQ1032" s="36"/>
      <c r="AR1032" s="36"/>
      <c r="AS1032" s="36"/>
      <c r="AT1032" s="36"/>
      <c r="AU1032" s="36"/>
      <c r="AV1032" s="36"/>
      <c r="AW1032" s="36"/>
      <c r="AX1032" s="36"/>
      <c r="AY1032" s="36"/>
      <c r="AZ1032" s="36"/>
      <c r="BA1032" s="36"/>
      <c r="BB1032" s="36"/>
      <c r="BC1032" s="36"/>
      <c r="BD1032" s="36"/>
      <c r="BE1032" s="36"/>
      <c r="BF1032" s="36"/>
      <c r="BG1032" s="36"/>
      <c r="BH1032" s="36"/>
      <c r="BI1032" s="36"/>
      <c r="BJ1032" s="36"/>
      <c r="BK1032" s="36"/>
      <c r="BL1032" s="36"/>
      <c r="BM1032" s="36"/>
      <c r="BN1032" s="36"/>
      <c r="BO1032" s="36"/>
      <c r="BP1032" s="36"/>
      <c r="BQ1032" s="36"/>
    </row>
    <row r="1033">
      <c r="A1033" s="45"/>
      <c r="B1033" s="45"/>
      <c r="C1033" s="45"/>
      <c r="D1033" s="45"/>
      <c r="E1033" s="45"/>
      <c r="F1033" s="45"/>
      <c r="G1033" s="45"/>
      <c r="H1033" s="45"/>
      <c r="I1033" s="45"/>
      <c r="J1033" s="45"/>
      <c r="K1033" s="45"/>
      <c r="L1033" s="45"/>
      <c r="M1033" s="45"/>
      <c r="N1033" s="45"/>
      <c r="O1033" s="45"/>
      <c r="P1033" s="45"/>
      <c r="Q1033" s="45"/>
      <c r="R1033" s="51"/>
      <c r="S1033" s="51"/>
      <c r="T1033" s="51"/>
      <c r="U1033" s="51"/>
      <c r="V1033" s="51"/>
      <c r="W1033" s="51"/>
      <c r="X1033" s="51"/>
      <c r="Y1033" s="45"/>
      <c r="Z1033" s="45"/>
      <c r="AA1033" s="45"/>
      <c r="AB1033" s="45"/>
      <c r="AC1033" s="45"/>
      <c r="AD1033" s="45"/>
      <c r="AE1033" s="45"/>
      <c r="AF1033" s="45"/>
      <c r="AG1033" s="45"/>
      <c r="AH1033" s="45"/>
      <c r="AI1033" s="45"/>
      <c r="AJ1033" s="45"/>
      <c r="AK1033" s="45"/>
      <c r="AL1033" s="45"/>
      <c r="AM1033" s="45"/>
      <c r="AN1033" s="45"/>
      <c r="AO1033" s="45"/>
      <c r="AP1033" s="45"/>
      <c r="AQ1033" s="36"/>
      <c r="AR1033" s="36"/>
      <c r="AS1033" s="36"/>
      <c r="AT1033" s="36"/>
      <c r="AU1033" s="36"/>
      <c r="AV1033" s="36"/>
      <c r="AW1033" s="36"/>
      <c r="AX1033" s="36"/>
      <c r="AY1033" s="36"/>
      <c r="AZ1033" s="36"/>
      <c r="BA1033" s="36"/>
      <c r="BB1033" s="36"/>
      <c r="BC1033" s="36"/>
      <c r="BD1033" s="36"/>
      <c r="BE1033" s="36"/>
      <c r="BF1033" s="36"/>
      <c r="BG1033" s="36"/>
      <c r="BH1033" s="36"/>
      <c r="BI1033" s="36"/>
      <c r="BJ1033" s="36"/>
      <c r="BK1033" s="36"/>
      <c r="BL1033" s="36"/>
      <c r="BM1033" s="36"/>
      <c r="BN1033" s="36"/>
      <c r="BO1033" s="36"/>
      <c r="BP1033" s="36"/>
      <c r="BQ1033" s="36"/>
    </row>
    <row r="1034">
      <c r="A1034" s="45"/>
      <c r="B1034" s="45"/>
      <c r="C1034" s="45"/>
      <c r="D1034" s="45"/>
      <c r="E1034" s="45"/>
      <c r="F1034" s="45"/>
      <c r="G1034" s="45"/>
      <c r="H1034" s="45"/>
      <c r="I1034" s="45"/>
      <c r="J1034" s="45"/>
      <c r="K1034" s="45"/>
      <c r="L1034" s="45"/>
      <c r="M1034" s="45"/>
      <c r="N1034" s="45"/>
      <c r="O1034" s="45"/>
      <c r="P1034" s="45"/>
      <c r="Q1034" s="45"/>
      <c r="R1034" s="51"/>
      <c r="S1034" s="51"/>
      <c r="T1034" s="51"/>
      <c r="U1034" s="51"/>
      <c r="V1034" s="51"/>
      <c r="W1034" s="51"/>
      <c r="X1034" s="51"/>
      <c r="Y1034" s="45"/>
      <c r="Z1034" s="45"/>
      <c r="AA1034" s="45"/>
      <c r="AB1034" s="45"/>
      <c r="AC1034" s="45"/>
      <c r="AD1034" s="45"/>
      <c r="AE1034" s="45"/>
      <c r="AF1034" s="45"/>
      <c r="AG1034" s="45"/>
      <c r="AH1034" s="45"/>
      <c r="AI1034" s="45"/>
      <c r="AJ1034" s="45"/>
      <c r="AK1034" s="45"/>
      <c r="AL1034" s="45"/>
      <c r="AM1034" s="45"/>
      <c r="AN1034" s="45"/>
      <c r="AO1034" s="45"/>
      <c r="AP1034" s="45"/>
      <c r="AQ1034" s="36"/>
      <c r="AR1034" s="36"/>
      <c r="AS1034" s="36"/>
      <c r="AT1034" s="36"/>
      <c r="AU1034" s="36"/>
      <c r="AV1034" s="36"/>
      <c r="AW1034" s="36"/>
      <c r="AX1034" s="36"/>
      <c r="AY1034" s="36"/>
      <c r="AZ1034" s="36"/>
      <c r="BA1034" s="36"/>
      <c r="BB1034" s="36"/>
      <c r="BC1034" s="36"/>
      <c r="BD1034" s="36"/>
      <c r="BE1034" s="36"/>
      <c r="BF1034" s="36"/>
      <c r="BG1034" s="36"/>
      <c r="BH1034" s="36"/>
      <c r="BI1034" s="36"/>
      <c r="BJ1034" s="36"/>
      <c r="BK1034" s="36"/>
      <c r="BL1034" s="36"/>
      <c r="BM1034" s="36"/>
      <c r="BN1034" s="36"/>
      <c r="BO1034" s="36"/>
      <c r="BP1034" s="36"/>
      <c r="BQ1034" s="36"/>
    </row>
    <row r="1035">
      <c r="A1035" s="45"/>
      <c r="B1035" s="45"/>
      <c r="C1035" s="45"/>
      <c r="D1035" s="45"/>
      <c r="E1035" s="45"/>
      <c r="F1035" s="45"/>
      <c r="G1035" s="45"/>
      <c r="H1035" s="45"/>
      <c r="I1035" s="45"/>
      <c r="J1035" s="45"/>
      <c r="K1035" s="45"/>
      <c r="L1035" s="45"/>
      <c r="M1035" s="45"/>
      <c r="N1035" s="45"/>
      <c r="O1035" s="45"/>
      <c r="P1035" s="45"/>
      <c r="Q1035" s="45"/>
      <c r="R1035" s="51"/>
      <c r="S1035" s="51"/>
      <c r="T1035" s="51"/>
      <c r="U1035" s="51"/>
      <c r="V1035" s="51"/>
      <c r="W1035" s="51"/>
      <c r="X1035" s="51"/>
      <c r="Y1035" s="45"/>
      <c r="Z1035" s="45"/>
      <c r="AA1035" s="45"/>
      <c r="AB1035" s="45"/>
      <c r="AC1035" s="45"/>
      <c r="AD1035" s="45"/>
      <c r="AE1035" s="45"/>
      <c r="AF1035" s="45"/>
      <c r="AG1035" s="45"/>
      <c r="AH1035" s="45"/>
      <c r="AI1035" s="45"/>
      <c r="AJ1035" s="45"/>
      <c r="AK1035" s="45"/>
      <c r="AL1035" s="45"/>
      <c r="AM1035" s="45"/>
      <c r="AN1035" s="45"/>
      <c r="AO1035" s="45"/>
      <c r="AP1035" s="45"/>
      <c r="AQ1035" s="36"/>
      <c r="AR1035" s="36"/>
      <c r="AS1035" s="36"/>
      <c r="AT1035" s="36"/>
      <c r="AU1035" s="36"/>
      <c r="AV1035" s="36"/>
      <c r="AW1035" s="36"/>
      <c r="AX1035" s="36"/>
      <c r="AY1035" s="36"/>
      <c r="AZ1035" s="36"/>
      <c r="BA1035" s="36"/>
      <c r="BB1035" s="36"/>
      <c r="BC1035" s="36"/>
      <c r="BD1035" s="36"/>
      <c r="BE1035" s="36"/>
      <c r="BF1035" s="36"/>
      <c r="BG1035" s="36"/>
      <c r="BH1035" s="36"/>
      <c r="BI1035" s="36"/>
      <c r="BJ1035" s="36"/>
      <c r="BK1035" s="36"/>
      <c r="BL1035" s="36"/>
      <c r="BM1035" s="36"/>
      <c r="BN1035" s="36"/>
      <c r="BO1035" s="36"/>
      <c r="BP1035" s="36"/>
      <c r="BQ1035" s="36"/>
    </row>
    <row r="1036">
      <c r="A1036" s="45"/>
      <c r="B1036" s="45"/>
      <c r="C1036" s="45"/>
      <c r="D1036" s="45"/>
      <c r="E1036" s="45"/>
      <c r="F1036" s="45"/>
      <c r="G1036" s="45"/>
      <c r="H1036" s="45"/>
      <c r="I1036" s="45"/>
      <c r="J1036" s="45"/>
      <c r="K1036" s="45"/>
      <c r="L1036" s="45"/>
      <c r="M1036" s="45"/>
      <c r="N1036" s="45"/>
      <c r="O1036" s="45"/>
      <c r="P1036" s="45"/>
      <c r="Q1036" s="45"/>
      <c r="R1036" s="51"/>
      <c r="S1036" s="51"/>
      <c r="T1036" s="51"/>
      <c r="U1036" s="51"/>
      <c r="V1036" s="51"/>
      <c r="W1036" s="51"/>
      <c r="X1036" s="51"/>
      <c r="Y1036" s="45"/>
      <c r="Z1036" s="45"/>
      <c r="AA1036" s="45"/>
      <c r="AB1036" s="45"/>
      <c r="AC1036" s="45"/>
      <c r="AD1036" s="45"/>
      <c r="AE1036" s="45"/>
      <c r="AF1036" s="45"/>
      <c r="AG1036" s="45"/>
      <c r="AH1036" s="45"/>
      <c r="AI1036" s="45"/>
      <c r="AJ1036" s="45"/>
      <c r="AK1036" s="45"/>
      <c r="AL1036" s="45"/>
      <c r="AM1036" s="45"/>
      <c r="AN1036" s="45"/>
      <c r="AO1036" s="45"/>
      <c r="AP1036" s="45"/>
      <c r="AQ1036" s="36"/>
      <c r="AR1036" s="36"/>
      <c r="AS1036" s="36"/>
      <c r="AT1036" s="36"/>
      <c r="AU1036" s="36"/>
      <c r="AV1036" s="36"/>
      <c r="AW1036" s="36"/>
      <c r="AX1036" s="36"/>
      <c r="AY1036" s="36"/>
      <c r="AZ1036" s="36"/>
      <c r="BA1036" s="36"/>
      <c r="BB1036" s="36"/>
      <c r="BC1036" s="36"/>
      <c r="BD1036" s="36"/>
      <c r="BE1036" s="36"/>
      <c r="BF1036" s="36"/>
      <c r="BG1036" s="36"/>
      <c r="BH1036" s="36"/>
      <c r="BI1036" s="36"/>
      <c r="BJ1036" s="36"/>
      <c r="BK1036" s="36"/>
      <c r="BL1036" s="36"/>
      <c r="BM1036" s="36"/>
      <c r="BN1036" s="36"/>
      <c r="BO1036" s="36"/>
      <c r="BP1036" s="36"/>
      <c r="BQ1036" s="36"/>
    </row>
    <row r="1037">
      <c r="A1037" s="45"/>
      <c r="B1037" s="45"/>
      <c r="C1037" s="45"/>
      <c r="D1037" s="45"/>
      <c r="E1037" s="45"/>
      <c r="F1037" s="45"/>
      <c r="G1037" s="45"/>
      <c r="H1037" s="45"/>
      <c r="I1037" s="45"/>
      <c r="J1037" s="45"/>
      <c r="K1037" s="45"/>
      <c r="L1037" s="45"/>
      <c r="M1037" s="45"/>
      <c r="N1037" s="45"/>
      <c r="O1037" s="45"/>
      <c r="P1037" s="45"/>
      <c r="Q1037" s="45"/>
      <c r="R1037" s="51"/>
      <c r="S1037" s="51"/>
      <c r="T1037" s="51"/>
      <c r="U1037" s="51"/>
      <c r="V1037" s="51"/>
      <c r="W1037" s="51"/>
      <c r="X1037" s="51"/>
      <c r="Y1037" s="45"/>
      <c r="Z1037" s="45"/>
      <c r="AA1037" s="45"/>
      <c r="AB1037" s="45"/>
      <c r="AC1037" s="45"/>
      <c r="AD1037" s="45"/>
      <c r="AE1037" s="45"/>
      <c r="AF1037" s="45"/>
      <c r="AG1037" s="45"/>
      <c r="AH1037" s="45"/>
      <c r="AI1037" s="45"/>
      <c r="AJ1037" s="45"/>
      <c r="AK1037" s="45"/>
      <c r="AL1037" s="45"/>
      <c r="AM1037" s="45"/>
      <c r="AN1037" s="45"/>
      <c r="AO1037" s="45"/>
      <c r="AP1037" s="45"/>
      <c r="AQ1037" s="36"/>
      <c r="AR1037" s="36"/>
      <c r="AS1037" s="36"/>
      <c r="AT1037" s="36"/>
      <c r="AU1037" s="36"/>
      <c r="AV1037" s="36"/>
      <c r="AW1037" s="36"/>
      <c r="AX1037" s="36"/>
      <c r="AY1037" s="36"/>
      <c r="AZ1037" s="36"/>
      <c r="BA1037" s="36"/>
      <c r="BB1037" s="36"/>
      <c r="BC1037" s="36"/>
      <c r="BD1037" s="36"/>
      <c r="BE1037" s="36"/>
      <c r="BF1037" s="36"/>
      <c r="BG1037" s="36"/>
      <c r="BH1037" s="36"/>
      <c r="BI1037" s="36"/>
      <c r="BJ1037" s="36"/>
      <c r="BK1037" s="36"/>
      <c r="BL1037" s="36"/>
      <c r="BM1037" s="36"/>
      <c r="BN1037" s="36"/>
      <c r="BO1037" s="36"/>
      <c r="BP1037" s="36"/>
      <c r="BQ1037" s="36"/>
    </row>
    <row r="1038">
      <c r="A1038" s="45"/>
      <c r="B1038" s="45"/>
      <c r="C1038" s="45"/>
      <c r="D1038" s="45"/>
      <c r="E1038" s="45"/>
      <c r="F1038" s="45"/>
      <c r="G1038" s="45"/>
      <c r="H1038" s="45"/>
      <c r="I1038" s="45"/>
      <c r="J1038" s="45"/>
      <c r="K1038" s="45"/>
      <c r="L1038" s="45"/>
      <c r="M1038" s="45"/>
      <c r="N1038" s="45"/>
      <c r="O1038" s="45"/>
      <c r="P1038" s="45"/>
      <c r="Q1038" s="45"/>
      <c r="R1038" s="51"/>
      <c r="S1038" s="51"/>
      <c r="T1038" s="51"/>
      <c r="U1038" s="51"/>
      <c r="V1038" s="51"/>
      <c r="W1038" s="51"/>
      <c r="X1038" s="51"/>
      <c r="Y1038" s="45"/>
      <c r="Z1038" s="45"/>
      <c r="AA1038" s="45"/>
      <c r="AB1038" s="45"/>
      <c r="AC1038" s="45"/>
      <c r="AD1038" s="45"/>
      <c r="AE1038" s="45"/>
      <c r="AF1038" s="45"/>
      <c r="AG1038" s="45"/>
      <c r="AH1038" s="45"/>
      <c r="AI1038" s="45"/>
      <c r="AJ1038" s="45"/>
      <c r="AK1038" s="45"/>
      <c r="AL1038" s="45"/>
      <c r="AM1038" s="45"/>
      <c r="AN1038" s="45"/>
      <c r="AO1038" s="45"/>
      <c r="AP1038" s="45"/>
      <c r="AQ1038" s="36"/>
      <c r="AR1038" s="36"/>
      <c r="AS1038" s="36"/>
      <c r="AT1038" s="36"/>
      <c r="AU1038" s="36"/>
      <c r="AV1038" s="36"/>
      <c r="AW1038" s="36"/>
      <c r="AX1038" s="36"/>
      <c r="AY1038" s="36"/>
      <c r="AZ1038" s="36"/>
      <c r="BA1038" s="36"/>
      <c r="BB1038" s="36"/>
      <c r="BC1038" s="36"/>
      <c r="BD1038" s="36"/>
      <c r="BE1038" s="36"/>
      <c r="BF1038" s="36"/>
      <c r="BG1038" s="36"/>
      <c r="BH1038" s="36"/>
      <c r="BI1038" s="36"/>
      <c r="BJ1038" s="36"/>
      <c r="BK1038" s="36"/>
      <c r="BL1038" s="36"/>
      <c r="BM1038" s="36"/>
      <c r="BN1038" s="36"/>
      <c r="BO1038" s="36"/>
      <c r="BP1038" s="36"/>
      <c r="BQ1038" s="36"/>
    </row>
    <row r="1039">
      <c r="A1039" s="45"/>
      <c r="B1039" s="45"/>
      <c r="C1039" s="45"/>
      <c r="D1039" s="45"/>
      <c r="E1039" s="45"/>
      <c r="F1039" s="45"/>
      <c r="G1039" s="45"/>
      <c r="H1039" s="45"/>
      <c r="I1039" s="45"/>
      <c r="J1039" s="45"/>
      <c r="K1039" s="45"/>
      <c r="L1039" s="45"/>
      <c r="M1039" s="45"/>
      <c r="N1039" s="45"/>
      <c r="O1039" s="45"/>
      <c r="P1039" s="45"/>
      <c r="Q1039" s="45"/>
      <c r="R1039" s="51"/>
      <c r="S1039" s="51"/>
      <c r="T1039" s="51"/>
      <c r="U1039" s="51"/>
      <c r="V1039" s="51"/>
      <c r="W1039" s="51"/>
      <c r="X1039" s="51"/>
      <c r="Y1039" s="45"/>
      <c r="Z1039" s="45"/>
      <c r="AA1039" s="45"/>
      <c r="AB1039" s="45"/>
      <c r="AC1039" s="45"/>
      <c r="AD1039" s="45"/>
      <c r="AE1039" s="45"/>
      <c r="AF1039" s="45"/>
      <c r="AG1039" s="45"/>
      <c r="AH1039" s="45"/>
      <c r="AI1039" s="45"/>
      <c r="AJ1039" s="45"/>
      <c r="AK1039" s="45"/>
      <c r="AL1039" s="45"/>
      <c r="AM1039" s="45"/>
      <c r="AN1039" s="45"/>
      <c r="AO1039" s="45"/>
      <c r="AP1039" s="45"/>
      <c r="AQ1039" s="36"/>
      <c r="AR1039" s="36"/>
      <c r="AS1039" s="36"/>
      <c r="AT1039" s="36"/>
      <c r="AU1039" s="36"/>
      <c r="AV1039" s="36"/>
      <c r="AW1039" s="36"/>
      <c r="AX1039" s="36"/>
      <c r="AY1039" s="36"/>
      <c r="AZ1039" s="36"/>
      <c r="BA1039" s="36"/>
      <c r="BB1039" s="36"/>
      <c r="BC1039" s="36"/>
      <c r="BD1039" s="36"/>
      <c r="BE1039" s="36"/>
      <c r="BF1039" s="36"/>
      <c r="BG1039" s="36"/>
      <c r="BH1039" s="36"/>
      <c r="BI1039" s="36"/>
      <c r="BJ1039" s="36"/>
      <c r="BK1039" s="36"/>
      <c r="BL1039" s="36"/>
      <c r="BM1039" s="36"/>
      <c r="BN1039" s="36"/>
      <c r="BO1039" s="36"/>
      <c r="BP1039" s="36"/>
      <c r="BQ1039" s="36"/>
    </row>
    <row r="1040">
      <c r="A1040" s="45"/>
      <c r="B1040" s="45"/>
      <c r="C1040" s="45"/>
      <c r="D1040" s="45"/>
      <c r="E1040" s="45"/>
      <c r="F1040" s="45"/>
      <c r="G1040" s="45"/>
      <c r="H1040" s="45"/>
      <c r="I1040" s="45"/>
      <c r="J1040" s="45"/>
      <c r="K1040" s="45"/>
      <c r="L1040" s="45"/>
      <c r="M1040" s="45"/>
      <c r="N1040" s="45"/>
      <c r="O1040" s="45"/>
      <c r="P1040" s="45"/>
      <c r="Q1040" s="45"/>
      <c r="R1040" s="51"/>
      <c r="S1040" s="51"/>
      <c r="T1040" s="51"/>
      <c r="U1040" s="51"/>
      <c r="V1040" s="51"/>
      <c r="W1040" s="51"/>
      <c r="X1040" s="51"/>
      <c r="Y1040" s="45"/>
      <c r="Z1040" s="45"/>
      <c r="AA1040" s="45"/>
      <c r="AB1040" s="45"/>
      <c r="AC1040" s="45"/>
      <c r="AD1040" s="45"/>
      <c r="AE1040" s="45"/>
      <c r="AF1040" s="45"/>
      <c r="AG1040" s="45"/>
      <c r="AH1040" s="45"/>
      <c r="AI1040" s="45"/>
      <c r="AJ1040" s="45"/>
      <c r="AK1040" s="45"/>
      <c r="AL1040" s="45"/>
      <c r="AM1040" s="45"/>
      <c r="AN1040" s="45"/>
      <c r="AO1040" s="45"/>
      <c r="AP1040" s="45"/>
      <c r="AQ1040" s="36"/>
      <c r="AR1040" s="36"/>
      <c r="AS1040" s="36"/>
      <c r="AT1040" s="36"/>
      <c r="AU1040" s="36"/>
      <c r="AV1040" s="36"/>
      <c r="AW1040" s="36"/>
      <c r="AX1040" s="36"/>
      <c r="AY1040" s="36"/>
      <c r="AZ1040" s="36"/>
      <c r="BA1040" s="36"/>
      <c r="BB1040" s="36"/>
      <c r="BC1040" s="36"/>
      <c r="BD1040" s="36"/>
      <c r="BE1040" s="36"/>
      <c r="BF1040" s="36"/>
      <c r="BG1040" s="36"/>
      <c r="BH1040" s="36"/>
      <c r="BI1040" s="36"/>
      <c r="BJ1040" s="36"/>
      <c r="BK1040" s="36"/>
      <c r="BL1040" s="36"/>
      <c r="BM1040" s="36"/>
      <c r="BN1040" s="36"/>
      <c r="BO1040" s="36"/>
      <c r="BP1040" s="36"/>
      <c r="BQ1040" s="36"/>
    </row>
    <row r="1041">
      <c r="A1041" s="45"/>
      <c r="B1041" s="45"/>
      <c r="C1041" s="45"/>
      <c r="D1041" s="45"/>
      <c r="E1041" s="45"/>
      <c r="F1041" s="45"/>
      <c r="G1041" s="45"/>
      <c r="H1041" s="45"/>
      <c r="I1041" s="45"/>
      <c r="J1041" s="45"/>
      <c r="K1041" s="45"/>
      <c r="L1041" s="45"/>
      <c r="M1041" s="45"/>
      <c r="N1041" s="45"/>
      <c r="O1041" s="45"/>
      <c r="P1041" s="45"/>
      <c r="Q1041" s="45"/>
      <c r="R1041" s="51"/>
      <c r="S1041" s="51"/>
      <c r="T1041" s="51"/>
      <c r="U1041" s="51"/>
      <c r="V1041" s="51"/>
      <c r="W1041" s="51"/>
      <c r="X1041" s="51"/>
      <c r="Y1041" s="45"/>
      <c r="Z1041" s="45"/>
      <c r="AA1041" s="45"/>
      <c r="AB1041" s="45"/>
      <c r="AC1041" s="45"/>
      <c r="AD1041" s="45"/>
      <c r="AE1041" s="45"/>
      <c r="AF1041" s="45"/>
      <c r="AG1041" s="45"/>
      <c r="AH1041" s="45"/>
      <c r="AI1041" s="45"/>
      <c r="AJ1041" s="45"/>
      <c r="AK1041" s="45"/>
      <c r="AL1041" s="45"/>
      <c r="AM1041" s="45"/>
      <c r="AN1041" s="45"/>
      <c r="AO1041" s="45"/>
      <c r="AP1041" s="45"/>
      <c r="AQ1041" s="36"/>
      <c r="AR1041" s="36"/>
      <c r="AS1041" s="36"/>
      <c r="AT1041" s="36"/>
      <c r="AU1041" s="36"/>
      <c r="AV1041" s="36"/>
      <c r="AW1041" s="36"/>
      <c r="AX1041" s="36"/>
      <c r="AY1041" s="36"/>
      <c r="AZ1041" s="36"/>
      <c r="BA1041" s="36"/>
      <c r="BB1041" s="36"/>
      <c r="BC1041" s="36"/>
      <c r="BD1041" s="36"/>
      <c r="BE1041" s="36"/>
      <c r="BF1041" s="36"/>
      <c r="BG1041" s="36"/>
      <c r="BH1041" s="36"/>
      <c r="BI1041" s="36"/>
      <c r="BJ1041" s="36"/>
      <c r="BK1041" s="36"/>
      <c r="BL1041" s="36"/>
      <c r="BM1041" s="36"/>
      <c r="BN1041" s="36"/>
      <c r="BO1041" s="36"/>
      <c r="BP1041" s="36"/>
      <c r="BQ1041" s="36"/>
    </row>
    <row r="1042">
      <c r="A1042" s="45"/>
      <c r="B1042" s="45"/>
      <c r="C1042" s="45"/>
      <c r="D1042" s="45"/>
      <c r="E1042" s="45"/>
      <c r="F1042" s="45"/>
      <c r="G1042" s="45"/>
      <c r="H1042" s="45"/>
      <c r="I1042" s="45"/>
      <c r="J1042" s="45"/>
      <c r="K1042" s="45"/>
      <c r="L1042" s="45"/>
      <c r="M1042" s="45"/>
      <c r="N1042" s="45"/>
      <c r="O1042" s="45"/>
      <c r="P1042" s="45"/>
      <c r="Q1042" s="45"/>
      <c r="R1042" s="51"/>
      <c r="S1042" s="51"/>
      <c r="T1042" s="51"/>
      <c r="U1042" s="51"/>
      <c r="V1042" s="51"/>
      <c r="W1042" s="51"/>
      <c r="X1042" s="51"/>
      <c r="Y1042" s="45"/>
      <c r="Z1042" s="45"/>
      <c r="AA1042" s="45"/>
      <c r="AB1042" s="45"/>
      <c r="AC1042" s="45"/>
      <c r="AD1042" s="45"/>
      <c r="AE1042" s="45"/>
      <c r="AF1042" s="45"/>
      <c r="AG1042" s="45"/>
      <c r="AH1042" s="45"/>
      <c r="AI1042" s="45"/>
      <c r="AJ1042" s="45"/>
      <c r="AK1042" s="45"/>
      <c r="AL1042" s="45"/>
      <c r="AM1042" s="45"/>
      <c r="AN1042" s="45"/>
      <c r="AO1042" s="45"/>
      <c r="AP1042" s="45"/>
      <c r="AQ1042" s="36"/>
      <c r="AR1042" s="36"/>
      <c r="AS1042" s="36"/>
      <c r="AT1042" s="36"/>
      <c r="AU1042" s="36"/>
      <c r="AV1042" s="36"/>
      <c r="AW1042" s="36"/>
      <c r="AX1042" s="36"/>
      <c r="AY1042" s="36"/>
      <c r="AZ1042" s="36"/>
      <c r="BA1042" s="36"/>
      <c r="BB1042" s="36"/>
      <c r="BC1042" s="36"/>
      <c r="BD1042" s="36"/>
      <c r="BE1042" s="36"/>
      <c r="BF1042" s="36"/>
      <c r="BG1042" s="36"/>
      <c r="BH1042" s="36"/>
      <c r="BI1042" s="36"/>
      <c r="BJ1042" s="36"/>
      <c r="BK1042" s="36"/>
      <c r="BL1042" s="36"/>
      <c r="BM1042" s="36"/>
      <c r="BN1042" s="36"/>
      <c r="BO1042" s="36"/>
      <c r="BP1042" s="36"/>
      <c r="BQ1042" s="36"/>
    </row>
    <row r="1043">
      <c r="A1043" s="45"/>
      <c r="B1043" s="45"/>
      <c r="C1043" s="45"/>
      <c r="D1043" s="45"/>
      <c r="E1043" s="45"/>
      <c r="F1043" s="45"/>
      <c r="G1043" s="45"/>
      <c r="H1043" s="45"/>
      <c r="I1043" s="45"/>
      <c r="J1043" s="45"/>
      <c r="K1043" s="45"/>
      <c r="L1043" s="45"/>
      <c r="M1043" s="45"/>
      <c r="N1043" s="45"/>
      <c r="O1043" s="45"/>
      <c r="P1043" s="45"/>
      <c r="Q1043" s="45"/>
      <c r="R1043" s="51"/>
      <c r="S1043" s="51"/>
      <c r="T1043" s="51"/>
      <c r="U1043" s="51"/>
      <c r="V1043" s="51"/>
      <c r="W1043" s="51"/>
      <c r="X1043" s="51"/>
      <c r="Y1043" s="45"/>
      <c r="Z1043" s="45"/>
      <c r="AA1043" s="45"/>
      <c r="AB1043" s="45"/>
      <c r="AC1043" s="45"/>
      <c r="AD1043" s="45"/>
      <c r="AE1043" s="45"/>
      <c r="AF1043" s="45"/>
      <c r="AG1043" s="45"/>
      <c r="AH1043" s="45"/>
      <c r="AI1043" s="45"/>
      <c r="AJ1043" s="45"/>
      <c r="AK1043" s="45"/>
      <c r="AL1043" s="45"/>
      <c r="AM1043" s="45"/>
      <c r="AN1043" s="45"/>
      <c r="AO1043" s="45"/>
      <c r="AP1043" s="45"/>
      <c r="AQ1043" s="36"/>
      <c r="AR1043" s="36"/>
      <c r="AS1043" s="36"/>
      <c r="AT1043" s="36"/>
      <c r="AU1043" s="36"/>
      <c r="AV1043" s="36"/>
      <c r="AW1043" s="36"/>
      <c r="AX1043" s="36"/>
      <c r="AY1043" s="36"/>
      <c r="AZ1043" s="36"/>
      <c r="BA1043" s="36"/>
      <c r="BB1043" s="36"/>
      <c r="BC1043" s="36"/>
      <c r="BD1043" s="36"/>
      <c r="BE1043" s="36"/>
      <c r="BF1043" s="36"/>
      <c r="BG1043" s="36"/>
      <c r="BH1043" s="36"/>
      <c r="BI1043" s="36"/>
      <c r="BJ1043" s="36"/>
      <c r="BK1043" s="36"/>
      <c r="BL1043" s="36"/>
      <c r="BM1043" s="36"/>
      <c r="BN1043" s="36"/>
      <c r="BO1043" s="36"/>
      <c r="BP1043" s="36"/>
      <c r="BQ1043" s="36"/>
    </row>
    <row r="1044">
      <c r="A1044" s="45"/>
      <c r="B1044" s="45"/>
      <c r="C1044" s="45"/>
      <c r="D1044" s="45"/>
      <c r="E1044" s="45"/>
      <c r="F1044" s="45"/>
      <c r="G1044" s="45"/>
      <c r="H1044" s="45"/>
      <c r="I1044" s="45"/>
      <c r="J1044" s="45"/>
      <c r="K1044" s="45"/>
      <c r="L1044" s="45"/>
      <c r="M1044" s="45"/>
      <c r="N1044" s="45"/>
      <c r="O1044" s="45"/>
      <c r="P1044" s="45"/>
      <c r="Q1044" s="45"/>
      <c r="R1044" s="51"/>
      <c r="S1044" s="51"/>
      <c r="T1044" s="51"/>
      <c r="U1044" s="51"/>
      <c r="V1044" s="51"/>
      <c r="W1044" s="51"/>
      <c r="X1044" s="51"/>
      <c r="Y1044" s="45"/>
      <c r="Z1044" s="45"/>
      <c r="AA1044" s="45"/>
      <c r="AB1044" s="45"/>
      <c r="AC1044" s="45"/>
      <c r="AD1044" s="45"/>
      <c r="AE1044" s="45"/>
      <c r="AF1044" s="45"/>
      <c r="AG1044" s="45"/>
      <c r="AH1044" s="45"/>
      <c r="AI1044" s="45"/>
      <c r="AJ1044" s="45"/>
      <c r="AK1044" s="45"/>
      <c r="AL1044" s="45"/>
      <c r="AM1044" s="45"/>
      <c r="AN1044" s="45"/>
      <c r="AO1044" s="45"/>
      <c r="AP1044" s="45"/>
      <c r="AQ1044" s="36"/>
      <c r="AR1044" s="36"/>
      <c r="AS1044" s="36"/>
      <c r="AT1044" s="36"/>
      <c r="AU1044" s="36"/>
      <c r="AV1044" s="36"/>
      <c r="AW1044" s="36"/>
      <c r="AX1044" s="36"/>
      <c r="AY1044" s="36"/>
      <c r="AZ1044" s="36"/>
      <c r="BA1044" s="36"/>
      <c r="BB1044" s="36"/>
      <c r="BC1044" s="36"/>
      <c r="BD1044" s="36"/>
      <c r="BE1044" s="36"/>
      <c r="BF1044" s="36"/>
      <c r="BG1044" s="36"/>
      <c r="BH1044" s="36"/>
      <c r="BI1044" s="36"/>
      <c r="BJ1044" s="36"/>
      <c r="BK1044" s="36"/>
      <c r="BL1044" s="36"/>
      <c r="BM1044" s="36"/>
      <c r="BN1044" s="36"/>
      <c r="BO1044" s="36"/>
      <c r="BP1044" s="36"/>
      <c r="BQ1044" s="36"/>
    </row>
    <row r="1045">
      <c r="A1045" s="45"/>
      <c r="B1045" s="45"/>
      <c r="C1045" s="45"/>
      <c r="D1045" s="45"/>
      <c r="E1045" s="45"/>
      <c r="F1045" s="45"/>
      <c r="G1045" s="45"/>
      <c r="H1045" s="45"/>
      <c r="I1045" s="45"/>
      <c r="J1045" s="45"/>
      <c r="K1045" s="45"/>
      <c r="L1045" s="45"/>
      <c r="M1045" s="45"/>
      <c r="N1045" s="45"/>
      <c r="O1045" s="45"/>
      <c r="P1045" s="45"/>
      <c r="Q1045" s="45"/>
      <c r="R1045" s="51"/>
      <c r="S1045" s="51"/>
      <c r="T1045" s="51"/>
      <c r="U1045" s="51"/>
      <c r="V1045" s="51"/>
      <c r="W1045" s="51"/>
      <c r="X1045" s="51"/>
      <c r="Y1045" s="45"/>
      <c r="Z1045" s="45"/>
      <c r="AA1045" s="45"/>
      <c r="AB1045" s="45"/>
      <c r="AC1045" s="45"/>
      <c r="AD1045" s="45"/>
      <c r="AE1045" s="45"/>
      <c r="AF1045" s="45"/>
      <c r="AG1045" s="45"/>
      <c r="AH1045" s="45"/>
      <c r="AI1045" s="45"/>
      <c r="AJ1045" s="45"/>
      <c r="AK1045" s="45"/>
      <c r="AL1045" s="45"/>
      <c r="AM1045" s="45"/>
      <c r="AN1045" s="45"/>
      <c r="AO1045" s="45"/>
      <c r="AP1045" s="45"/>
      <c r="AQ1045" s="36"/>
      <c r="AR1045" s="36"/>
      <c r="AS1045" s="36"/>
      <c r="AT1045" s="36"/>
      <c r="AU1045" s="36"/>
      <c r="AV1045" s="36"/>
      <c r="AW1045" s="36"/>
      <c r="AX1045" s="36"/>
      <c r="AY1045" s="36"/>
      <c r="AZ1045" s="36"/>
      <c r="BA1045" s="36"/>
      <c r="BB1045" s="36"/>
      <c r="BC1045" s="36"/>
      <c r="BD1045" s="36"/>
      <c r="BE1045" s="36"/>
      <c r="BF1045" s="36"/>
      <c r="BG1045" s="36"/>
      <c r="BH1045" s="36"/>
      <c r="BI1045" s="36"/>
      <c r="BJ1045" s="36"/>
      <c r="BK1045" s="36"/>
      <c r="BL1045" s="36"/>
      <c r="BM1045" s="36"/>
      <c r="BN1045" s="36"/>
      <c r="BO1045" s="36"/>
      <c r="BP1045" s="36"/>
      <c r="BQ1045" s="36"/>
    </row>
    <row r="1046">
      <c r="A1046" s="45"/>
      <c r="B1046" s="45"/>
      <c r="C1046" s="45"/>
      <c r="D1046" s="45"/>
      <c r="E1046" s="45"/>
      <c r="F1046" s="45"/>
      <c r="G1046" s="45"/>
      <c r="H1046" s="45"/>
      <c r="I1046" s="45"/>
      <c r="J1046" s="45"/>
      <c r="K1046" s="45"/>
      <c r="L1046" s="45"/>
      <c r="M1046" s="45"/>
      <c r="N1046" s="45"/>
      <c r="O1046" s="45"/>
      <c r="P1046" s="45"/>
      <c r="Q1046" s="45"/>
      <c r="R1046" s="51"/>
      <c r="S1046" s="51"/>
      <c r="T1046" s="51"/>
      <c r="U1046" s="51"/>
      <c r="V1046" s="51"/>
      <c r="W1046" s="51"/>
      <c r="X1046" s="51"/>
      <c r="Y1046" s="45"/>
      <c r="Z1046" s="45"/>
      <c r="AA1046" s="45"/>
      <c r="AB1046" s="45"/>
      <c r="AC1046" s="45"/>
      <c r="AD1046" s="45"/>
      <c r="AE1046" s="45"/>
      <c r="AF1046" s="45"/>
      <c r="AG1046" s="45"/>
      <c r="AH1046" s="45"/>
      <c r="AI1046" s="45"/>
      <c r="AJ1046" s="45"/>
      <c r="AK1046" s="45"/>
      <c r="AL1046" s="45"/>
      <c r="AM1046" s="45"/>
      <c r="AN1046" s="45"/>
      <c r="AO1046" s="45"/>
      <c r="AP1046" s="45"/>
      <c r="AQ1046" s="36"/>
      <c r="AR1046" s="36"/>
      <c r="AS1046" s="36"/>
      <c r="AT1046" s="36"/>
      <c r="AU1046" s="36"/>
      <c r="AV1046" s="36"/>
      <c r="AW1046" s="36"/>
      <c r="AX1046" s="36"/>
      <c r="AY1046" s="36"/>
      <c r="AZ1046" s="36"/>
      <c r="BA1046" s="36"/>
      <c r="BB1046" s="36"/>
      <c r="BC1046" s="36"/>
      <c r="BD1046" s="36"/>
      <c r="BE1046" s="36"/>
      <c r="BF1046" s="36"/>
      <c r="BG1046" s="36"/>
      <c r="BH1046" s="36"/>
      <c r="BI1046" s="36"/>
      <c r="BJ1046" s="36"/>
      <c r="BK1046" s="36"/>
      <c r="BL1046" s="36"/>
      <c r="BM1046" s="36"/>
      <c r="BN1046" s="36"/>
      <c r="BO1046" s="36"/>
      <c r="BP1046" s="36"/>
      <c r="BQ1046" s="36"/>
    </row>
    <row r="1047">
      <c r="A1047" s="45"/>
      <c r="B1047" s="45"/>
      <c r="C1047" s="45"/>
      <c r="D1047" s="45"/>
      <c r="E1047" s="45"/>
      <c r="F1047" s="45"/>
      <c r="G1047" s="45"/>
      <c r="H1047" s="45"/>
      <c r="I1047" s="45"/>
      <c r="J1047" s="45"/>
      <c r="K1047" s="45"/>
      <c r="L1047" s="45"/>
      <c r="M1047" s="45"/>
      <c r="N1047" s="45"/>
      <c r="O1047" s="45"/>
      <c r="P1047" s="45"/>
      <c r="Q1047" s="45"/>
      <c r="R1047" s="51"/>
      <c r="S1047" s="51"/>
      <c r="T1047" s="51"/>
      <c r="U1047" s="51"/>
      <c r="V1047" s="51"/>
      <c r="W1047" s="51"/>
      <c r="X1047" s="51"/>
      <c r="Y1047" s="45"/>
      <c r="Z1047" s="45"/>
      <c r="AA1047" s="45"/>
      <c r="AB1047" s="45"/>
      <c r="AC1047" s="45"/>
      <c r="AD1047" s="45"/>
      <c r="AE1047" s="45"/>
      <c r="AF1047" s="45"/>
      <c r="AG1047" s="45"/>
      <c r="AH1047" s="45"/>
      <c r="AI1047" s="45"/>
      <c r="AJ1047" s="45"/>
      <c r="AK1047" s="45"/>
      <c r="AL1047" s="45"/>
      <c r="AM1047" s="45"/>
      <c r="AN1047" s="45"/>
      <c r="AO1047" s="45"/>
      <c r="AP1047" s="45"/>
      <c r="AQ1047" s="36"/>
      <c r="AR1047" s="36"/>
      <c r="AS1047" s="36"/>
      <c r="AT1047" s="36"/>
      <c r="AU1047" s="36"/>
      <c r="AV1047" s="36"/>
      <c r="AW1047" s="36"/>
      <c r="AX1047" s="36"/>
      <c r="AY1047" s="36"/>
      <c r="AZ1047" s="36"/>
      <c r="BA1047" s="36"/>
      <c r="BB1047" s="36"/>
      <c r="BC1047" s="36"/>
      <c r="BD1047" s="36"/>
      <c r="BE1047" s="36"/>
      <c r="BF1047" s="36"/>
      <c r="BG1047" s="36"/>
      <c r="BH1047" s="36"/>
      <c r="BI1047" s="36"/>
      <c r="BJ1047" s="36"/>
      <c r="BK1047" s="36"/>
      <c r="BL1047" s="36"/>
      <c r="BM1047" s="36"/>
      <c r="BN1047" s="36"/>
      <c r="BO1047" s="36"/>
      <c r="BP1047" s="36"/>
      <c r="BQ1047" s="36"/>
    </row>
    <row r="1048">
      <c r="A1048" s="45"/>
      <c r="B1048" s="45"/>
      <c r="C1048" s="45"/>
      <c r="D1048" s="45"/>
      <c r="E1048" s="45"/>
      <c r="F1048" s="45"/>
      <c r="G1048" s="45"/>
      <c r="H1048" s="45"/>
      <c r="I1048" s="45"/>
      <c r="J1048" s="45"/>
      <c r="K1048" s="45"/>
      <c r="L1048" s="45"/>
      <c r="M1048" s="45"/>
      <c r="N1048" s="45"/>
      <c r="O1048" s="45"/>
      <c r="P1048" s="45"/>
      <c r="Q1048" s="45"/>
      <c r="R1048" s="51"/>
      <c r="S1048" s="51"/>
      <c r="T1048" s="51"/>
      <c r="U1048" s="51"/>
      <c r="V1048" s="51"/>
      <c r="W1048" s="51"/>
      <c r="X1048" s="51"/>
      <c r="Y1048" s="45"/>
      <c r="Z1048" s="45"/>
      <c r="AA1048" s="45"/>
      <c r="AB1048" s="45"/>
      <c r="AC1048" s="45"/>
      <c r="AD1048" s="45"/>
      <c r="AE1048" s="45"/>
      <c r="AF1048" s="45"/>
      <c r="AG1048" s="45"/>
      <c r="AH1048" s="45"/>
      <c r="AI1048" s="45"/>
      <c r="AJ1048" s="45"/>
      <c r="AK1048" s="45"/>
      <c r="AL1048" s="45"/>
      <c r="AM1048" s="45"/>
      <c r="AN1048" s="45"/>
      <c r="AO1048" s="45"/>
      <c r="AP1048" s="45"/>
      <c r="AQ1048" s="36"/>
      <c r="AR1048" s="36"/>
      <c r="AS1048" s="36"/>
      <c r="AT1048" s="36"/>
      <c r="AU1048" s="36"/>
      <c r="AV1048" s="36"/>
      <c r="AW1048" s="36"/>
      <c r="AX1048" s="36"/>
      <c r="AY1048" s="36"/>
      <c r="AZ1048" s="36"/>
      <c r="BA1048" s="36"/>
      <c r="BB1048" s="36"/>
      <c r="BC1048" s="36"/>
      <c r="BD1048" s="36"/>
      <c r="BE1048" s="36"/>
      <c r="BF1048" s="36"/>
      <c r="BG1048" s="36"/>
      <c r="BH1048" s="36"/>
      <c r="BI1048" s="36"/>
      <c r="BJ1048" s="36"/>
      <c r="BK1048" s="36"/>
      <c r="BL1048" s="36"/>
      <c r="BM1048" s="36"/>
      <c r="BN1048" s="36"/>
      <c r="BO1048" s="36"/>
      <c r="BP1048" s="36"/>
      <c r="BQ1048" s="36"/>
    </row>
    <row r="1049">
      <c r="A1049" s="45"/>
      <c r="B1049" s="45"/>
      <c r="C1049" s="45"/>
      <c r="D1049" s="45"/>
      <c r="E1049" s="45"/>
      <c r="F1049" s="45"/>
      <c r="G1049" s="45"/>
      <c r="H1049" s="45"/>
      <c r="I1049" s="45"/>
      <c r="J1049" s="45"/>
      <c r="K1049" s="45"/>
      <c r="L1049" s="45"/>
      <c r="M1049" s="45"/>
      <c r="N1049" s="45"/>
      <c r="O1049" s="45"/>
      <c r="P1049" s="45"/>
      <c r="Q1049" s="45"/>
      <c r="R1049" s="51"/>
      <c r="S1049" s="51"/>
      <c r="T1049" s="51"/>
      <c r="U1049" s="51"/>
      <c r="V1049" s="51"/>
      <c r="W1049" s="51"/>
      <c r="X1049" s="51"/>
      <c r="Y1049" s="45"/>
      <c r="Z1049" s="45"/>
      <c r="AA1049" s="45"/>
      <c r="AB1049" s="45"/>
      <c r="AC1049" s="45"/>
      <c r="AD1049" s="45"/>
      <c r="AE1049" s="45"/>
      <c r="AF1049" s="45"/>
      <c r="AG1049" s="45"/>
      <c r="AH1049" s="45"/>
      <c r="AI1049" s="45"/>
      <c r="AJ1049" s="45"/>
      <c r="AK1049" s="45"/>
      <c r="AL1049" s="45"/>
      <c r="AM1049" s="45"/>
      <c r="AN1049" s="45"/>
      <c r="AO1049" s="45"/>
      <c r="AP1049" s="45"/>
      <c r="AQ1049" s="36"/>
      <c r="AR1049" s="36"/>
      <c r="AS1049" s="36"/>
      <c r="AT1049" s="36"/>
      <c r="AU1049" s="36"/>
      <c r="AV1049" s="36"/>
      <c r="AW1049" s="36"/>
      <c r="AX1049" s="36"/>
      <c r="AY1049" s="36"/>
      <c r="AZ1049" s="36"/>
      <c r="BA1049" s="36"/>
      <c r="BB1049" s="36"/>
      <c r="BC1049" s="36"/>
      <c r="BD1049" s="36"/>
      <c r="BE1049" s="36"/>
      <c r="BF1049" s="36"/>
      <c r="BG1049" s="36"/>
      <c r="BH1049" s="36"/>
      <c r="BI1049" s="36"/>
      <c r="BJ1049" s="36"/>
      <c r="BK1049" s="36"/>
      <c r="BL1049" s="36"/>
      <c r="BM1049" s="36"/>
      <c r="BN1049" s="36"/>
      <c r="BO1049" s="36"/>
      <c r="BP1049" s="36"/>
      <c r="BQ1049" s="36"/>
    </row>
    <row r="1050">
      <c r="A1050" s="45"/>
      <c r="B1050" s="45"/>
      <c r="C1050" s="45"/>
      <c r="D1050" s="45"/>
      <c r="E1050" s="45"/>
      <c r="F1050" s="45"/>
      <c r="G1050" s="45"/>
      <c r="H1050" s="45"/>
      <c r="I1050" s="45"/>
      <c r="J1050" s="45"/>
      <c r="K1050" s="45"/>
      <c r="L1050" s="45"/>
      <c r="M1050" s="45"/>
      <c r="N1050" s="45"/>
      <c r="O1050" s="45"/>
      <c r="P1050" s="45"/>
      <c r="Q1050" s="45"/>
      <c r="R1050" s="51"/>
      <c r="S1050" s="51"/>
      <c r="T1050" s="51"/>
      <c r="U1050" s="51"/>
      <c r="V1050" s="51"/>
      <c r="W1050" s="51"/>
      <c r="X1050" s="51"/>
      <c r="Y1050" s="45"/>
      <c r="Z1050" s="45"/>
      <c r="AA1050" s="45"/>
      <c r="AB1050" s="45"/>
      <c r="AC1050" s="45"/>
      <c r="AD1050" s="45"/>
      <c r="AE1050" s="45"/>
      <c r="AF1050" s="45"/>
      <c r="AG1050" s="45"/>
      <c r="AH1050" s="45"/>
      <c r="AI1050" s="45"/>
      <c r="AJ1050" s="45"/>
      <c r="AK1050" s="45"/>
      <c r="AL1050" s="45"/>
      <c r="AM1050" s="45"/>
      <c r="AN1050" s="45"/>
      <c r="AO1050" s="45"/>
      <c r="AP1050" s="45"/>
      <c r="AQ1050" s="36"/>
      <c r="AR1050" s="36"/>
      <c r="AS1050" s="36"/>
      <c r="AT1050" s="36"/>
      <c r="AU1050" s="36"/>
      <c r="AV1050" s="36"/>
      <c r="AW1050" s="36"/>
      <c r="AX1050" s="36"/>
      <c r="AY1050" s="36"/>
      <c r="AZ1050" s="36"/>
      <c r="BA1050" s="36"/>
      <c r="BB1050" s="36"/>
      <c r="BC1050" s="36"/>
      <c r="BD1050" s="36"/>
      <c r="BE1050" s="36"/>
      <c r="BF1050" s="36"/>
      <c r="BG1050" s="36"/>
      <c r="BH1050" s="36"/>
      <c r="BI1050" s="36"/>
      <c r="BJ1050" s="36"/>
      <c r="BK1050" s="36"/>
      <c r="BL1050" s="36"/>
      <c r="BM1050" s="36"/>
      <c r="BN1050" s="36"/>
      <c r="BO1050" s="36"/>
      <c r="BP1050" s="36"/>
      <c r="BQ1050" s="36"/>
    </row>
    <row r="1051">
      <c r="A1051" s="45"/>
      <c r="B1051" s="45"/>
      <c r="C1051" s="45"/>
      <c r="D1051" s="45"/>
      <c r="E1051" s="45"/>
      <c r="F1051" s="45"/>
      <c r="G1051" s="45"/>
      <c r="H1051" s="45"/>
      <c r="I1051" s="45"/>
      <c r="J1051" s="45"/>
      <c r="K1051" s="45"/>
      <c r="L1051" s="45"/>
      <c r="M1051" s="45"/>
      <c r="N1051" s="45"/>
      <c r="O1051" s="45"/>
      <c r="P1051" s="45"/>
      <c r="Q1051" s="45"/>
      <c r="R1051" s="51"/>
      <c r="S1051" s="51"/>
      <c r="T1051" s="51"/>
      <c r="U1051" s="51"/>
      <c r="V1051" s="51"/>
      <c r="W1051" s="51"/>
      <c r="X1051" s="51"/>
      <c r="Y1051" s="45"/>
      <c r="Z1051" s="45"/>
      <c r="AA1051" s="45"/>
      <c r="AB1051" s="45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5"/>
      <c r="AM1051" s="45"/>
      <c r="AN1051" s="45"/>
      <c r="AO1051" s="45"/>
      <c r="AP1051" s="45"/>
      <c r="AQ1051" s="36"/>
      <c r="AR1051" s="36"/>
      <c r="AS1051" s="36"/>
      <c r="AT1051" s="36"/>
      <c r="AU1051" s="36"/>
      <c r="AV1051" s="36"/>
      <c r="AW1051" s="36"/>
      <c r="AX1051" s="36"/>
      <c r="AY1051" s="36"/>
      <c r="AZ1051" s="36"/>
      <c r="BA1051" s="36"/>
      <c r="BB1051" s="36"/>
      <c r="BC1051" s="36"/>
      <c r="BD1051" s="36"/>
      <c r="BE1051" s="36"/>
      <c r="BF1051" s="36"/>
      <c r="BG1051" s="36"/>
      <c r="BH1051" s="36"/>
      <c r="BI1051" s="36"/>
      <c r="BJ1051" s="36"/>
      <c r="BK1051" s="36"/>
      <c r="BL1051" s="36"/>
      <c r="BM1051" s="36"/>
      <c r="BN1051" s="36"/>
      <c r="BO1051" s="36"/>
      <c r="BP1051" s="36"/>
      <c r="BQ1051" s="36"/>
    </row>
    <row r="1052">
      <c r="A1052" s="45"/>
      <c r="B1052" s="45"/>
      <c r="C1052" s="45"/>
      <c r="D1052" s="45"/>
      <c r="E1052" s="45"/>
      <c r="F1052" s="45"/>
      <c r="G1052" s="45"/>
      <c r="H1052" s="45"/>
      <c r="I1052" s="45"/>
      <c r="J1052" s="45"/>
      <c r="K1052" s="45"/>
      <c r="L1052" s="45"/>
      <c r="M1052" s="45"/>
      <c r="N1052" s="45"/>
      <c r="O1052" s="45"/>
      <c r="P1052" s="45"/>
      <c r="Q1052" s="45"/>
      <c r="R1052" s="51"/>
      <c r="S1052" s="51"/>
      <c r="T1052" s="51"/>
      <c r="U1052" s="51"/>
      <c r="V1052" s="51"/>
      <c r="W1052" s="51"/>
      <c r="X1052" s="51"/>
      <c r="Y1052" s="45"/>
      <c r="Z1052" s="45"/>
      <c r="AA1052" s="45"/>
      <c r="AB1052" s="45"/>
      <c r="AC1052" s="45"/>
      <c r="AD1052" s="45"/>
      <c r="AE1052" s="45"/>
      <c r="AF1052" s="45"/>
      <c r="AG1052" s="45"/>
      <c r="AH1052" s="45"/>
      <c r="AI1052" s="45"/>
      <c r="AJ1052" s="45"/>
      <c r="AK1052" s="45"/>
      <c r="AL1052" s="45"/>
      <c r="AM1052" s="45"/>
      <c r="AN1052" s="45"/>
      <c r="AO1052" s="45"/>
      <c r="AP1052" s="45"/>
      <c r="AQ1052" s="36"/>
      <c r="AR1052" s="36"/>
      <c r="AS1052" s="36"/>
      <c r="AT1052" s="36"/>
      <c r="AU1052" s="36"/>
      <c r="AV1052" s="36"/>
      <c r="AW1052" s="36"/>
      <c r="AX1052" s="36"/>
      <c r="AY1052" s="36"/>
      <c r="AZ1052" s="36"/>
      <c r="BA1052" s="36"/>
      <c r="BB1052" s="36"/>
      <c r="BC1052" s="36"/>
      <c r="BD1052" s="36"/>
      <c r="BE1052" s="36"/>
      <c r="BF1052" s="36"/>
      <c r="BG1052" s="36"/>
      <c r="BH1052" s="36"/>
      <c r="BI1052" s="36"/>
      <c r="BJ1052" s="36"/>
      <c r="BK1052" s="36"/>
      <c r="BL1052" s="36"/>
      <c r="BM1052" s="36"/>
      <c r="BN1052" s="36"/>
      <c r="BO1052" s="36"/>
      <c r="BP1052" s="36"/>
      <c r="BQ1052" s="36"/>
    </row>
    <row r="1053">
      <c r="A1053" s="45"/>
      <c r="B1053" s="45"/>
      <c r="C1053" s="45"/>
      <c r="D1053" s="45"/>
      <c r="E1053" s="45"/>
      <c r="F1053" s="45"/>
      <c r="G1053" s="45"/>
      <c r="H1053" s="45"/>
      <c r="I1053" s="45"/>
      <c r="J1053" s="45"/>
      <c r="K1053" s="45"/>
      <c r="L1053" s="45"/>
      <c r="M1053" s="45"/>
      <c r="N1053" s="45"/>
      <c r="O1053" s="45"/>
      <c r="P1053" s="45"/>
      <c r="Q1053" s="45"/>
      <c r="R1053" s="51"/>
      <c r="S1053" s="51"/>
      <c r="T1053" s="51"/>
      <c r="U1053" s="51"/>
      <c r="V1053" s="51"/>
      <c r="W1053" s="51"/>
      <c r="X1053" s="51"/>
      <c r="Y1053" s="45"/>
      <c r="Z1053" s="45"/>
      <c r="AA1053" s="45"/>
      <c r="AB1053" s="45"/>
      <c r="AC1053" s="45"/>
      <c r="AD1053" s="45"/>
      <c r="AE1053" s="45"/>
      <c r="AF1053" s="45"/>
      <c r="AG1053" s="45"/>
      <c r="AH1053" s="45"/>
      <c r="AI1053" s="45"/>
      <c r="AJ1053" s="45"/>
      <c r="AK1053" s="45"/>
      <c r="AL1053" s="45"/>
      <c r="AM1053" s="45"/>
      <c r="AN1053" s="45"/>
      <c r="AO1053" s="45"/>
      <c r="AP1053" s="45"/>
      <c r="AQ1053" s="36"/>
      <c r="AR1053" s="36"/>
      <c r="AS1053" s="36"/>
      <c r="AT1053" s="36"/>
      <c r="AU1053" s="36"/>
      <c r="AV1053" s="36"/>
      <c r="AW1053" s="36"/>
      <c r="AX1053" s="36"/>
      <c r="AY1053" s="36"/>
      <c r="AZ1053" s="36"/>
      <c r="BA1053" s="36"/>
      <c r="BB1053" s="36"/>
      <c r="BC1053" s="36"/>
      <c r="BD1053" s="36"/>
      <c r="BE1053" s="36"/>
      <c r="BF1053" s="36"/>
      <c r="BG1053" s="36"/>
      <c r="BH1053" s="36"/>
      <c r="BI1053" s="36"/>
      <c r="BJ1053" s="36"/>
      <c r="BK1053" s="36"/>
      <c r="BL1053" s="36"/>
      <c r="BM1053" s="36"/>
      <c r="BN1053" s="36"/>
      <c r="BO1053" s="36"/>
      <c r="BP1053" s="36"/>
      <c r="BQ1053" s="36"/>
    </row>
    <row r="1054">
      <c r="A1054" s="45"/>
      <c r="B1054" s="45"/>
      <c r="C1054" s="45"/>
      <c r="D1054" s="45"/>
      <c r="E1054" s="45"/>
      <c r="F1054" s="45"/>
      <c r="G1054" s="45"/>
      <c r="H1054" s="45"/>
      <c r="I1054" s="45"/>
      <c r="J1054" s="45"/>
      <c r="K1054" s="45"/>
      <c r="L1054" s="45"/>
      <c r="M1054" s="45"/>
      <c r="N1054" s="45"/>
      <c r="O1054" s="45"/>
      <c r="P1054" s="45"/>
      <c r="Q1054" s="45"/>
      <c r="R1054" s="51"/>
      <c r="S1054" s="51"/>
      <c r="T1054" s="51"/>
      <c r="U1054" s="51"/>
      <c r="V1054" s="51"/>
      <c r="W1054" s="51"/>
      <c r="X1054" s="51"/>
      <c r="Y1054" s="45"/>
      <c r="Z1054" s="45"/>
      <c r="AA1054" s="45"/>
      <c r="AB1054" s="45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5"/>
      <c r="AM1054" s="45"/>
      <c r="AN1054" s="45"/>
      <c r="AO1054" s="45"/>
      <c r="AP1054" s="45"/>
      <c r="AQ1054" s="36"/>
      <c r="AR1054" s="36"/>
      <c r="AS1054" s="36"/>
      <c r="AT1054" s="36"/>
      <c r="AU1054" s="36"/>
      <c r="AV1054" s="36"/>
      <c r="AW1054" s="36"/>
      <c r="AX1054" s="36"/>
      <c r="AY1054" s="36"/>
      <c r="AZ1054" s="36"/>
      <c r="BA1054" s="36"/>
      <c r="BB1054" s="36"/>
      <c r="BC1054" s="36"/>
      <c r="BD1054" s="36"/>
      <c r="BE1054" s="36"/>
      <c r="BF1054" s="36"/>
      <c r="BG1054" s="36"/>
      <c r="BH1054" s="36"/>
      <c r="BI1054" s="36"/>
      <c r="BJ1054" s="36"/>
      <c r="BK1054" s="36"/>
      <c r="BL1054" s="36"/>
      <c r="BM1054" s="36"/>
      <c r="BN1054" s="36"/>
      <c r="BO1054" s="36"/>
      <c r="BP1054" s="36"/>
      <c r="BQ1054" s="36"/>
    </row>
    <row r="1055">
      <c r="A1055" s="45"/>
      <c r="B1055" s="45"/>
      <c r="C1055" s="45"/>
      <c r="D1055" s="45"/>
      <c r="E1055" s="45"/>
      <c r="F1055" s="45"/>
      <c r="G1055" s="45"/>
      <c r="H1055" s="45"/>
      <c r="I1055" s="45"/>
      <c r="J1055" s="45"/>
      <c r="K1055" s="45"/>
      <c r="L1055" s="45"/>
      <c r="M1055" s="45"/>
      <c r="N1055" s="45"/>
      <c r="O1055" s="45"/>
      <c r="P1055" s="45"/>
      <c r="Q1055" s="45"/>
      <c r="R1055" s="51"/>
      <c r="S1055" s="51"/>
      <c r="T1055" s="51"/>
      <c r="U1055" s="51"/>
      <c r="V1055" s="51"/>
      <c r="W1055" s="51"/>
      <c r="X1055" s="51"/>
      <c r="Y1055" s="45"/>
      <c r="Z1055" s="45"/>
      <c r="AA1055" s="45"/>
      <c r="AB1055" s="45"/>
      <c r="AC1055" s="45"/>
      <c r="AD1055" s="45"/>
      <c r="AE1055" s="45"/>
      <c r="AF1055" s="45"/>
      <c r="AG1055" s="45"/>
      <c r="AH1055" s="45"/>
      <c r="AI1055" s="45"/>
      <c r="AJ1055" s="45"/>
      <c r="AK1055" s="45"/>
      <c r="AL1055" s="45"/>
      <c r="AM1055" s="45"/>
      <c r="AN1055" s="45"/>
      <c r="AO1055" s="45"/>
      <c r="AP1055" s="45"/>
      <c r="AQ1055" s="36"/>
      <c r="AR1055" s="36"/>
      <c r="AS1055" s="36"/>
      <c r="AT1055" s="36"/>
      <c r="AU1055" s="36"/>
      <c r="AV1055" s="36"/>
      <c r="AW1055" s="36"/>
      <c r="AX1055" s="36"/>
      <c r="AY1055" s="36"/>
      <c r="AZ1055" s="36"/>
      <c r="BA1055" s="36"/>
      <c r="BB1055" s="36"/>
      <c r="BC1055" s="36"/>
      <c r="BD1055" s="36"/>
      <c r="BE1055" s="36"/>
      <c r="BF1055" s="36"/>
      <c r="BG1055" s="36"/>
      <c r="BH1055" s="36"/>
      <c r="BI1055" s="36"/>
      <c r="BJ1055" s="36"/>
      <c r="BK1055" s="36"/>
      <c r="BL1055" s="36"/>
      <c r="BM1055" s="36"/>
      <c r="BN1055" s="36"/>
      <c r="BO1055" s="36"/>
      <c r="BP1055" s="36"/>
      <c r="BQ1055" s="36"/>
    </row>
    <row r="1056">
      <c r="A1056" s="45"/>
      <c r="B1056" s="45"/>
      <c r="C1056" s="45"/>
      <c r="D1056" s="45"/>
      <c r="E1056" s="45"/>
      <c r="F1056" s="45"/>
      <c r="G1056" s="45"/>
      <c r="H1056" s="45"/>
      <c r="I1056" s="45"/>
      <c r="J1056" s="45"/>
      <c r="K1056" s="45"/>
      <c r="L1056" s="45"/>
      <c r="M1056" s="45"/>
      <c r="N1056" s="45"/>
      <c r="O1056" s="45"/>
      <c r="P1056" s="45"/>
      <c r="Q1056" s="45"/>
      <c r="R1056" s="51"/>
      <c r="S1056" s="51"/>
      <c r="T1056" s="51"/>
      <c r="U1056" s="51"/>
      <c r="V1056" s="51"/>
      <c r="W1056" s="51"/>
      <c r="X1056" s="51"/>
      <c r="Y1056" s="45"/>
      <c r="Z1056" s="45"/>
      <c r="AA1056" s="45"/>
      <c r="AB1056" s="45"/>
      <c r="AC1056" s="45"/>
      <c r="AD1056" s="45"/>
      <c r="AE1056" s="45"/>
      <c r="AF1056" s="45"/>
      <c r="AG1056" s="45"/>
      <c r="AH1056" s="45"/>
      <c r="AI1056" s="45"/>
      <c r="AJ1056" s="45"/>
      <c r="AK1056" s="45"/>
      <c r="AL1056" s="45"/>
      <c r="AM1056" s="45"/>
      <c r="AN1056" s="45"/>
      <c r="AO1056" s="45"/>
      <c r="AP1056" s="45"/>
      <c r="AQ1056" s="36"/>
      <c r="AR1056" s="36"/>
      <c r="AS1056" s="36"/>
      <c r="AT1056" s="36"/>
      <c r="AU1056" s="36"/>
      <c r="AV1056" s="36"/>
      <c r="AW1056" s="36"/>
      <c r="AX1056" s="36"/>
      <c r="AY1056" s="36"/>
      <c r="AZ1056" s="36"/>
      <c r="BA1056" s="36"/>
      <c r="BB1056" s="36"/>
      <c r="BC1056" s="36"/>
      <c r="BD1056" s="36"/>
      <c r="BE1056" s="36"/>
      <c r="BF1056" s="36"/>
      <c r="BG1056" s="36"/>
      <c r="BH1056" s="36"/>
      <c r="BI1056" s="36"/>
      <c r="BJ1056" s="36"/>
      <c r="BK1056" s="36"/>
      <c r="BL1056" s="36"/>
      <c r="BM1056" s="36"/>
      <c r="BN1056" s="36"/>
      <c r="BO1056" s="36"/>
      <c r="BP1056" s="36"/>
      <c r="BQ1056" s="36"/>
    </row>
    <row r="1057">
      <c r="A1057" s="45"/>
      <c r="B1057" s="45"/>
      <c r="C1057" s="45"/>
      <c r="D1057" s="45"/>
      <c r="E1057" s="45"/>
      <c r="F1057" s="45"/>
      <c r="G1057" s="45"/>
      <c r="H1057" s="45"/>
      <c r="I1057" s="45"/>
      <c r="J1057" s="45"/>
      <c r="K1057" s="45"/>
      <c r="L1057" s="45"/>
      <c r="M1057" s="45"/>
      <c r="N1057" s="45"/>
      <c r="O1057" s="45"/>
      <c r="P1057" s="45"/>
      <c r="Q1057" s="45"/>
      <c r="R1057" s="51"/>
      <c r="S1057" s="51"/>
      <c r="T1057" s="51"/>
      <c r="U1057" s="51"/>
      <c r="V1057" s="51"/>
      <c r="W1057" s="51"/>
      <c r="X1057" s="51"/>
      <c r="Y1057" s="45"/>
      <c r="Z1057" s="45"/>
      <c r="AA1057" s="45"/>
      <c r="AB1057" s="45"/>
      <c r="AC1057" s="45"/>
      <c r="AD1057" s="45"/>
      <c r="AE1057" s="45"/>
      <c r="AF1057" s="45"/>
      <c r="AG1057" s="45"/>
      <c r="AH1057" s="45"/>
      <c r="AI1057" s="45"/>
      <c r="AJ1057" s="45"/>
      <c r="AK1057" s="45"/>
      <c r="AL1057" s="45"/>
      <c r="AM1057" s="45"/>
      <c r="AN1057" s="45"/>
      <c r="AO1057" s="45"/>
      <c r="AP1057" s="45"/>
      <c r="AQ1057" s="36"/>
      <c r="AR1057" s="36"/>
      <c r="AS1057" s="36"/>
      <c r="AT1057" s="36"/>
      <c r="AU1057" s="36"/>
      <c r="AV1057" s="36"/>
      <c r="AW1057" s="36"/>
      <c r="AX1057" s="36"/>
      <c r="AY1057" s="36"/>
      <c r="AZ1057" s="36"/>
      <c r="BA1057" s="36"/>
      <c r="BB1057" s="36"/>
      <c r="BC1057" s="36"/>
      <c r="BD1057" s="36"/>
      <c r="BE1057" s="36"/>
      <c r="BF1057" s="36"/>
      <c r="BG1057" s="36"/>
      <c r="BH1057" s="36"/>
      <c r="BI1057" s="36"/>
      <c r="BJ1057" s="36"/>
      <c r="BK1057" s="36"/>
      <c r="BL1057" s="36"/>
      <c r="BM1057" s="36"/>
      <c r="BN1057" s="36"/>
      <c r="BO1057" s="36"/>
      <c r="BP1057" s="36"/>
      <c r="BQ1057" s="36"/>
    </row>
    <row r="1058">
      <c r="A1058" s="45"/>
      <c r="B1058" s="45"/>
      <c r="C1058" s="45"/>
      <c r="D1058" s="45"/>
      <c r="E1058" s="45"/>
      <c r="F1058" s="45"/>
      <c r="G1058" s="45"/>
      <c r="H1058" s="45"/>
      <c r="I1058" s="45"/>
      <c r="J1058" s="45"/>
      <c r="K1058" s="45"/>
      <c r="L1058" s="45"/>
      <c r="M1058" s="45"/>
      <c r="N1058" s="45"/>
      <c r="O1058" s="45"/>
      <c r="P1058" s="45"/>
      <c r="Q1058" s="45"/>
      <c r="R1058" s="51"/>
      <c r="S1058" s="51"/>
      <c r="T1058" s="51"/>
      <c r="U1058" s="51"/>
      <c r="V1058" s="51"/>
      <c r="W1058" s="51"/>
      <c r="X1058" s="51"/>
      <c r="Y1058" s="45"/>
      <c r="Z1058" s="45"/>
      <c r="AA1058" s="45"/>
      <c r="AB1058" s="45"/>
      <c r="AC1058" s="45"/>
      <c r="AD1058" s="45"/>
      <c r="AE1058" s="45"/>
      <c r="AF1058" s="45"/>
      <c r="AG1058" s="45"/>
      <c r="AH1058" s="45"/>
      <c r="AI1058" s="45"/>
      <c r="AJ1058" s="45"/>
      <c r="AK1058" s="45"/>
      <c r="AL1058" s="45"/>
      <c r="AM1058" s="45"/>
      <c r="AN1058" s="45"/>
      <c r="AO1058" s="45"/>
      <c r="AP1058" s="45"/>
      <c r="AQ1058" s="36"/>
      <c r="AR1058" s="36"/>
      <c r="AS1058" s="36"/>
      <c r="AT1058" s="36"/>
      <c r="AU1058" s="36"/>
      <c r="AV1058" s="36"/>
      <c r="AW1058" s="36"/>
      <c r="AX1058" s="36"/>
      <c r="AY1058" s="36"/>
      <c r="AZ1058" s="36"/>
      <c r="BA1058" s="36"/>
      <c r="BB1058" s="36"/>
      <c r="BC1058" s="36"/>
      <c r="BD1058" s="36"/>
      <c r="BE1058" s="36"/>
      <c r="BF1058" s="36"/>
      <c r="BG1058" s="36"/>
      <c r="BH1058" s="36"/>
      <c r="BI1058" s="36"/>
      <c r="BJ1058" s="36"/>
      <c r="BK1058" s="36"/>
      <c r="BL1058" s="36"/>
      <c r="BM1058" s="36"/>
      <c r="BN1058" s="36"/>
      <c r="BO1058" s="36"/>
      <c r="BP1058" s="36"/>
      <c r="BQ1058" s="36"/>
    </row>
    <row r="1059">
      <c r="A1059" s="45"/>
      <c r="B1059" s="45"/>
      <c r="C1059" s="45"/>
      <c r="D1059" s="45"/>
      <c r="E1059" s="45"/>
      <c r="F1059" s="45"/>
      <c r="G1059" s="45"/>
      <c r="H1059" s="45"/>
      <c r="I1059" s="45"/>
      <c r="J1059" s="45"/>
      <c r="K1059" s="45"/>
      <c r="L1059" s="45"/>
      <c r="M1059" s="45"/>
      <c r="N1059" s="45"/>
      <c r="O1059" s="45"/>
      <c r="P1059" s="45"/>
      <c r="Q1059" s="45"/>
      <c r="R1059" s="51"/>
      <c r="S1059" s="51"/>
      <c r="T1059" s="51"/>
      <c r="U1059" s="51"/>
      <c r="V1059" s="51"/>
      <c r="W1059" s="51"/>
      <c r="X1059" s="51"/>
      <c r="Y1059" s="45"/>
      <c r="Z1059" s="45"/>
      <c r="AA1059" s="45"/>
      <c r="AB1059" s="45"/>
      <c r="AC1059" s="45"/>
      <c r="AD1059" s="45"/>
      <c r="AE1059" s="45"/>
      <c r="AF1059" s="45"/>
      <c r="AG1059" s="45"/>
      <c r="AH1059" s="45"/>
      <c r="AI1059" s="45"/>
      <c r="AJ1059" s="45"/>
      <c r="AK1059" s="45"/>
      <c r="AL1059" s="45"/>
      <c r="AM1059" s="45"/>
      <c r="AN1059" s="45"/>
      <c r="AO1059" s="45"/>
      <c r="AP1059" s="45"/>
      <c r="AQ1059" s="36"/>
      <c r="AR1059" s="36"/>
      <c r="AS1059" s="36"/>
      <c r="AT1059" s="36"/>
      <c r="AU1059" s="36"/>
      <c r="AV1059" s="36"/>
      <c r="AW1059" s="36"/>
      <c r="AX1059" s="36"/>
      <c r="AY1059" s="36"/>
      <c r="AZ1059" s="36"/>
      <c r="BA1059" s="36"/>
      <c r="BB1059" s="36"/>
      <c r="BC1059" s="36"/>
      <c r="BD1059" s="36"/>
      <c r="BE1059" s="36"/>
      <c r="BF1059" s="36"/>
      <c r="BG1059" s="36"/>
      <c r="BH1059" s="36"/>
      <c r="BI1059" s="36"/>
      <c r="BJ1059" s="36"/>
      <c r="BK1059" s="36"/>
      <c r="BL1059" s="36"/>
      <c r="BM1059" s="36"/>
      <c r="BN1059" s="36"/>
      <c r="BO1059" s="36"/>
      <c r="BP1059" s="36"/>
      <c r="BQ1059" s="36"/>
    </row>
    <row r="1060">
      <c r="A1060" s="45"/>
      <c r="B1060" s="45"/>
      <c r="C1060" s="45"/>
      <c r="D1060" s="45"/>
      <c r="E1060" s="45"/>
      <c r="F1060" s="45"/>
      <c r="G1060" s="45"/>
      <c r="H1060" s="45"/>
      <c r="I1060" s="45"/>
      <c r="J1060" s="45"/>
      <c r="K1060" s="45"/>
      <c r="L1060" s="45"/>
      <c r="M1060" s="45"/>
      <c r="N1060" s="45"/>
      <c r="O1060" s="45"/>
      <c r="P1060" s="45"/>
      <c r="Q1060" s="45"/>
      <c r="R1060" s="51"/>
      <c r="S1060" s="51"/>
      <c r="T1060" s="51"/>
      <c r="U1060" s="51"/>
      <c r="V1060" s="51"/>
      <c r="W1060" s="51"/>
      <c r="X1060" s="51"/>
      <c r="Y1060" s="45"/>
      <c r="Z1060" s="45"/>
      <c r="AA1060" s="45"/>
      <c r="AB1060" s="45"/>
      <c r="AC1060" s="45"/>
      <c r="AD1060" s="45"/>
      <c r="AE1060" s="45"/>
      <c r="AF1060" s="45"/>
      <c r="AG1060" s="45"/>
      <c r="AH1060" s="45"/>
      <c r="AI1060" s="45"/>
      <c r="AJ1060" s="45"/>
      <c r="AK1060" s="45"/>
      <c r="AL1060" s="45"/>
      <c r="AM1060" s="45"/>
      <c r="AN1060" s="45"/>
      <c r="AO1060" s="45"/>
      <c r="AP1060" s="45"/>
      <c r="AQ1060" s="36"/>
      <c r="AR1060" s="36"/>
      <c r="AS1060" s="36"/>
      <c r="AT1060" s="36"/>
      <c r="AU1060" s="36"/>
      <c r="AV1060" s="36"/>
      <c r="AW1060" s="36"/>
      <c r="AX1060" s="36"/>
      <c r="AY1060" s="36"/>
      <c r="AZ1060" s="36"/>
      <c r="BA1060" s="36"/>
      <c r="BB1060" s="36"/>
      <c r="BC1060" s="36"/>
      <c r="BD1060" s="36"/>
      <c r="BE1060" s="36"/>
      <c r="BF1060" s="36"/>
      <c r="BG1060" s="36"/>
      <c r="BH1060" s="36"/>
      <c r="BI1060" s="36"/>
      <c r="BJ1060" s="36"/>
      <c r="BK1060" s="36"/>
      <c r="BL1060" s="36"/>
      <c r="BM1060" s="36"/>
      <c r="BN1060" s="36"/>
      <c r="BO1060" s="36"/>
      <c r="BP1060" s="36"/>
      <c r="BQ1060" s="36"/>
    </row>
    <row r="1061">
      <c r="A1061" s="45"/>
      <c r="B1061" s="45"/>
      <c r="C1061" s="45"/>
      <c r="D1061" s="45"/>
      <c r="E1061" s="45"/>
      <c r="F1061" s="45"/>
      <c r="G1061" s="45"/>
      <c r="H1061" s="45"/>
      <c r="I1061" s="45"/>
      <c r="J1061" s="45"/>
      <c r="K1061" s="45"/>
      <c r="L1061" s="45"/>
      <c r="M1061" s="45"/>
      <c r="N1061" s="45"/>
      <c r="O1061" s="45"/>
      <c r="P1061" s="45"/>
      <c r="Q1061" s="45"/>
      <c r="R1061" s="51"/>
      <c r="S1061" s="51"/>
      <c r="T1061" s="51"/>
      <c r="U1061" s="51"/>
      <c r="V1061" s="51"/>
      <c r="W1061" s="51"/>
      <c r="X1061" s="51"/>
      <c r="Y1061" s="45"/>
      <c r="Z1061" s="45"/>
      <c r="AA1061" s="45"/>
      <c r="AB1061" s="45"/>
      <c r="AC1061" s="45"/>
      <c r="AD1061" s="45"/>
      <c r="AE1061" s="45"/>
      <c r="AF1061" s="45"/>
      <c r="AG1061" s="45"/>
      <c r="AH1061" s="45"/>
      <c r="AI1061" s="45"/>
      <c r="AJ1061" s="45"/>
      <c r="AK1061" s="45"/>
      <c r="AL1061" s="45"/>
      <c r="AM1061" s="45"/>
      <c r="AN1061" s="45"/>
      <c r="AO1061" s="45"/>
      <c r="AP1061" s="45"/>
      <c r="AQ1061" s="36"/>
      <c r="AR1061" s="36"/>
      <c r="AS1061" s="36"/>
      <c r="AT1061" s="36"/>
      <c r="AU1061" s="36"/>
      <c r="AV1061" s="36"/>
      <c r="AW1061" s="36"/>
      <c r="AX1061" s="36"/>
      <c r="AY1061" s="36"/>
      <c r="AZ1061" s="36"/>
      <c r="BA1061" s="36"/>
      <c r="BB1061" s="36"/>
      <c r="BC1061" s="36"/>
      <c r="BD1061" s="36"/>
      <c r="BE1061" s="36"/>
      <c r="BF1061" s="36"/>
      <c r="BG1061" s="36"/>
      <c r="BH1061" s="36"/>
      <c r="BI1061" s="36"/>
      <c r="BJ1061" s="36"/>
      <c r="BK1061" s="36"/>
      <c r="BL1061" s="36"/>
      <c r="BM1061" s="36"/>
      <c r="BN1061" s="36"/>
      <c r="BO1061" s="36"/>
      <c r="BP1061" s="36"/>
      <c r="BQ1061" s="36"/>
    </row>
    <row r="1062">
      <c r="A1062" s="45"/>
      <c r="B1062" s="45"/>
      <c r="C1062" s="45"/>
      <c r="D1062" s="45"/>
      <c r="E1062" s="45"/>
      <c r="F1062" s="45"/>
      <c r="G1062" s="45"/>
      <c r="H1062" s="45"/>
      <c r="I1062" s="45"/>
      <c r="J1062" s="45"/>
      <c r="K1062" s="45"/>
      <c r="L1062" s="45"/>
      <c r="M1062" s="45"/>
      <c r="N1062" s="45"/>
      <c r="O1062" s="45"/>
      <c r="P1062" s="45"/>
      <c r="Q1062" s="45"/>
      <c r="R1062" s="51"/>
      <c r="S1062" s="51"/>
      <c r="T1062" s="51"/>
      <c r="U1062" s="51"/>
      <c r="V1062" s="51"/>
      <c r="W1062" s="51"/>
      <c r="X1062" s="51"/>
      <c r="Y1062" s="45"/>
      <c r="Z1062" s="45"/>
      <c r="AA1062" s="45"/>
      <c r="AB1062" s="45"/>
      <c r="AC1062" s="45"/>
      <c r="AD1062" s="45"/>
      <c r="AE1062" s="45"/>
      <c r="AF1062" s="45"/>
      <c r="AG1062" s="45"/>
      <c r="AH1062" s="45"/>
      <c r="AI1062" s="45"/>
      <c r="AJ1062" s="45"/>
      <c r="AK1062" s="45"/>
      <c r="AL1062" s="45"/>
      <c r="AM1062" s="45"/>
      <c r="AN1062" s="45"/>
      <c r="AO1062" s="45"/>
      <c r="AP1062" s="45"/>
      <c r="AQ1062" s="36"/>
      <c r="AR1062" s="36"/>
      <c r="AS1062" s="36"/>
      <c r="AT1062" s="36"/>
      <c r="AU1062" s="36"/>
      <c r="AV1062" s="36"/>
      <c r="AW1062" s="36"/>
      <c r="AX1062" s="36"/>
      <c r="AY1062" s="36"/>
      <c r="AZ1062" s="36"/>
      <c r="BA1062" s="36"/>
      <c r="BB1062" s="36"/>
      <c r="BC1062" s="36"/>
      <c r="BD1062" s="36"/>
      <c r="BE1062" s="36"/>
      <c r="BF1062" s="36"/>
      <c r="BG1062" s="36"/>
      <c r="BH1062" s="36"/>
      <c r="BI1062" s="36"/>
      <c r="BJ1062" s="36"/>
      <c r="BK1062" s="36"/>
      <c r="BL1062" s="36"/>
      <c r="BM1062" s="36"/>
      <c r="BN1062" s="36"/>
      <c r="BO1062" s="36"/>
      <c r="BP1062" s="36"/>
      <c r="BQ1062" s="36"/>
    </row>
    <row r="1063">
      <c r="A1063" s="45"/>
      <c r="B1063" s="45"/>
      <c r="C1063" s="45"/>
      <c r="D1063" s="45"/>
      <c r="E1063" s="45"/>
      <c r="F1063" s="45"/>
      <c r="G1063" s="45"/>
      <c r="H1063" s="45"/>
      <c r="I1063" s="45"/>
      <c r="J1063" s="45"/>
      <c r="K1063" s="45"/>
      <c r="L1063" s="45"/>
      <c r="M1063" s="45"/>
      <c r="N1063" s="45"/>
      <c r="O1063" s="45"/>
      <c r="P1063" s="45"/>
      <c r="Q1063" s="45"/>
      <c r="R1063" s="51"/>
      <c r="S1063" s="51"/>
      <c r="T1063" s="51"/>
      <c r="U1063" s="51"/>
      <c r="V1063" s="51"/>
      <c r="W1063" s="51"/>
      <c r="X1063" s="51"/>
      <c r="Y1063" s="45"/>
      <c r="Z1063" s="45"/>
      <c r="AA1063" s="45"/>
      <c r="AB1063" s="45"/>
      <c r="AC1063" s="45"/>
      <c r="AD1063" s="45"/>
      <c r="AE1063" s="45"/>
      <c r="AF1063" s="45"/>
      <c r="AG1063" s="45"/>
      <c r="AH1063" s="45"/>
      <c r="AI1063" s="45"/>
      <c r="AJ1063" s="45"/>
      <c r="AK1063" s="45"/>
      <c r="AL1063" s="45"/>
      <c r="AM1063" s="45"/>
      <c r="AN1063" s="45"/>
      <c r="AO1063" s="45"/>
      <c r="AP1063" s="45"/>
      <c r="AQ1063" s="36"/>
      <c r="AR1063" s="36"/>
      <c r="AS1063" s="36"/>
      <c r="AT1063" s="36"/>
      <c r="AU1063" s="36"/>
      <c r="AV1063" s="36"/>
      <c r="AW1063" s="36"/>
      <c r="AX1063" s="36"/>
      <c r="AY1063" s="36"/>
      <c r="AZ1063" s="36"/>
      <c r="BA1063" s="36"/>
      <c r="BB1063" s="36"/>
      <c r="BC1063" s="36"/>
      <c r="BD1063" s="36"/>
      <c r="BE1063" s="36"/>
      <c r="BF1063" s="36"/>
      <c r="BG1063" s="36"/>
      <c r="BH1063" s="36"/>
      <c r="BI1063" s="36"/>
      <c r="BJ1063" s="36"/>
      <c r="BK1063" s="36"/>
      <c r="BL1063" s="36"/>
      <c r="BM1063" s="36"/>
      <c r="BN1063" s="36"/>
      <c r="BO1063" s="36"/>
      <c r="BP1063" s="36"/>
      <c r="BQ1063" s="36"/>
    </row>
    <row r="1064">
      <c r="A1064" s="45"/>
      <c r="B1064" s="45"/>
      <c r="C1064" s="45"/>
      <c r="D1064" s="45"/>
      <c r="E1064" s="45"/>
      <c r="F1064" s="45"/>
      <c r="G1064" s="45"/>
      <c r="H1064" s="45"/>
      <c r="I1064" s="45"/>
      <c r="J1064" s="45"/>
      <c r="K1064" s="45"/>
      <c r="L1064" s="45"/>
      <c r="M1064" s="45"/>
      <c r="N1064" s="45"/>
      <c r="O1064" s="45"/>
      <c r="P1064" s="45"/>
      <c r="Q1064" s="45"/>
      <c r="R1064" s="51"/>
      <c r="S1064" s="51"/>
      <c r="T1064" s="51"/>
      <c r="U1064" s="51"/>
      <c r="V1064" s="51"/>
      <c r="W1064" s="51"/>
      <c r="X1064" s="51"/>
      <c r="Y1064" s="45"/>
      <c r="Z1064" s="45"/>
      <c r="AA1064" s="45"/>
      <c r="AB1064" s="45"/>
      <c r="AC1064" s="45"/>
      <c r="AD1064" s="45"/>
      <c r="AE1064" s="45"/>
      <c r="AF1064" s="45"/>
      <c r="AG1064" s="45"/>
      <c r="AH1064" s="45"/>
      <c r="AI1064" s="45"/>
      <c r="AJ1064" s="45"/>
      <c r="AK1064" s="45"/>
      <c r="AL1064" s="45"/>
      <c r="AM1064" s="45"/>
      <c r="AN1064" s="45"/>
      <c r="AO1064" s="45"/>
      <c r="AP1064" s="45"/>
      <c r="AQ1064" s="36"/>
      <c r="AR1064" s="36"/>
      <c r="AS1064" s="36"/>
      <c r="AT1064" s="36"/>
      <c r="AU1064" s="36"/>
      <c r="AV1064" s="36"/>
      <c r="AW1064" s="36"/>
      <c r="AX1064" s="36"/>
      <c r="AY1064" s="36"/>
      <c r="AZ1064" s="36"/>
      <c r="BA1064" s="36"/>
      <c r="BB1064" s="36"/>
      <c r="BC1064" s="36"/>
      <c r="BD1064" s="36"/>
      <c r="BE1064" s="36"/>
      <c r="BF1064" s="36"/>
      <c r="BG1064" s="36"/>
      <c r="BH1064" s="36"/>
      <c r="BI1064" s="36"/>
      <c r="BJ1064" s="36"/>
      <c r="BK1064" s="36"/>
      <c r="BL1064" s="36"/>
      <c r="BM1064" s="36"/>
      <c r="BN1064" s="36"/>
      <c r="BO1064" s="36"/>
      <c r="BP1064" s="36"/>
      <c r="BQ1064" s="36"/>
    </row>
    <row r="1065">
      <c r="A1065" s="45"/>
      <c r="B1065" s="45"/>
      <c r="C1065" s="45"/>
      <c r="D1065" s="45"/>
      <c r="E1065" s="45"/>
      <c r="F1065" s="45"/>
      <c r="G1065" s="45"/>
      <c r="H1065" s="45"/>
      <c r="I1065" s="45"/>
      <c r="J1065" s="45"/>
      <c r="K1065" s="45"/>
      <c r="L1065" s="45"/>
      <c r="M1065" s="45"/>
      <c r="N1065" s="45"/>
      <c r="O1065" s="45"/>
      <c r="P1065" s="45"/>
      <c r="Q1065" s="45"/>
      <c r="R1065" s="51"/>
      <c r="S1065" s="51"/>
      <c r="T1065" s="51"/>
      <c r="U1065" s="51"/>
      <c r="V1065" s="51"/>
      <c r="W1065" s="51"/>
      <c r="X1065" s="51"/>
      <c r="Y1065" s="45"/>
      <c r="Z1065" s="45"/>
      <c r="AA1065" s="45"/>
      <c r="AB1065" s="45"/>
      <c r="AC1065" s="45"/>
      <c r="AD1065" s="45"/>
      <c r="AE1065" s="45"/>
      <c r="AF1065" s="45"/>
      <c r="AG1065" s="45"/>
      <c r="AH1065" s="45"/>
      <c r="AI1065" s="45"/>
      <c r="AJ1065" s="45"/>
      <c r="AK1065" s="45"/>
      <c r="AL1065" s="45"/>
      <c r="AM1065" s="45"/>
      <c r="AN1065" s="45"/>
      <c r="AO1065" s="45"/>
      <c r="AP1065" s="45"/>
      <c r="AQ1065" s="36"/>
      <c r="AR1065" s="36"/>
      <c r="AS1065" s="36"/>
      <c r="AT1065" s="36"/>
      <c r="AU1065" s="36"/>
      <c r="AV1065" s="36"/>
      <c r="AW1065" s="36"/>
      <c r="AX1065" s="36"/>
      <c r="AY1065" s="36"/>
      <c r="AZ1065" s="36"/>
      <c r="BA1065" s="36"/>
      <c r="BB1065" s="36"/>
      <c r="BC1065" s="36"/>
      <c r="BD1065" s="36"/>
      <c r="BE1065" s="36"/>
      <c r="BF1065" s="36"/>
      <c r="BG1065" s="36"/>
      <c r="BH1065" s="36"/>
      <c r="BI1065" s="36"/>
      <c r="BJ1065" s="36"/>
      <c r="BK1065" s="36"/>
      <c r="BL1065" s="36"/>
      <c r="BM1065" s="36"/>
      <c r="BN1065" s="36"/>
      <c r="BO1065" s="36"/>
      <c r="BP1065" s="36"/>
      <c r="BQ1065" s="36"/>
    </row>
    <row r="1066">
      <c r="A1066" s="45"/>
      <c r="B1066" s="45"/>
      <c r="C1066" s="45"/>
      <c r="D1066" s="45"/>
      <c r="E1066" s="45"/>
      <c r="F1066" s="45"/>
      <c r="G1066" s="45"/>
      <c r="H1066" s="45"/>
      <c r="I1066" s="45"/>
      <c r="J1066" s="45"/>
      <c r="K1066" s="45"/>
      <c r="L1066" s="45"/>
      <c r="M1066" s="45"/>
      <c r="N1066" s="45"/>
      <c r="O1066" s="45"/>
      <c r="P1066" s="45"/>
      <c r="Q1066" s="45"/>
      <c r="R1066" s="51"/>
      <c r="S1066" s="51"/>
      <c r="T1066" s="51"/>
      <c r="U1066" s="51"/>
      <c r="V1066" s="51"/>
      <c r="W1066" s="51"/>
      <c r="X1066" s="51"/>
      <c r="Y1066" s="45"/>
      <c r="Z1066" s="45"/>
      <c r="AA1066" s="45"/>
      <c r="AB1066" s="45"/>
      <c r="AC1066" s="45"/>
      <c r="AD1066" s="45"/>
      <c r="AE1066" s="45"/>
      <c r="AF1066" s="45"/>
      <c r="AG1066" s="45"/>
      <c r="AH1066" s="45"/>
      <c r="AI1066" s="45"/>
      <c r="AJ1066" s="45"/>
      <c r="AK1066" s="45"/>
      <c r="AL1066" s="45"/>
      <c r="AM1066" s="45"/>
      <c r="AN1066" s="45"/>
      <c r="AO1066" s="45"/>
      <c r="AP1066" s="45"/>
      <c r="AQ1066" s="36"/>
      <c r="AR1066" s="36"/>
      <c r="AS1066" s="36"/>
      <c r="AT1066" s="36"/>
      <c r="AU1066" s="36"/>
      <c r="AV1066" s="36"/>
      <c r="AW1066" s="36"/>
      <c r="AX1066" s="36"/>
      <c r="AY1066" s="36"/>
      <c r="AZ1066" s="36"/>
      <c r="BA1066" s="36"/>
      <c r="BB1066" s="36"/>
      <c r="BC1066" s="36"/>
      <c r="BD1066" s="36"/>
      <c r="BE1066" s="36"/>
      <c r="BF1066" s="36"/>
      <c r="BG1066" s="36"/>
      <c r="BH1066" s="36"/>
      <c r="BI1066" s="36"/>
      <c r="BJ1066" s="36"/>
      <c r="BK1066" s="36"/>
      <c r="BL1066" s="36"/>
      <c r="BM1066" s="36"/>
      <c r="BN1066" s="36"/>
      <c r="BO1066" s="36"/>
      <c r="BP1066" s="36"/>
      <c r="BQ1066" s="36"/>
    </row>
    <row r="1067">
      <c r="A1067" s="45"/>
      <c r="B1067" s="45"/>
      <c r="C1067" s="45"/>
      <c r="D1067" s="45"/>
      <c r="E1067" s="45"/>
      <c r="F1067" s="45"/>
      <c r="G1067" s="45"/>
      <c r="H1067" s="45"/>
      <c r="I1067" s="45"/>
      <c r="J1067" s="45"/>
      <c r="K1067" s="45"/>
      <c r="L1067" s="45"/>
      <c r="M1067" s="45"/>
      <c r="N1067" s="45"/>
      <c r="O1067" s="45"/>
      <c r="P1067" s="45"/>
      <c r="Q1067" s="45"/>
      <c r="R1067" s="51"/>
      <c r="S1067" s="51"/>
      <c r="T1067" s="51"/>
      <c r="U1067" s="51"/>
      <c r="V1067" s="51"/>
      <c r="W1067" s="51"/>
      <c r="X1067" s="51"/>
      <c r="Y1067" s="45"/>
      <c r="Z1067" s="45"/>
      <c r="AA1067" s="45"/>
      <c r="AB1067" s="45"/>
      <c r="AC1067" s="45"/>
      <c r="AD1067" s="45"/>
      <c r="AE1067" s="45"/>
      <c r="AF1067" s="45"/>
      <c r="AG1067" s="45"/>
      <c r="AH1067" s="45"/>
      <c r="AI1067" s="45"/>
      <c r="AJ1067" s="45"/>
      <c r="AK1067" s="45"/>
      <c r="AL1067" s="45"/>
      <c r="AM1067" s="45"/>
      <c r="AN1067" s="45"/>
      <c r="AO1067" s="45"/>
      <c r="AP1067" s="45"/>
      <c r="AQ1067" s="36"/>
      <c r="AR1067" s="36"/>
      <c r="AS1067" s="36"/>
      <c r="AT1067" s="36"/>
      <c r="AU1067" s="36"/>
      <c r="AV1067" s="36"/>
      <c r="AW1067" s="36"/>
      <c r="AX1067" s="36"/>
      <c r="AY1067" s="36"/>
      <c r="AZ1067" s="36"/>
      <c r="BA1067" s="36"/>
      <c r="BB1067" s="36"/>
      <c r="BC1067" s="36"/>
      <c r="BD1067" s="36"/>
      <c r="BE1067" s="36"/>
      <c r="BF1067" s="36"/>
      <c r="BG1067" s="36"/>
      <c r="BH1067" s="36"/>
      <c r="BI1067" s="36"/>
      <c r="BJ1067" s="36"/>
      <c r="BK1067" s="36"/>
      <c r="BL1067" s="36"/>
      <c r="BM1067" s="36"/>
      <c r="BN1067" s="36"/>
      <c r="BO1067" s="36"/>
      <c r="BP1067" s="36"/>
      <c r="BQ1067" s="36"/>
    </row>
    <row r="1068">
      <c r="A1068" s="45"/>
      <c r="B1068" s="45"/>
      <c r="C1068" s="45"/>
      <c r="D1068" s="45"/>
      <c r="E1068" s="45"/>
      <c r="F1068" s="45"/>
      <c r="G1068" s="45"/>
      <c r="H1068" s="45"/>
      <c r="I1068" s="45"/>
      <c r="J1068" s="45"/>
      <c r="K1068" s="45"/>
      <c r="L1068" s="45"/>
      <c r="M1068" s="45"/>
      <c r="N1068" s="45"/>
      <c r="O1068" s="45"/>
      <c r="P1068" s="45"/>
      <c r="Q1068" s="45"/>
      <c r="R1068" s="51"/>
      <c r="S1068" s="51"/>
      <c r="T1068" s="51"/>
      <c r="U1068" s="51"/>
      <c r="V1068" s="51"/>
      <c r="W1068" s="51"/>
      <c r="X1068" s="51"/>
      <c r="Y1068" s="45"/>
      <c r="Z1068" s="45"/>
      <c r="AA1068" s="45"/>
      <c r="AB1068" s="45"/>
      <c r="AC1068" s="45"/>
      <c r="AD1068" s="45"/>
      <c r="AE1068" s="45"/>
      <c r="AF1068" s="45"/>
      <c r="AG1068" s="45"/>
      <c r="AH1068" s="45"/>
      <c r="AI1068" s="45"/>
      <c r="AJ1068" s="45"/>
      <c r="AK1068" s="45"/>
      <c r="AL1068" s="45"/>
      <c r="AM1068" s="45"/>
      <c r="AN1068" s="45"/>
      <c r="AO1068" s="45"/>
      <c r="AP1068" s="45"/>
      <c r="AQ1068" s="36"/>
      <c r="AR1068" s="36"/>
      <c r="AS1068" s="36"/>
      <c r="AT1068" s="36"/>
      <c r="AU1068" s="36"/>
      <c r="AV1068" s="36"/>
      <c r="AW1068" s="36"/>
      <c r="AX1068" s="36"/>
      <c r="AY1068" s="36"/>
      <c r="AZ1068" s="36"/>
      <c r="BA1068" s="36"/>
      <c r="BB1068" s="36"/>
      <c r="BC1068" s="36"/>
      <c r="BD1068" s="36"/>
      <c r="BE1068" s="36"/>
      <c r="BF1068" s="36"/>
      <c r="BG1068" s="36"/>
      <c r="BH1068" s="36"/>
      <c r="BI1068" s="36"/>
      <c r="BJ1068" s="36"/>
      <c r="BK1068" s="36"/>
      <c r="BL1068" s="36"/>
      <c r="BM1068" s="36"/>
      <c r="BN1068" s="36"/>
      <c r="BO1068" s="36"/>
      <c r="BP1068" s="36"/>
      <c r="BQ1068" s="36"/>
    </row>
    <row r="1069">
      <c r="A1069" s="45"/>
      <c r="B1069" s="45"/>
      <c r="C1069" s="45"/>
      <c r="D1069" s="45"/>
      <c r="E1069" s="45"/>
      <c r="F1069" s="45"/>
      <c r="G1069" s="45"/>
      <c r="H1069" s="45"/>
      <c r="I1069" s="45"/>
      <c r="J1069" s="45"/>
      <c r="K1069" s="45"/>
      <c r="L1069" s="45"/>
      <c r="M1069" s="45"/>
      <c r="N1069" s="45"/>
      <c r="O1069" s="45"/>
      <c r="P1069" s="45"/>
      <c r="Q1069" s="45"/>
      <c r="R1069" s="51"/>
      <c r="S1069" s="51"/>
      <c r="T1069" s="51"/>
      <c r="U1069" s="51"/>
      <c r="V1069" s="51"/>
      <c r="W1069" s="51"/>
      <c r="X1069" s="51"/>
      <c r="Y1069" s="45"/>
      <c r="Z1069" s="45"/>
      <c r="AA1069" s="45"/>
      <c r="AB1069" s="45"/>
      <c r="AC1069" s="45"/>
      <c r="AD1069" s="45"/>
      <c r="AE1069" s="45"/>
      <c r="AF1069" s="45"/>
      <c r="AG1069" s="45"/>
      <c r="AH1069" s="45"/>
      <c r="AI1069" s="45"/>
      <c r="AJ1069" s="45"/>
      <c r="AK1069" s="45"/>
      <c r="AL1069" s="45"/>
      <c r="AM1069" s="45"/>
      <c r="AN1069" s="45"/>
      <c r="AO1069" s="45"/>
      <c r="AP1069" s="45"/>
      <c r="AQ1069" s="36"/>
      <c r="AR1069" s="36"/>
      <c r="AS1069" s="36"/>
      <c r="AT1069" s="36"/>
      <c r="AU1069" s="36"/>
      <c r="AV1069" s="36"/>
      <c r="AW1069" s="36"/>
      <c r="AX1069" s="36"/>
      <c r="AY1069" s="36"/>
      <c r="AZ1069" s="36"/>
      <c r="BA1069" s="36"/>
      <c r="BB1069" s="36"/>
      <c r="BC1069" s="36"/>
      <c r="BD1069" s="36"/>
      <c r="BE1069" s="36"/>
      <c r="BF1069" s="36"/>
      <c r="BG1069" s="36"/>
      <c r="BH1069" s="36"/>
      <c r="BI1069" s="36"/>
      <c r="BJ1069" s="36"/>
      <c r="BK1069" s="36"/>
      <c r="BL1069" s="36"/>
      <c r="BM1069" s="36"/>
      <c r="BN1069" s="36"/>
      <c r="BO1069" s="36"/>
      <c r="BP1069" s="36"/>
      <c r="BQ1069" s="36"/>
    </row>
    <row r="1070">
      <c r="A1070" s="45"/>
      <c r="B1070" s="45"/>
      <c r="C1070" s="45"/>
      <c r="D1070" s="45"/>
      <c r="E1070" s="45"/>
      <c r="F1070" s="45"/>
      <c r="G1070" s="45"/>
      <c r="H1070" s="45"/>
      <c r="I1070" s="45"/>
      <c r="J1070" s="45"/>
      <c r="K1070" s="45"/>
      <c r="L1070" s="45"/>
      <c r="M1070" s="45"/>
      <c r="N1070" s="45"/>
      <c r="O1070" s="45"/>
      <c r="P1070" s="45"/>
      <c r="Q1070" s="45"/>
      <c r="R1070" s="51"/>
      <c r="S1070" s="51"/>
      <c r="T1070" s="51"/>
      <c r="U1070" s="51"/>
      <c r="V1070" s="51"/>
      <c r="W1070" s="51"/>
      <c r="X1070" s="51"/>
      <c r="Y1070" s="45"/>
      <c r="Z1070" s="45"/>
      <c r="AA1070" s="45"/>
      <c r="AB1070" s="45"/>
      <c r="AC1070" s="45"/>
      <c r="AD1070" s="45"/>
      <c r="AE1070" s="45"/>
      <c r="AF1070" s="45"/>
      <c r="AG1070" s="45"/>
      <c r="AH1070" s="45"/>
      <c r="AI1070" s="45"/>
      <c r="AJ1070" s="45"/>
      <c r="AK1070" s="45"/>
      <c r="AL1070" s="45"/>
      <c r="AM1070" s="45"/>
      <c r="AN1070" s="45"/>
      <c r="AO1070" s="45"/>
      <c r="AP1070" s="45"/>
      <c r="AQ1070" s="36"/>
      <c r="AR1070" s="36"/>
      <c r="AS1070" s="36"/>
      <c r="AT1070" s="36"/>
      <c r="AU1070" s="36"/>
      <c r="AV1070" s="36"/>
      <c r="AW1070" s="36"/>
      <c r="AX1070" s="36"/>
      <c r="AY1070" s="36"/>
      <c r="AZ1070" s="36"/>
      <c r="BA1070" s="36"/>
      <c r="BB1070" s="36"/>
      <c r="BC1070" s="36"/>
      <c r="BD1070" s="36"/>
      <c r="BE1070" s="36"/>
      <c r="BF1070" s="36"/>
      <c r="BG1070" s="36"/>
      <c r="BH1070" s="36"/>
      <c r="BI1070" s="36"/>
      <c r="BJ1070" s="36"/>
      <c r="BK1070" s="36"/>
      <c r="BL1070" s="36"/>
      <c r="BM1070" s="36"/>
      <c r="BN1070" s="36"/>
      <c r="BO1070" s="36"/>
      <c r="BP1070" s="36"/>
      <c r="BQ1070" s="36"/>
    </row>
    <row r="1071">
      <c r="A1071" s="45"/>
      <c r="B1071" s="45"/>
      <c r="C1071" s="45"/>
      <c r="D1071" s="45"/>
      <c r="E1071" s="45"/>
      <c r="F1071" s="45"/>
      <c r="G1071" s="45"/>
      <c r="H1071" s="45"/>
      <c r="I1071" s="45"/>
      <c r="J1071" s="45"/>
      <c r="K1071" s="45"/>
      <c r="L1071" s="45"/>
      <c r="M1071" s="45"/>
      <c r="N1071" s="45"/>
      <c r="O1071" s="45"/>
      <c r="P1071" s="45"/>
      <c r="Q1071" s="45"/>
      <c r="R1071" s="51"/>
      <c r="S1071" s="51"/>
      <c r="T1071" s="51"/>
      <c r="U1071" s="51"/>
      <c r="V1071" s="51"/>
      <c r="W1071" s="51"/>
      <c r="X1071" s="51"/>
      <c r="Y1071" s="45"/>
      <c r="Z1071" s="45"/>
      <c r="AA1071" s="45"/>
      <c r="AB1071" s="45"/>
      <c r="AC1071" s="45"/>
      <c r="AD1071" s="45"/>
      <c r="AE1071" s="45"/>
      <c r="AF1071" s="45"/>
      <c r="AG1071" s="45"/>
      <c r="AH1071" s="45"/>
      <c r="AI1071" s="45"/>
      <c r="AJ1071" s="45"/>
      <c r="AK1071" s="45"/>
      <c r="AL1071" s="45"/>
      <c r="AM1071" s="45"/>
      <c r="AN1071" s="45"/>
      <c r="AO1071" s="45"/>
      <c r="AP1071" s="45"/>
      <c r="AQ1071" s="36"/>
      <c r="AR1071" s="36"/>
      <c r="AS1071" s="36"/>
      <c r="AT1071" s="36"/>
      <c r="AU1071" s="36"/>
      <c r="AV1071" s="36"/>
      <c r="AW1071" s="36"/>
      <c r="AX1071" s="36"/>
      <c r="AY1071" s="36"/>
      <c r="AZ1071" s="36"/>
      <c r="BA1071" s="36"/>
      <c r="BB1071" s="36"/>
      <c r="BC1071" s="36"/>
      <c r="BD1071" s="36"/>
      <c r="BE1071" s="36"/>
      <c r="BF1071" s="36"/>
      <c r="BG1071" s="36"/>
      <c r="BH1071" s="36"/>
      <c r="BI1071" s="36"/>
      <c r="BJ1071" s="36"/>
      <c r="BK1071" s="36"/>
      <c r="BL1071" s="36"/>
      <c r="BM1071" s="36"/>
      <c r="BN1071" s="36"/>
      <c r="BO1071" s="36"/>
      <c r="BP1071" s="36"/>
      <c r="BQ1071" s="36"/>
    </row>
    <row r="1072">
      <c r="A1072" s="45"/>
      <c r="B1072" s="45"/>
      <c r="C1072" s="45"/>
      <c r="D1072" s="45"/>
      <c r="E1072" s="45"/>
      <c r="F1072" s="45"/>
      <c r="G1072" s="45"/>
      <c r="H1072" s="45"/>
      <c r="I1072" s="45"/>
      <c r="J1072" s="45"/>
      <c r="K1072" s="45"/>
      <c r="L1072" s="45"/>
      <c r="M1072" s="45"/>
      <c r="N1072" s="45"/>
      <c r="O1072" s="45"/>
      <c r="P1072" s="45"/>
      <c r="Q1072" s="45"/>
      <c r="R1072" s="51"/>
      <c r="S1072" s="51"/>
      <c r="T1072" s="51"/>
      <c r="U1072" s="51"/>
      <c r="V1072" s="51"/>
      <c r="W1072" s="51"/>
      <c r="X1072" s="51"/>
      <c r="Y1072" s="45"/>
      <c r="Z1072" s="45"/>
      <c r="AA1072" s="45"/>
      <c r="AB1072" s="45"/>
      <c r="AC1072" s="45"/>
      <c r="AD1072" s="45"/>
      <c r="AE1072" s="45"/>
      <c r="AF1072" s="45"/>
      <c r="AG1072" s="45"/>
      <c r="AH1072" s="45"/>
      <c r="AI1072" s="45"/>
      <c r="AJ1072" s="45"/>
      <c r="AK1072" s="45"/>
      <c r="AL1072" s="45"/>
      <c r="AM1072" s="45"/>
      <c r="AN1072" s="45"/>
      <c r="AO1072" s="45"/>
      <c r="AP1072" s="45"/>
      <c r="AQ1072" s="36"/>
      <c r="AR1072" s="36"/>
      <c r="AS1072" s="36"/>
      <c r="AT1072" s="36"/>
      <c r="AU1072" s="36"/>
      <c r="AV1072" s="36"/>
      <c r="AW1072" s="36"/>
      <c r="AX1072" s="36"/>
      <c r="AY1072" s="36"/>
      <c r="AZ1072" s="36"/>
      <c r="BA1072" s="36"/>
      <c r="BB1072" s="36"/>
      <c r="BC1072" s="36"/>
      <c r="BD1072" s="36"/>
      <c r="BE1072" s="36"/>
      <c r="BF1072" s="36"/>
      <c r="BG1072" s="36"/>
      <c r="BH1072" s="36"/>
      <c r="BI1072" s="36"/>
      <c r="BJ1072" s="36"/>
      <c r="BK1072" s="36"/>
      <c r="BL1072" s="36"/>
      <c r="BM1072" s="36"/>
      <c r="BN1072" s="36"/>
      <c r="BO1072" s="36"/>
      <c r="BP1072" s="36"/>
      <c r="BQ1072" s="36"/>
    </row>
    <row r="1073">
      <c r="A1073" s="45"/>
      <c r="B1073" s="45"/>
      <c r="C1073" s="45"/>
      <c r="D1073" s="45"/>
      <c r="E1073" s="45"/>
      <c r="F1073" s="45"/>
      <c r="G1073" s="45"/>
      <c r="H1073" s="45"/>
      <c r="I1073" s="45"/>
      <c r="J1073" s="45"/>
      <c r="K1073" s="45"/>
      <c r="L1073" s="45"/>
      <c r="M1073" s="45"/>
      <c r="N1073" s="45"/>
      <c r="O1073" s="45"/>
      <c r="P1073" s="45"/>
      <c r="Q1073" s="45"/>
      <c r="R1073" s="51"/>
      <c r="S1073" s="51"/>
      <c r="T1073" s="51"/>
      <c r="U1073" s="51"/>
      <c r="V1073" s="51"/>
      <c r="W1073" s="51"/>
      <c r="X1073" s="51"/>
      <c r="Y1073" s="45"/>
      <c r="Z1073" s="45"/>
      <c r="AA1073" s="45"/>
      <c r="AB1073" s="45"/>
      <c r="AC1073" s="45"/>
      <c r="AD1073" s="45"/>
      <c r="AE1073" s="45"/>
      <c r="AF1073" s="45"/>
      <c r="AG1073" s="45"/>
      <c r="AH1073" s="45"/>
      <c r="AI1073" s="45"/>
      <c r="AJ1073" s="45"/>
      <c r="AK1073" s="45"/>
      <c r="AL1073" s="45"/>
      <c r="AM1073" s="45"/>
      <c r="AN1073" s="45"/>
      <c r="AO1073" s="45"/>
      <c r="AP1073" s="45"/>
      <c r="AQ1073" s="36"/>
      <c r="AR1073" s="36"/>
      <c r="AS1073" s="36"/>
      <c r="AT1073" s="36"/>
      <c r="AU1073" s="36"/>
      <c r="AV1073" s="36"/>
      <c r="AW1073" s="36"/>
      <c r="AX1073" s="36"/>
      <c r="AY1073" s="36"/>
      <c r="AZ1073" s="36"/>
      <c r="BA1073" s="36"/>
      <c r="BB1073" s="36"/>
      <c r="BC1073" s="36"/>
      <c r="BD1073" s="36"/>
      <c r="BE1073" s="36"/>
      <c r="BF1073" s="36"/>
      <c r="BG1073" s="36"/>
      <c r="BH1073" s="36"/>
      <c r="BI1073" s="36"/>
      <c r="BJ1073" s="36"/>
      <c r="BK1073" s="36"/>
      <c r="BL1073" s="36"/>
      <c r="BM1073" s="36"/>
      <c r="BN1073" s="36"/>
      <c r="BO1073" s="36"/>
      <c r="BP1073" s="36"/>
      <c r="BQ1073" s="36"/>
    </row>
    <row r="1074">
      <c r="A1074" s="45"/>
      <c r="B1074" s="45"/>
      <c r="C1074" s="45"/>
      <c r="D1074" s="45"/>
      <c r="E1074" s="45"/>
      <c r="F1074" s="45"/>
      <c r="G1074" s="45"/>
      <c r="H1074" s="45"/>
      <c r="I1074" s="45"/>
      <c r="J1074" s="45"/>
      <c r="K1074" s="45"/>
      <c r="L1074" s="45"/>
      <c r="M1074" s="45"/>
      <c r="N1074" s="45"/>
      <c r="O1074" s="45"/>
      <c r="P1074" s="45"/>
      <c r="Q1074" s="45"/>
      <c r="R1074" s="51"/>
      <c r="S1074" s="51"/>
      <c r="T1074" s="51"/>
      <c r="U1074" s="51"/>
      <c r="V1074" s="51"/>
      <c r="W1074" s="51"/>
      <c r="X1074" s="51"/>
      <c r="Y1074" s="45"/>
      <c r="Z1074" s="45"/>
      <c r="AA1074" s="45"/>
      <c r="AB1074" s="45"/>
      <c r="AC1074" s="45"/>
      <c r="AD1074" s="45"/>
      <c r="AE1074" s="45"/>
      <c r="AF1074" s="45"/>
      <c r="AG1074" s="45"/>
      <c r="AH1074" s="45"/>
      <c r="AI1074" s="45"/>
      <c r="AJ1074" s="45"/>
      <c r="AK1074" s="45"/>
      <c r="AL1074" s="45"/>
      <c r="AM1074" s="45"/>
      <c r="AN1074" s="45"/>
      <c r="AO1074" s="45"/>
      <c r="AP1074" s="45"/>
      <c r="AQ1074" s="36"/>
      <c r="AR1074" s="36"/>
      <c r="AS1074" s="36"/>
      <c r="AT1074" s="36"/>
      <c r="AU1074" s="36"/>
      <c r="AV1074" s="36"/>
      <c r="AW1074" s="36"/>
      <c r="AX1074" s="36"/>
      <c r="AY1074" s="36"/>
      <c r="AZ1074" s="36"/>
      <c r="BA1074" s="36"/>
      <c r="BB1074" s="36"/>
      <c r="BC1074" s="36"/>
      <c r="BD1074" s="36"/>
      <c r="BE1074" s="36"/>
      <c r="BF1074" s="36"/>
      <c r="BG1074" s="36"/>
      <c r="BH1074" s="36"/>
      <c r="BI1074" s="36"/>
      <c r="BJ1074" s="36"/>
      <c r="BK1074" s="36"/>
      <c r="BL1074" s="36"/>
      <c r="BM1074" s="36"/>
      <c r="BN1074" s="36"/>
      <c r="BO1074" s="36"/>
      <c r="BP1074" s="36"/>
      <c r="BQ1074" s="36"/>
    </row>
    <row r="1075">
      <c r="A1075" s="45"/>
      <c r="B1075" s="45"/>
      <c r="C1075" s="45"/>
      <c r="D1075" s="45"/>
      <c r="E1075" s="45"/>
      <c r="F1075" s="45"/>
      <c r="G1075" s="45"/>
      <c r="H1075" s="45"/>
      <c r="I1075" s="45"/>
      <c r="J1075" s="45"/>
      <c r="K1075" s="45"/>
      <c r="L1075" s="45"/>
      <c r="M1075" s="45"/>
      <c r="N1075" s="45"/>
      <c r="O1075" s="45"/>
      <c r="P1075" s="45"/>
      <c r="Q1075" s="45"/>
      <c r="R1075" s="51"/>
      <c r="S1075" s="51"/>
      <c r="T1075" s="51"/>
      <c r="U1075" s="51"/>
      <c r="V1075" s="51"/>
      <c r="W1075" s="51"/>
      <c r="X1075" s="51"/>
      <c r="Y1075" s="45"/>
      <c r="Z1075" s="45"/>
      <c r="AA1075" s="45"/>
      <c r="AB1075" s="45"/>
      <c r="AC1075" s="45"/>
      <c r="AD1075" s="45"/>
      <c r="AE1075" s="45"/>
      <c r="AF1075" s="45"/>
      <c r="AG1075" s="45"/>
      <c r="AH1075" s="45"/>
      <c r="AI1075" s="45"/>
      <c r="AJ1075" s="45"/>
      <c r="AK1075" s="45"/>
      <c r="AL1075" s="45"/>
      <c r="AM1075" s="45"/>
      <c r="AN1075" s="45"/>
      <c r="AO1075" s="45"/>
      <c r="AP1075" s="45"/>
      <c r="AQ1075" s="36"/>
      <c r="AR1075" s="36"/>
      <c r="AS1075" s="36"/>
      <c r="AT1075" s="36"/>
      <c r="AU1075" s="36"/>
      <c r="AV1075" s="36"/>
      <c r="AW1075" s="36"/>
      <c r="AX1075" s="36"/>
      <c r="AY1075" s="36"/>
      <c r="AZ1075" s="36"/>
      <c r="BA1075" s="36"/>
      <c r="BB1075" s="36"/>
      <c r="BC1075" s="36"/>
      <c r="BD1075" s="36"/>
      <c r="BE1075" s="36"/>
      <c r="BF1075" s="36"/>
      <c r="BG1075" s="36"/>
      <c r="BH1075" s="36"/>
      <c r="BI1075" s="36"/>
      <c r="BJ1075" s="36"/>
      <c r="BK1075" s="36"/>
      <c r="BL1075" s="36"/>
      <c r="BM1075" s="36"/>
      <c r="BN1075" s="36"/>
      <c r="BO1075" s="36"/>
      <c r="BP1075" s="36"/>
      <c r="BQ1075" s="36"/>
    </row>
    <row r="1076">
      <c r="A1076" s="45"/>
      <c r="B1076" s="45"/>
      <c r="C1076" s="45"/>
      <c r="D1076" s="45"/>
      <c r="E1076" s="45"/>
      <c r="F1076" s="45"/>
      <c r="G1076" s="45"/>
      <c r="H1076" s="45"/>
      <c r="I1076" s="45"/>
      <c r="J1076" s="45"/>
      <c r="K1076" s="45"/>
      <c r="L1076" s="45"/>
      <c r="M1076" s="45"/>
      <c r="N1076" s="45"/>
      <c r="O1076" s="45"/>
      <c r="P1076" s="45"/>
      <c r="Q1076" s="45"/>
      <c r="R1076" s="51"/>
      <c r="S1076" s="51"/>
      <c r="T1076" s="51"/>
      <c r="U1076" s="51"/>
      <c r="V1076" s="51"/>
      <c r="W1076" s="51"/>
      <c r="X1076" s="51"/>
      <c r="Y1076" s="45"/>
      <c r="Z1076" s="45"/>
      <c r="AA1076" s="45"/>
      <c r="AB1076" s="45"/>
      <c r="AC1076" s="45"/>
      <c r="AD1076" s="45"/>
      <c r="AE1076" s="45"/>
      <c r="AF1076" s="45"/>
      <c r="AG1076" s="45"/>
      <c r="AH1076" s="45"/>
      <c r="AI1076" s="45"/>
      <c r="AJ1076" s="45"/>
      <c r="AK1076" s="45"/>
      <c r="AL1076" s="45"/>
      <c r="AM1076" s="45"/>
      <c r="AN1076" s="45"/>
      <c r="AO1076" s="45"/>
      <c r="AP1076" s="45"/>
      <c r="AQ1076" s="36"/>
      <c r="AR1076" s="36"/>
      <c r="AS1076" s="36"/>
      <c r="AT1076" s="36"/>
      <c r="AU1076" s="36"/>
      <c r="AV1076" s="36"/>
      <c r="AW1076" s="36"/>
      <c r="AX1076" s="36"/>
      <c r="AY1076" s="36"/>
      <c r="AZ1076" s="36"/>
      <c r="BA1076" s="36"/>
      <c r="BB1076" s="36"/>
      <c r="BC1076" s="36"/>
      <c r="BD1076" s="36"/>
      <c r="BE1076" s="36"/>
      <c r="BF1076" s="36"/>
      <c r="BG1076" s="36"/>
      <c r="BH1076" s="36"/>
      <c r="BI1076" s="36"/>
      <c r="BJ1076" s="36"/>
      <c r="BK1076" s="36"/>
      <c r="BL1076" s="36"/>
      <c r="BM1076" s="36"/>
      <c r="BN1076" s="36"/>
      <c r="BO1076" s="36"/>
      <c r="BP1076" s="36"/>
      <c r="BQ1076" s="36"/>
    </row>
    <row r="1077">
      <c r="A1077" s="45"/>
      <c r="B1077" s="45"/>
      <c r="C1077" s="45"/>
      <c r="D1077" s="45"/>
      <c r="E1077" s="45"/>
      <c r="F1077" s="45"/>
      <c r="G1077" s="45"/>
      <c r="H1077" s="45"/>
      <c r="I1077" s="45"/>
      <c r="J1077" s="45"/>
      <c r="K1077" s="45"/>
      <c r="L1077" s="45"/>
      <c r="M1077" s="45"/>
      <c r="N1077" s="45"/>
      <c r="O1077" s="45"/>
      <c r="P1077" s="45"/>
      <c r="Q1077" s="45"/>
      <c r="R1077" s="51"/>
      <c r="S1077" s="51"/>
      <c r="T1077" s="51"/>
      <c r="U1077" s="51"/>
      <c r="V1077" s="51"/>
      <c r="W1077" s="51"/>
      <c r="X1077" s="51"/>
      <c r="Y1077" s="45"/>
      <c r="Z1077" s="45"/>
      <c r="AA1077" s="45"/>
      <c r="AB1077" s="45"/>
      <c r="AC1077" s="45"/>
      <c r="AD1077" s="45"/>
      <c r="AE1077" s="45"/>
      <c r="AF1077" s="45"/>
      <c r="AG1077" s="45"/>
      <c r="AH1077" s="45"/>
      <c r="AI1077" s="45"/>
      <c r="AJ1077" s="45"/>
      <c r="AK1077" s="45"/>
      <c r="AL1077" s="45"/>
      <c r="AM1077" s="45"/>
      <c r="AN1077" s="45"/>
      <c r="AO1077" s="45"/>
      <c r="AP1077" s="45"/>
      <c r="AQ1077" s="36"/>
      <c r="AR1077" s="36"/>
      <c r="AS1077" s="36"/>
      <c r="AT1077" s="36"/>
      <c r="AU1077" s="36"/>
      <c r="AV1077" s="36"/>
      <c r="AW1077" s="36"/>
      <c r="AX1077" s="36"/>
      <c r="AY1077" s="36"/>
      <c r="AZ1077" s="36"/>
      <c r="BA1077" s="36"/>
      <c r="BB1077" s="36"/>
      <c r="BC1077" s="36"/>
      <c r="BD1077" s="36"/>
      <c r="BE1077" s="36"/>
      <c r="BF1077" s="36"/>
      <c r="BG1077" s="36"/>
      <c r="BH1077" s="36"/>
      <c r="BI1077" s="36"/>
      <c r="BJ1077" s="36"/>
      <c r="BK1077" s="36"/>
      <c r="BL1077" s="36"/>
      <c r="BM1077" s="36"/>
      <c r="BN1077" s="36"/>
      <c r="BO1077" s="36"/>
      <c r="BP1077" s="36"/>
      <c r="BQ1077" s="36"/>
    </row>
    <row r="1078">
      <c r="A1078" s="45"/>
      <c r="B1078" s="45"/>
      <c r="C1078" s="45"/>
      <c r="D1078" s="45"/>
      <c r="E1078" s="45"/>
      <c r="F1078" s="45"/>
      <c r="G1078" s="45"/>
      <c r="H1078" s="45"/>
      <c r="I1078" s="45"/>
      <c r="J1078" s="45"/>
      <c r="K1078" s="45"/>
      <c r="L1078" s="45"/>
      <c r="M1078" s="45"/>
      <c r="N1078" s="45"/>
      <c r="O1078" s="45"/>
      <c r="P1078" s="45"/>
      <c r="Q1078" s="45"/>
      <c r="R1078" s="51"/>
      <c r="S1078" s="51"/>
      <c r="T1078" s="51"/>
      <c r="U1078" s="51"/>
      <c r="V1078" s="51"/>
      <c r="W1078" s="51"/>
      <c r="X1078" s="51"/>
      <c r="Y1078" s="45"/>
      <c r="Z1078" s="45"/>
      <c r="AA1078" s="45"/>
      <c r="AB1078" s="45"/>
      <c r="AC1078" s="45"/>
      <c r="AD1078" s="45"/>
      <c r="AE1078" s="45"/>
      <c r="AF1078" s="45"/>
      <c r="AG1078" s="45"/>
      <c r="AH1078" s="45"/>
      <c r="AI1078" s="45"/>
      <c r="AJ1078" s="45"/>
      <c r="AK1078" s="45"/>
      <c r="AL1078" s="45"/>
      <c r="AM1078" s="45"/>
      <c r="AN1078" s="45"/>
      <c r="AO1078" s="45"/>
      <c r="AP1078" s="45"/>
      <c r="AQ1078" s="36"/>
      <c r="AR1078" s="36"/>
      <c r="AS1078" s="36"/>
      <c r="AT1078" s="36"/>
      <c r="AU1078" s="36"/>
      <c r="AV1078" s="36"/>
      <c r="AW1078" s="36"/>
      <c r="AX1078" s="36"/>
      <c r="AY1078" s="36"/>
      <c r="AZ1078" s="36"/>
      <c r="BA1078" s="36"/>
      <c r="BB1078" s="36"/>
      <c r="BC1078" s="36"/>
      <c r="BD1078" s="36"/>
      <c r="BE1078" s="36"/>
      <c r="BF1078" s="36"/>
      <c r="BG1078" s="36"/>
      <c r="BH1078" s="36"/>
      <c r="BI1078" s="36"/>
      <c r="BJ1078" s="36"/>
      <c r="BK1078" s="36"/>
      <c r="BL1078" s="36"/>
      <c r="BM1078" s="36"/>
      <c r="BN1078" s="36"/>
      <c r="BO1078" s="36"/>
      <c r="BP1078" s="36"/>
      <c r="BQ1078" s="36"/>
    </row>
    <row r="1079">
      <c r="A1079" s="45"/>
      <c r="B1079" s="45"/>
      <c r="C1079" s="45"/>
      <c r="D1079" s="45"/>
      <c r="E1079" s="45"/>
      <c r="F1079" s="45"/>
      <c r="G1079" s="45"/>
      <c r="H1079" s="45"/>
      <c r="I1079" s="45"/>
      <c r="J1079" s="45"/>
      <c r="K1079" s="45"/>
      <c r="L1079" s="45"/>
      <c r="M1079" s="45"/>
      <c r="N1079" s="45"/>
      <c r="O1079" s="45"/>
      <c r="P1079" s="45"/>
      <c r="Q1079" s="45"/>
      <c r="R1079" s="51"/>
      <c r="S1079" s="51"/>
      <c r="T1079" s="51"/>
      <c r="U1079" s="51"/>
      <c r="V1079" s="51"/>
      <c r="W1079" s="51"/>
      <c r="X1079" s="51"/>
      <c r="Y1079" s="45"/>
      <c r="Z1079" s="45"/>
      <c r="AA1079" s="45"/>
      <c r="AB1079" s="45"/>
      <c r="AC1079" s="45"/>
      <c r="AD1079" s="45"/>
      <c r="AE1079" s="45"/>
      <c r="AF1079" s="45"/>
      <c r="AG1079" s="45"/>
      <c r="AH1079" s="45"/>
      <c r="AI1079" s="45"/>
      <c r="AJ1079" s="45"/>
      <c r="AK1079" s="45"/>
      <c r="AL1079" s="45"/>
      <c r="AM1079" s="45"/>
      <c r="AN1079" s="45"/>
      <c r="AO1079" s="45"/>
      <c r="AP1079" s="45"/>
      <c r="AQ1079" s="36"/>
      <c r="AR1079" s="36"/>
      <c r="AS1079" s="36"/>
      <c r="AT1079" s="36"/>
      <c r="AU1079" s="36"/>
      <c r="AV1079" s="36"/>
      <c r="AW1079" s="36"/>
      <c r="AX1079" s="36"/>
      <c r="AY1079" s="36"/>
      <c r="AZ1079" s="36"/>
      <c r="BA1079" s="36"/>
      <c r="BB1079" s="36"/>
      <c r="BC1079" s="36"/>
      <c r="BD1079" s="36"/>
      <c r="BE1079" s="36"/>
      <c r="BF1079" s="36"/>
      <c r="BG1079" s="36"/>
      <c r="BH1079" s="36"/>
      <c r="BI1079" s="36"/>
      <c r="BJ1079" s="36"/>
      <c r="BK1079" s="36"/>
      <c r="BL1079" s="36"/>
      <c r="BM1079" s="36"/>
      <c r="BN1079" s="36"/>
      <c r="BO1079" s="36"/>
      <c r="BP1079" s="36"/>
      <c r="BQ1079" s="36"/>
    </row>
    <row r="1080">
      <c r="A1080" s="45"/>
      <c r="B1080" s="45"/>
      <c r="C1080" s="45"/>
      <c r="D1080" s="45"/>
      <c r="E1080" s="45"/>
      <c r="F1080" s="45"/>
      <c r="G1080" s="45"/>
      <c r="H1080" s="45"/>
      <c r="I1080" s="45"/>
      <c r="J1080" s="45"/>
      <c r="K1080" s="45"/>
      <c r="L1080" s="45"/>
      <c r="M1080" s="45"/>
      <c r="N1080" s="45"/>
      <c r="O1080" s="45"/>
      <c r="P1080" s="45"/>
      <c r="Q1080" s="45"/>
      <c r="R1080" s="51"/>
      <c r="S1080" s="51"/>
      <c r="T1080" s="51"/>
      <c r="U1080" s="51"/>
      <c r="V1080" s="51"/>
      <c r="W1080" s="51"/>
      <c r="X1080" s="51"/>
      <c r="Y1080" s="45"/>
      <c r="Z1080" s="45"/>
      <c r="AA1080" s="45"/>
      <c r="AB1080" s="45"/>
      <c r="AC1080" s="45"/>
      <c r="AD1080" s="45"/>
      <c r="AE1080" s="45"/>
      <c r="AF1080" s="45"/>
      <c r="AG1080" s="45"/>
      <c r="AH1080" s="45"/>
      <c r="AI1080" s="45"/>
      <c r="AJ1080" s="45"/>
      <c r="AK1080" s="45"/>
      <c r="AL1080" s="45"/>
      <c r="AM1080" s="45"/>
      <c r="AN1080" s="45"/>
      <c r="AO1080" s="45"/>
      <c r="AP1080" s="45"/>
      <c r="AQ1080" s="36"/>
      <c r="AR1080" s="36"/>
      <c r="AS1080" s="36"/>
      <c r="AT1080" s="36"/>
      <c r="AU1080" s="36"/>
      <c r="AV1080" s="36"/>
      <c r="AW1080" s="36"/>
      <c r="AX1080" s="36"/>
      <c r="AY1080" s="36"/>
      <c r="AZ1080" s="36"/>
      <c r="BA1080" s="36"/>
      <c r="BB1080" s="36"/>
      <c r="BC1080" s="36"/>
      <c r="BD1080" s="36"/>
      <c r="BE1080" s="36"/>
      <c r="BF1080" s="36"/>
      <c r="BG1080" s="36"/>
      <c r="BH1080" s="36"/>
      <c r="BI1080" s="36"/>
      <c r="BJ1080" s="36"/>
      <c r="BK1080" s="36"/>
      <c r="BL1080" s="36"/>
      <c r="BM1080" s="36"/>
      <c r="BN1080" s="36"/>
      <c r="BO1080" s="36"/>
      <c r="BP1080" s="36"/>
      <c r="BQ1080" s="36"/>
    </row>
    <row r="1081">
      <c r="A1081" s="45"/>
      <c r="B1081" s="45"/>
      <c r="C1081" s="45"/>
      <c r="D1081" s="45"/>
      <c r="E1081" s="45"/>
      <c r="F1081" s="45"/>
      <c r="G1081" s="45"/>
      <c r="H1081" s="45"/>
      <c r="I1081" s="45"/>
      <c r="J1081" s="45"/>
      <c r="K1081" s="45"/>
      <c r="L1081" s="45"/>
      <c r="M1081" s="45"/>
      <c r="N1081" s="45"/>
      <c r="O1081" s="45"/>
      <c r="P1081" s="45"/>
      <c r="Q1081" s="45"/>
      <c r="R1081" s="51"/>
      <c r="S1081" s="51"/>
      <c r="T1081" s="51"/>
      <c r="U1081" s="51"/>
      <c r="V1081" s="51"/>
      <c r="W1081" s="51"/>
      <c r="X1081" s="51"/>
      <c r="Y1081" s="45"/>
      <c r="Z1081" s="45"/>
      <c r="AA1081" s="45"/>
      <c r="AB1081" s="45"/>
      <c r="AC1081" s="45"/>
      <c r="AD1081" s="45"/>
      <c r="AE1081" s="45"/>
      <c r="AF1081" s="45"/>
      <c r="AG1081" s="45"/>
      <c r="AH1081" s="45"/>
      <c r="AI1081" s="45"/>
      <c r="AJ1081" s="45"/>
      <c r="AK1081" s="45"/>
      <c r="AL1081" s="45"/>
      <c r="AM1081" s="45"/>
      <c r="AN1081" s="45"/>
      <c r="AO1081" s="45"/>
      <c r="AP1081" s="45"/>
      <c r="AQ1081" s="36"/>
      <c r="AR1081" s="36"/>
      <c r="AS1081" s="36"/>
      <c r="AT1081" s="36"/>
      <c r="AU1081" s="36"/>
      <c r="AV1081" s="36"/>
      <c r="AW1081" s="36"/>
      <c r="AX1081" s="36"/>
      <c r="AY1081" s="36"/>
      <c r="AZ1081" s="36"/>
      <c r="BA1081" s="36"/>
      <c r="BB1081" s="36"/>
      <c r="BC1081" s="36"/>
      <c r="BD1081" s="36"/>
      <c r="BE1081" s="36"/>
      <c r="BF1081" s="36"/>
      <c r="BG1081" s="36"/>
      <c r="BH1081" s="36"/>
      <c r="BI1081" s="36"/>
      <c r="BJ1081" s="36"/>
      <c r="BK1081" s="36"/>
      <c r="BL1081" s="36"/>
      <c r="BM1081" s="36"/>
      <c r="BN1081" s="36"/>
      <c r="BO1081" s="36"/>
      <c r="BP1081" s="36"/>
      <c r="BQ1081" s="36"/>
    </row>
    <row r="1082">
      <c r="A1082" s="45"/>
      <c r="B1082" s="45"/>
      <c r="C1082" s="45"/>
      <c r="D1082" s="45"/>
      <c r="E1082" s="45"/>
      <c r="F1082" s="45"/>
      <c r="G1082" s="45"/>
      <c r="H1082" s="45"/>
      <c r="I1082" s="45"/>
      <c r="J1082" s="45"/>
      <c r="K1082" s="45"/>
      <c r="L1082" s="45"/>
      <c r="M1082" s="45"/>
      <c r="N1082" s="45"/>
      <c r="O1082" s="45"/>
      <c r="P1082" s="45"/>
      <c r="Q1082" s="45"/>
      <c r="R1082" s="51"/>
      <c r="S1082" s="51"/>
      <c r="T1082" s="51"/>
      <c r="U1082" s="51"/>
      <c r="V1082" s="51"/>
      <c r="W1082" s="51"/>
      <c r="X1082" s="51"/>
      <c r="Y1082" s="45"/>
      <c r="Z1082" s="45"/>
      <c r="AA1082" s="45"/>
      <c r="AB1082" s="45"/>
      <c r="AC1082" s="45"/>
      <c r="AD1082" s="45"/>
      <c r="AE1082" s="45"/>
      <c r="AF1082" s="45"/>
      <c r="AG1082" s="45"/>
      <c r="AH1082" s="45"/>
      <c r="AI1082" s="45"/>
      <c r="AJ1082" s="45"/>
      <c r="AK1082" s="45"/>
      <c r="AL1082" s="45"/>
      <c r="AM1082" s="45"/>
      <c r="AN1082" s="45"/>
      <c r="AO1082" s="45"/>
      <c r="AP1082" s="45"/>
      <c r="AQ1082" s="36"/>
      <c r="AR1082" s="36"/>
      <c r="AS1082" s="36"/>
      <c r="AT1082" s="36"/>
      <c r="AU1082" s="36"/>
      <c r="AV1082" s="36"/>
      <c r="AW1082" s="36"/>
      <c r="AX1082" s="36"/>
      <c r="AY1082" s="36"/>
      <c r="AZ1082" s="36"/>
      <c r="BA1082" s="36"/>
      <c r="BB1082" s="36"/>
      <c r="BC1082" s="36"/>
      <c r="BD1082" s="36"/>
      <c r="BE1082" s="36"/>
      <c r="BF1082" s="36"/>
      <c r="BG1082" s="36"/>
      <c r="BH1082" s="36"/>
      <c r="BI1082" s="36"/>
      <c r="BJ1082" s="36"/>
      <c r="BK1082" s="36"/>
      <c r="BL1082" s="36"/>
      <c r="BM1082" s="36"/>
      <c r="BN1082" s="36"/>
      <c r="BO1082" s="36"/>
      <c r="BP1082" s="36"/>
      <c r="BQ1082" s="36"/>
    </row>
    <row r="1083">
      <c r="A1083" s="45"/>
      <c r="B1083" s="45"/>
      <c r="C1083" s="45"/>
      <c r="D1083" s="45"/>
      <c r="E1083" s="45"/>
      <c r="F1083" s="45"/>
      <c r="G1083" s="45"/>
      <c r="H1083" s="45"/>
      <c r="I1083" s="45"/>
      <c r="J1083" s="45"/>
      <c r="K1083" s="45"/>
      <c r="L1083" s="45"/>
      <c r="M1083" s="45"/>
      <c r="N1083" s="45"/>
      <c r="O1083" s="45"/>
      <c r="P1083" s="45"/>
      <c r="Q1083" s="45"/>
      <c r="R1083" s="51"/>
      <c r="S1083" s="51"/>
      <c r="T1083" s="51"/>
      <c r="U1083" s="51"/>
      <c r="V1083" s="51"/>
      <c r="W1083" s="51"/>
      <c r="X1083" s="51"/>
      <c r="Y1083" s="45"/>
      <c r="Z1083" s="45"/>
      <c r="AA1083" s="45"/>
      <c r="AB1083" s="45"/>
      <c r="AC1083" s="45"/>
      <c r="AD1083" s="45"/>
      <c r="AE1083" s="45"/>
      <c r="AF1083" s="45"/>
      <c r="AG1083" s="45"/>
      <c r="AH1083" s="45"/>
      <c r="AI1083" s="45"/>
      <c r="AJ1083" s="45"/>
      <c r="AK1083" s="45"/>
      <c r="AL1083" s="45"/>
      <c r="AM1083" s="45"/>
      <c r="AN1083" s="45"/>
      <c r="AO1083" s="45"/>
      <c r="AP1083" s="45"/>
      <c r="AQ1083" s="36"/>
      <c r="AR1083" s="36"/>
      <c r="AS1083" s="36"/>
      <c r="AT1083" s="36"/>
      <c r="AU1083" s="36"/>
      <c r="AV1083" s="36"/>
      <c r="AW1083" s="36"/>
      <c r="AX1083" s="36"/>
      <c r="AY1083" s="36"/>
      <c r="AZ1083" s="36"/>
      <c r="BA1083" s="36"/>
      <c r="BB1083" s="36"/>
      <c r="BC1083" s="36"/>
      <c r="BD1083" s="36"/>
      <c r="BE1083" s="36"/>
      <c r="BF1083" s="36"/>
      <c r="BG1083" s="36"/>
      <c r="BH1083" s="36"/>
      <c r="BI1083" s="36"/>
      <c r="BJ1083" s="36"/>
      <c r="BK1083" s="36"/>
      <c r="BL1083" s="36"/>
      <c r="BM1083" s="36"/>
      <c r="BN1083" s="36"/>
      <c r="BO1083" s="36"/>
      <c r="BP1083" s="36"/>
      <c r="BQ1083" s="36"/>
    </row>
    <row r="1084">
      <c r="A1084" s="45"/>
      <c r="B1084" s="45"/>
      <c r="C1084" s="45"/>
      <c r="D1084" s="45"/>
      <c r="E1084" s="45"/>
      <c r="F1084" s="45"/>
      <c r="G1084" s="45"/>
      <c r="H1084" s="45"/>
      <c r="I1084" s="45"/>
      <c r="J1084" s="45"/>
      <c r="K1084" s="45"/>
      <c r="L1084" s="45"/>
      <c r="M1084" s="45"/>
      <c r="N1084" s="45"/>
      <c r="O1084" s="45"/>
      <c r="P1084" s="45"/>
      <c r="Q1084" s="45"/>
      <c r="R1084" s="51"/>
      <c r="S1084" s="51"/>
      <c r="T1084" s="51"/>
      <c r="U1084" s="51"/>
      <c r="V1084" s="51"/>
      <c r="W1084" s="51"/>
      <c r="X1084" s="51"/>
      <c r="Y1084" s="45"/>
      <c r="Z1084" s="45"/>
      <c r="AA1084" s="45"/>
      <c r="AB1084" s="45"/>
      <c r="AC1084" s="45"/>
      <c r="AD1084" s="45"/>
      <c r="AE1084" s="45"/>
      <c r="AF1084" s="45"/>
      <c r="AG1084" s="45"/>
      <c r="AH1084" s="45"/>
      <c r="AI1084" s="45"/>
      <c r="AJ1084" s="45"/>
      <c r="AK1084" s="45"/>
      <c r="AL1084" s="45"/>
      <c r="AM1084" s="45"/>
      <c r="AN1084" s="45"/>
      <c r="AO1084" s="45"/>
      <c r="AP1084" s="45"/>
      <c r="AQ1084" s="36"/>
      <c r="AR1084" s="36"/>
      <c r="AS1084" s="36"/>
      <c r="AT1084" s="36"/>
      <c r="AU1084" s="36"/>
      <c r="AV1084" s="36"/>
      <c r="AW1084" s="36"/>
      <c r="AX1084" s="36"/>
      <c r="AY1084" s="36"/>
      <c r="AZ1084" s="36"/>
      <c r="BA1084" s="36"/>
      <c r="BB1084" s="36"/>
      <c r="BC1084" s="36"/>
      <c r="BD1084" s="36"/>
      <c r="BE1084" s="36"/>
      <c r="BF1084" s="36"/>
      <c r="BG1084" s="36"/>
      <c r="BH1084" s="36"/>
      <c r="BI1084" s="36"/>
      <c r="BJ1084" s="36"/>
      <c r="BK1084" s="36"/>
      <c r="BL1084" s="36"/>
      <c r="BM1084" s="36"/>
      <c r="BN1084" s="36"/>
      <c r="BO1084" s="36"/>
      <c r="BP1084" s="36"/>
      <c r="BQ1084" s="36"/>
    </row>
    <row r="1085">
      <c r="A1085" s="45"/>
      <c r="B1085" s="45"/>
      <c r="C1085" s="45"/>
      <c r="D1085" s="45"/>
      <c r="E1085" s="45"/>
      <c r="F1085" s="45"/>
      <c r="G1085" s="45"/>
      <c r="H1085" s="45"/>
      <c r="I1085" s="45"/>
      <c r="J1085" s="45"/>
      <c r="K1085" s="45"/>
      <c r="L1085" s="45"/>
      <c r="M1085" s="45"/>
      <c r="N1085" s="45"/>
      <c r="O1085" s="45"/>
      <c r="P1085" s="45"/>
      <c r="Q1085" s="45"/>
      <c r="R1085" s="51"/>
      <c r="S1085" s="51"/>
      <c r="T1085" s="51"/>
      <c r="U1085" s="51"/>
      <c r="V1085" s="51"/>
      <c r="W1085" s="51"/>
      <c r="X1085" s="51"/>
      <c r="Y1085" s="45"/>
      <c r="Z1085" s="45"/>
      <c r="AA1085" s="45"/>
      <c r="AB1085" s="45"/>
      <c r="AC1085" s="45"/>
      <c r="AD1085" s="45"/>
      <c r="AE1085" s="45"/>
      <c r="AF1085" s="45"/>
      <c r="AG1085" s="45"/>
      <c r="AH1085" s="45"/>
      <c r="AI1085" s="45"/>
      <c r="AJ1085" s="45"/>
      <c r="AK1085" s="45"/>
      <c r="AL1085" s="45"/>
      <c r="AM1085" s="45"/>
      <c r="AN1085" s="45"/>
      <c r="AO1085" s="45"/>
      <c r="AP1085" s="45"/>
      <c r="AQ1085" s="36"/>
      <c r="AR1085" s="36"/>
      <c r="AS1085" s="36"/>
      <c r="AT1085" s="36"/>
      <c r="AU1085" s="36"/>
      <c r="AV1085" s="36"/>
      <c r="AW1085" s="36"/>
      <c r="AX1085" s="36"/>
      <c r="AY1085" s="36"/>
      <c r="AZ1085" s="36"/>
      <c r="BA1085" s="36"/>
      <c r="BB1085" s="36"/>
      <c r="BC1085" s="36"/>
      <c r="BD1085" s="36"/>
      <c r="BE1085" s="36"/>
      <c r="BF1085" s="36"/>
      <c r="BG1085" s="36"/>
      <c r="BH1085" s="36"/>
      <c r="BI1085" s="36"/>
      <c r="BJ1085" s="36"/>
      <c r="BK1085" s="36"/>
      <c r="BL1085" s="36"/>
      <c r="BM1085" s="36"/>
      <c r="BN1085" s="36"/>
      <c r="BO1085" s="36"/>
      <c r="BP1085" s="36"/>
      <c r="BQ1085" s="36"/>
    </row>
    <row r="1086">
      <c r="A1086" s="45"/>
      <c r="B1086" s="45"/>
      <c r="C1086" s="45"/>
      <c r="D1086" s="45"/>
      <c r="E1086" s="45"/>
      <c r="F1086" s="45"/>
      <c r="G1086" s="45"/>
      <c r="H1086" s="45"/>
      <c r="I1086" s="45"/>
      <c r="J1086" s="45"/>
      <c r="K1086" s="45"/>
      <c r="L1086" s="45"/>
      <c r="M1086" s="45"/>
      <c r="N1086" s="45"/>
      <c r="O1086" s="45"/>
      <c r="P1086" s="45"/>
      <c r="Q1086" s="45"/>
      <c r="R1086" s="51"/>
      <c r="S1086" s="51"/>
      <c r="T1086" s="51"/>
      <c r="U1086" s="51"/>
      <c r="V1086" s="51"/>
      <c r="W1086" s="51"/>
      <c r="X1086" s="51"/>
      <c r="Y1086" s="45"/>
      <c r="Z1086" s="45"/>
      <c r="AA1086" s="45"/>
      <c r="AB1086" s="45"/>
      <c r="AC1086" s="45"/>
      <c r="AD1086" s="45"/>
      <c r="AE1086" s="45"/>
      <c r="AF1086" s="45"/>
      <c r="AG1086" s="45"/>
      <c r="AH1086" s="45"/>
      <c r="AI1086" s="45"/>
      <c r="AJ1086" s="45"/>
      <c r="AK1086" s="45"/>
      <c r="AL1086" s="45"/>
      <c r="AM1086" s="45"/>
      <c r="AN1086" s="45"/>
      <c r="AO1086" s="45"/>
      <c r="AP1086" s="45"/>
      <c r="AQ1086" s="36"/>
      <c r="AR1086" s="36"/>
      <c r="AS1086" s="36"/>
      <c r="AT1086" s="36"/>
      <c r="AU1086" s="36"/>
      <c r="AV1086" s="36"/>
      <c r="AW1086" s="36"/>
      <c r="AX1086" s="36"/>
      <c r="AY1086" s="36"/>
      <c r="AZ1086" s="36"/>
      <c r="BA1086" s="36"/>
      <c r="BB1086" s="36"/>
      <c r="BC1086" s="36"/>
      <c r="BD1086" s="36"/>
      <c r="BE1086" s="36"/>
      <c r="BF1086" s="36"/>
      <c r="BG1086" s="36"/>
      <c r="BH1086" s="36"/>
      <c r="BI1086" s="36"/>
      <c r="BJ1086" s="36"/>
      <c r="BK1086" s="36"/>
      <c r="BL1086" s="36"/>
      <c r="BM1086" s="36"/>
      <c r="BN1086" s="36"/>
      <c r="BO1086" s="36"/>
      <c r="BP1086" s="36"/>
      <c r="BQ1086" s="36"/>
    </row>
    <row r="1087">
      <c r="A1087" s="45"/>
      <c r="B1087" s="45"/>
      <c r="C1087" s="45"/>
      <c r="D1087" s="45"/>
      <c r="E1087" s="45"/>
      <c r="F1087" s="45"/>
      <c r="G1087" s="45"/>
      <c r="H1087" s="45"/>
      <c r="I1087" s="45"/>
      <c r="J1087" s="45"/>
      <c r="K1087" s="45"/>
      <c r="L1087" s="45"/>
      <c r="M1087" s="45"/>
      <c r="N1087" s="45"/>
      <c r="O1087" s="45"/>
      <c r="P1087" s="45"/>
      <c r="Q1087" s="45"/>
      <c r="R1087" s="51"/>
      <c r="S1087" s="51"/>
      <c r="T1087" s="51"/>
      <c r="U1087" s="51"/>
      <c r="V1087" s="51"/>
      <c r="W1087" s="51"/>
      <c r="X1087" s="51"/>
      <c r="Y1087" s="45"/>
      <c r="Z1087" s="45"/>
      <c r="AA1087" s="45"/>
      <c r="AB1087" s="45"/>
      <c r="AC1087" s="45"/>
      <c r="AD1087" s="45"/>
      <c r="AE1087" s="45"/>
      <c r="AF1087" s="45"/>
      <c r="AG1087" s="45"/>
      <c r="AH1087" s="45"/>
      <c r="AI1087" s="45"/>
      <c r="AJ1087" s="45"/>
      <c r="AK1087" s="45"/>
      <c r="AL1087" s="45"/>
      <c r="AM1087" s="45"/>
      <c r="AN1087" s="45"/>
      <c r="AO1087" s="45"/>
      <c r="AP1087" s="45"/>
      <c r="AQ1087" s="36"/>
      <c r="AR1087" s="36"/>
      <c r="AS1087" s="36"/>
      <c r="AT1087" s="36"/>
      <c r="AU1087" s="36"/>
      <c r="AV1087" s="36"/>
      <c r="AW1087" s="36"/>
      <c r="AX1087" s="36"/>
      <c r="AY1087" s="36"/>
      <c r="AZ1087" s="36"/>
      <c r="BA1087" s="36"/>
      <c r="BB1087" s="36"/>
      <c r="BC1087" s="36"/>
      <c r="BD1087" s="36"/>
      <c r="BE1087" s="36"/>
      <c r="BF1087" s="36"/>
      <c r="BG1087" s="36"/>
      <c r="BH1087" s="36"/>
      <c r="BI1087" s="36"/>
      <c r="BJ1087" s="36"/>
      <c r="BK1087" s="36"/>
      <c r="BL1087" s="36"/>
      <c r="BM1087" s="36"/>
      <c r="BN1087" s="36"/>
      <c r="BO1087" s="36"/>
      <c r="BP1087" s="36"/>
      <c r="BQ1087" s="36"/>
    </row>
    <row r="1088">
      <c r="A1088" s="45"/>
      <c r="B1088" s="45"/>
      <c r="C1088" s="45"/>
      <c r="D1088" s="45"/>
      <c r="E1088" s="45"/>
      <c r="F1088" s="45"/>
      <c r="G1088" s="45"/>
      <c r="H1088" s="45"/>
      <c r="I1088" s="45"/>
      <c r="J1088" s="45"/>
      <c r="K1088" s="45"/>
      <c r="L1088" s="45"/>
      <c r="M1088" s="45"/>
      <c r="N1088" s="45"/>
      <c r="O1088" s="45"/>
      <c r="P1088" s="45"/>
      <c r="Q1088" s="45"/>
      <c r="R1088" s="51"/>
      <c r="S1088" s="51"/>
      <c r="T1088" s="51"/>
      <c r="U1088" s="51"/>
      <c r="V1088" s="51"/>
      <c r="W1088" s="51"/>
      <c r="X1088" s="51"/>
      <c r="Y1088" s="45"/>
      <c r="Z1088" s="45"/>
      <c r="AA1088" s="45"/>
      <c r="AB1088" s="45"/>
      <c r="AC1088" s="45"/>
      <c r="AD1088" s="45"/>
      <c r="AE1088" s="45"/>
      <c r="AF1088" s="45"/>
      <c r="AG1088" s="45"/>
      <c r="AH1088" s="45"/>
      <c r="AI1088" s="45"/>
      <c r="AJ1088" s="45"/>
      <c r="AK1088" s="45"/>
      <c r="AL1088" s="45"/>
      <c r="AM1088" s="45"/>
      <c r="AN1088" s="45"/>
      <c r="AO1088" s="45"/>
      <c r="AP1088" s="45"/>
      <c r="AQ1088" s="36"/>
      <c r="AR1088" s="36"/>
      <c r="AS1088" s="36"/>
      <c r="AT1088" s="36"/>
      <c r="AU1088" s="36"/>
      <c r="AV1088" s="36"/>
      <c r="AW1088" s="36"/>
      <c r="AX1088" s="36"/>
      <c r="AY1088" s="36"/>
      <c r="AZ1088" s="36"/>
      <c r="BA1088" s="36"/>
      <c r="BB1088" s="36"/>
      <c r="BC1088" s="36"/>
      <c r="BD1088" s="36"/>
      <c r="BE1088" s="36"/>
      <c r="BF1088" s="36"/>
      <c r="BG1088" s="36"/>
      <c r="BH1088" s="36"/>
      <c r="BI1088" s="36"/>
      <c r="BJ1088" s="36"/>
      <c r="BK1088" s="36"/>
      <c r="BL1088" s="36"/>
      <c r="BM1088" s="36"/>
      <c r="BN1088" s="36"/>
      <c r="BO1088" s="36"/>
      <c r="BP1088" s="36"/>
      <c r="BQ1088" s="36"/>
    </row>
  </sheetData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4</v>
      </c>
      <c r="D1" s="2" t="s">
        <v>5</v>
      </c>
      <c r="E1" s="1" t="s">
        <v>7</v>
      </c>
      <c r="F1" s="4" t="s">
        <v>9</v>
      </c>
      <c r="G1" s="5" t="s">
        <v>10</v>
      </c>
      <c r="H1" s="6" t="s">
        <v>11</v>
      </c>
      <c r="I1" s="5" t="s">
        <v>12</v>
      </c>
      <c r="J1" s="5" t="s">
        <v>14</v>
      </c>
      <c r="K1" s="5" t="s">
        <v>207</v>
      </c>
      <c r="L1" s="7" t="s">
        <v>19</v>
      </c>
      <c r="M1" s="7" t="s">
        <v>20</v>
      </c>
      <c r="N1" s="7" t="s">
        <v>21</v>
      </c>
      <c r="O1" s="7" t="s">
        <v>22</v>
      </c>
      <c r="P1" s="8" t="s">
        <v>23</v>
      </c>
      <c r="Q1" s="9" t="s">
        <v>24</v>
      </c>
      <c r="R1" s="8" t="s">
        <v>25</v>
      </c>
      <c r="S1" s="8" t="s">
        <v>26</v>
      </c>
      <c r="T1" s="8" t="s">
        <v>27</v>
      </c>
      <c r="U1" s="9" t="s">
        <v>28</v>
      </c>
      <c r="V1" s="8" t="s">
        <v>29</v>
      </c>
      <c r="W1" s="8" t="s">
        <v>30</v>
      </c>
      <c r="X1" s="13" t="s">
        <v>38</v>
      </c>
      <c r="Y1" s="13" t="s">
        <v>39</v>
      </c>
      <c r="Z1" s="13" t="s">
        <v>40</v>
      </c>
      <c r="AA1" s="13" t="s">
        <v>41</v>
      </c>
      <c r="AB1" s="14" t="s">
        <v>42</v>
      </c>
      <c r="AC1" s="14" t="s">
        <v>43</v>
      </c>
      <c r="AD1" s="14" t="s">
        <v>44</v>
      </c>
      <c r="AE1" s="14" t="s">
        <v>45</v>
      </c>
      <c r="AF1" s="14" t="s">
        <v>46</v>
      </c>
    </row>
    <row r="2">
      <c r="A2" s="15">
        <v>45863.0</v>
      </c>
      <c r="B2" s="15">
        <v>45870.0</v>
      </c>
      <c r="C2" s="17"/>
      <c r="D2" s="16"/>
      <c r="E2" s="18" t="s">
        <v>48</v>
      </c>
      <c r="F2" s="18">
        <v>10.0</v>
      </c>
      <c r="G2" s="19">
        <v>199.0</v>
      </c>
      <c r="H2" s="19">
        <v>38.0</v>
      </c>
      <c r="I2" s="19">
        <v>237.0</v>
      </c>
      <c r="J2" s="20"/>
      <c r="K2" s="20"/>
      <c r="L2" s="21">
        <v>117.33</v>
      </c>
      <c r="M2" s="21">
        <v>173.08</v>
      </c>
      <c r="N2" s="21">
        <v>108.28</v>
      </c>
      <c r="O2" s="21">
        <v>30.37</v>
      </c>
      <c r="P2" s="22">
        <v>152.37</v>
      </c>
      <c r="Q2" s="22">
        <v>8.83</v>
      </c>
      <c r="R2" s="22">
        <v>44.8</v>
      </c>
      <c r="S2" s="22">
        <v>25.7</v>
      </c>
      <c r="T2" s="22">
        <v>1.6</v>
      </c>
      <c r="U2" s="22">
        <v>5.05</v>
      </c>
      <c r="V2" s="22">
        <v>44.85</v>
      </c>
      <c r="W2" s="22">
        <v>7.05</v>
      </c>
      <c r="X2" s="18">
        <v>10.34</v>
      </c>
      <c r="Y2" s="18">
        <v>19.24</v>
      </c>
      <c r="Z2" s="18">
        <v>7.75</v>
      </c>
      <c r="AA2" s="18">
        <v>25.69</v>
      </c>
      <c r="AB2" s="23">
        <v>50.0</v>
      </c>
      <c r="AC2" s="23">
        <v>10.0</v>
      </c>
      <c r="AD2" s="23">
        <v>5.0</v>
      </c>
      <c r="AE2" s="23">
        <v>35.0</v>
      </c>
      <c r="AF2" s="23">
        <v>30.0</v>
      </c>
    </row>
    <row r="3">
      <c r="A3" s="15">
        <v>45867.0</v>
      </c>
      <c r="B3" s="15">
        <v>45874.0</v>
      </c>
      <c r="C3" s="17"/>
      <c r="D3" s="16"/>
      <c r="E3" s="18" t="s">
        <v>51</v>
      </c>
      <c r="F3" s="18">
        <v>1.0</v>
      </c>
      <c r="G3" s="19">
        <v>675.0</v>
      </c>
      <c r="H3" s="19">
        <v>285.0</v>
      </c>
      <c r="I3" s="19">
        <v>960.0</v>
      </c>
      <c r="J3" s="20"/>
      <c r="K3" s="20"/>
      <c r="L3" s="21">
        <v>0.01</v>
      </c>
      <c r="M3" s="21">
        <v>2.65</v>
      </c>
      <c r="N3" s="21">
        <v>4.17</v>
      </c>
      <c r="O3" s="21">
        <v>6.52</v>
      </c>
      <c r="P3" s="22">
        <v>1017.66</v>
      </c>
      <c r="Q3" s="22">
        <v>34.53</v>
      </c>
      <c r="R3" s="22">
        <v>34.53</v>
      </c>
      <c r="S3" s="22">
        <v>33.27</v>
      </c>
      <c r="T3" s="24">
        <v>0.41</v>
      </c>
      <c r="U3" s="22">
        <v>11.25</v>
      </c>
      <c r="V3" s="22">
        <v>34.53</v>
      </c>
      <c r="W3" s="22">
        <v>7.06</v>
      </c>
      <c r="X3" s="18">
        <v>32.0</v>
      </c>
      <c r="Y3" s="18">
        <v>21.09</v>
      </c>
      <c r="Z3" s="25">
        <v>29.98</v>
      </c>
      <c r="AA3" s="25">
        <v>22.52</v>
      </c>
      <c r="AB3" s="23">
        <v>74.62</v>
      </c>
      <c r="AC3" s="23">
        <v>9.95</v>
      </c>
      <c r="AD3" s="23">
        <v>4.97</v>
      </c>
      <c r="AE3" s="23">
        <v>9.95</v>
      </c>
      <c r="AF3" s="23">
        <v>44.77</v>
      </c>
    </row>
    <row r="4">
      <c r="A4" s="15">
        <v>45867.0</v>
      </c>
      <c r="B4" s="15">
        <v>45874.0</v>
      </c>
      <c r="C4" s="17"/>
      <c r="D4" s="16"/>
      <c r="E4" s="18" t="s">
        <v>53</v>
      </c>
      <c r="F4" s="18">
        <v>5.0</v>
      </c>
      <c r="G4" s="19">
        <v>158.0</v>
      </c>
      <c r="H4" s="19">
        <v>8.0</v>
      </c>
      <c r="I4" s="19">
        <v>161.0</v>
      </c>
      <c r="J4" s="20"/>
      <c r="K4" s="20"/>
      <c r="L4" s="21">
        <v>0.1</v>
      </c>
      <c r="M4" s="21">
        <v>0.1</v>
      </c>
      <c r="N4" s="21">
        <v>0.38</v>
      </c>
      <c r="O4" s="21">
        <v>0.6</v>
      </c>
      <c r="P4" s="22">
        <v>257.47</v>
      </c>
      <c r="Q4" s="22">
        <v>66.07</v>
      </c>
      <c r="R4" s="22">
        <v>15.7</v>
      </c>
      <c r="S4" s="22">
        <v>13.7</v>
      </c>
      <c r="T4" s="22">
        <v>4.42</v>
      </c>
      <c r="U4" s="22">
        <v>14.48</v>
      </c>
      <c r="V4" s="22">
        <v>13.95</v>
      </c>
      <c r="W4" s="22">
        <v>2.57</v>
      </c>
      <c r="X4" s="18">
        <v>8.61</v>
      </c>
      <c r="Y4" s="18">
        <v>18.35</v>
      </c>
      <c r="Z4" s="18">
        <v>6.89</v>
      </c>
      <c r="AA4" s="18">
        <v>22.94</v>
      </c>
      <c r="AB4" s="23">
        <v>49.5</v>
      </c>
      <c r="AC4" s="23">
        <v>9.9</v>
      </c>
      <c r="AD4" s="23">
        <v>4.95</v>
      </c>
      <c r="AE4" s="23">
        <v>34.65</v>
      </c>
      <c r="AF4" s="23">
        <v>29.7</v>
      </c>
    </row>
    <row r="5">
      <c r="A5" s="15">
        <v>45861.0</v>
      </c>
      <c r="B5" s="15">
        <v>45868.0</v>
      </c>
      <c r="C5" s="17">
        <f t="shared" ref="C5:C6" si="1">+0.07%</f>
        <v>0.0007</v>
      </c>
      <c r="D5" s="16">
        <v>-1.0</v>
      </c>
      <c r="E5" s="18" t="s">
        <v>56</v>
      </c>
      <c r="F5" s="18">
        <v>1.0</v>
      </c>
      <c r="G5" s="19">
        <v>237.0</v>
      </c>
      <c r="H5" s="19">
        <v>0.0</v>
      </c>
      <c r="I5" s="19">
        <v>237.0</v>
      </c>
      <c r="J5" s="19"/>
      <c r="K5" s="20"/>
      <c r="L5" s="21">
        <v>14.35</v>
      </c>
      <c r="M5" s="21">
        <v>7.93</v>
      </c>
      <c r="N5" s="21">
        <v>8.86</v>
      </c>
      <c r="O5" s="21">
        <v>12.51</v>
      </c>
      <c r="P5" s="22">
        <v>-3.11</v>
      </c>
      <c r="Q5" s="22">
        <v>14.0</v>
      </c>
      <c r="R5" s="22">
        <v>-2.19</v>
      </c>
      <c r="S5" s="22">
        <v>34.21</v>
      </c>
      <c r="T5" s="22">
        <v>-110.58</v>
      </c>
      <c r="U5" s="22">
        <v>-12.66</v>
      </c>
      <c r="V5" s="22" t="s">
        <v>57</v>
      </c>
      <c r="W5" s="22">
        <v>7.36</v>
      </c>
      <c r="X5" s="18">
        <v>-7.65</v>
      </c>
      <c r="Y5" s="16">
        <v>55.28</v>
      </c>
      <c r="Z5" s="16">
        <v>9.52</v>
      </c>
      <c r="AA5" s="16">
        <v>61.48</v>
      </c>
      <c r="AB5" s="23">
        <v>74.82</v>
      </c>
      <c r="AC5" s="23">
        <v>9.98</v>
      </c>
      <c r="AD5" s="23">
        <v>4.99</v>
      </c>
      <c r="AE5" s="23">
        <v>9.98</v>
      </c>
      <c r="AF5" s="23">
        <v>44.89</v>
      </c>
    </row>
    <row r="6">
      <c r="A6" s="15">
        <v>45861.0</v>
      </c>
      <c r="B6" s="15">
        <v>45868.0</v>
      </c>
      <c r="C6" s="17">
        <f t="shared" si="1"/>
        <v>0.0007</v>
      </c>
      <c r="D6" s="16">
        <v>-1.0</v>
      </c>
      <c r="E6" s="18" t="s">
        <v>58</v>
      </c>
      <c r="F6" s="18">
        <v>2.0</v>
      </c>
      <c r="G6" s="19">
        <v>237.0</v>
      </c>
      <c r="H6" s="19">
        <v>94.0</v>
      </c>
      <c r="I6" s="19">
        <v>331.0</v>
      </c>
      <c r="J6" s="19"/>
      <c r="K6" s="20"/>
      <c r="L6" s="21">
        <v>266.21</v>
      </c>
      <c r="M6" s="21">
        <v>252.45</v>
      </c>
      <c r="N6" s="21">
        <v>174.34</v>
      </c>
      <c r="O6" s="21">
        <v>45.21</v>
      </c>
      <c r="P6" s="22">
        <v>226.46</v>
      </c>
      <c r="Q6" s="22">
        <v>8.94</v>
      </c>
      <c r="R6" s="22">
        <v>30.4</v>
      </c>
      <c r="S6" s="22">
        <v>17.31</v>
      </c>
      <c r="T6" s="22">
        <v>1.95</v>
      </c>
      <c r="U6" s="22">
        <v>4.89</v>
      </c>
      <c r="V6" s="22">
        <v>30.4</v>
      </c>
      <c r="W6" s="22">
        <v>10.17</v>
      </c>
      <c r="X6" s="18">
        <v>7.11</v>
      </c>
      <c r="Y6" s="18">
        <v>33.35</v>
      </c>
      <c r="Z6" s="18">
        <v>6.05</v>
      </c>
      <c r="AA6" s="18">
        <v>39.14</v>
      </c>
      <c r="AB6" s="23">
        <v>50.0</v>
      </c>
      <c r="AC6" s="23">
        <v>10.0</v>
      </c>
      <c r="AD6" s="23">
        <v>5.0</v>
      </c>
      <c r="AE6" s="23">
        <v>35.0</v>
      </c>
      <c r="AF6" s="23">
        <v>30.0</v>
      </c>
    </row>
    <row r="7">
      <c r="A7" s="15">
        <v>45862.0</v>
      </c>
      <c r="B7" s="15">
        <v>45869.0</v>
      </c>
      <c r="C7" s="16" t="s">
        <v>59</v>
      </c>
      <c r="D7" s="16">
        <v>-1.0</v>
      </c>
      <c r="E7" s="18" t="s">
        <v>60</v>
      </c>
      <c r="F7" s="18">
        <v>10.0</v>
      </c>
      <c r="G7" s="19">
        <v>90.0</v>
      </c>
      <c r="H7" s="19">
        <v>2.0</v>
      </c>
      <c r="I7" s="19">
        <v>90.0</v>
      </c>
      <c r="J7" s="20"/>
      <c r="K7" s="20"/>
      <c r="L7" s="21">
        <v>5.42</v>
      </c>
      <c r="M7" s="21">
        <v>1.58</v>
      </c>
      <c r="N7" s="21">
        <v>2.59</v>
      </c>
      <c r="O7" s="21">
        <v>6.4</v>
      </c>
      <c r="P7" s="22">
        <v>78.58</v>
      </c>
      <c r="Q7" s="22">
        <v>35.45</v>
      </c>
      <c r="R7" s="22">
        <v>27.2</v>
      </c>
      <c r="S7" s="22">
        <v>13.62</v>
      </c>
      <c r="T7" s="24">
        <v>7.4</v>
      </c>
      <c r="U7" s="26">
        <v>50.0</v>
      </c>
      <c r="V7" s="22">
        <v>30.11</v>
      </c>
      <c r="W7" s="22">
        <v>32.26</v>
      </c>
      <c r="X7" s="18">
        <v>0.72</v>
      </c>
      <c r="Y7" s="18">
        <v>125.0</v>
      </c>
      <c r="Z7" s="16">
        <v>0.72</v>
      </c>
      <c r="AA7" s="16">
        <v>125.0</v>
      </c>
      <c r="AB7" s="23">
        <v>71.23</v>
      </c>
      <c r="AC7" s="23">
        <v>9.5</v>
      </c>
      <c r="AD7" s="23">
        <v>4.75</v>
      </c>
      <c r="AE7" s="23">
        <v>9.5</v>
      </c>
      <c r="AF7" s="23">
        <v>42.74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3.13"/>
    <col customWidth="1" min="3" max="3" width="12.0"/>
    <col customWidth="1" min="4" max="4" width="28.13"/>
    <col customWidth="1" min="5" max="5" width="13.0"/>
    <col customWidth="1" min="6" max="6" width="20.5"/>
    <col customWidth="1" min="7" max="7" width="48.13"/>
    <col customWidth="1" min="8" max="8" width="40.88"/>
    <col customWidth="1" min="17" max="17" width="15.75"/>
    <col customWidth="1" min="18" max="18" width="10.25"/>
    <col customWidth="1" min="21" max="21" width="9.38"/>
    <col customWidth="1" min="29" max="29" width="12.38"/>
    <col customWidth="1" min="37" max="37" width="19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5" t="s">
        <v>12</v>
      </c>
      <c r="N1" s="6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8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9" t="s">
        <v>28</v>
      </c>
      <c r="AD1" s="8" t="s">
        <v>29</v>
      </c>
      <c r="AE1" s="8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1" t="s">
        <v>36</v>
      </c>
      <c r="AL1" s="12" t="s">
        <v>37</v>
      </c>
      <c r="AM1" s="13" t="s">
        <v>38</v>
      </c>
      <c r="AN1" s="13" t="s">
        <v>39</v>
      </c>
      <c r="AO1" s="13" t="s">
        <v>40</v>
      </c>
      <c r="AP1" s="13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</row>
    <row r="2">
      <c r="A2" s="15">
        <v>45863.0</v>
      </c>
      <c r="B2" s="15">
        <v>45870.0</v>
      </c>
      <c r="C2" s="16"/>
      <c r="D2" s="16"/>
      <c r="E2" s="17"/>
      <c r="F2" s="16"/>
      <c r="G2" s="16" t="s">
        <v>47</v>
      </c>
      <c r="H2" s="18" t="s">
        <v>48</v>
      </c>
      <c r="I2" s="18" t="s">
        <v>49</v>
      </c>
      <c r="J2" s="18">
        <v>10.0</v>
      </c>
      <c r="K2" s="19">
        <v>199.0</v>
      </c>
      <c r="L2" s="19">
        <v>38.0</v>
      </c>
      <c r="M2" s="19">
        <v>237.0</v>
      </c>
      <c r="N2" s="20"/>
      <c r="O2" s="20"/>
      <c r="P2" s="20"/>
      <c r="Q2" s="20"/>
      <c r="R2" s="20"/>
      <c r="S2" s="20"/>
      <c r="T2" s="21">
        <v>117.33</v>
      </c>
      <c r="U2" s="21">
        <v>173.08</v>
      </c>
      <c r="V2" s="21">
        <v>108.28</v>
      </c>
      <c r="W2" s="21">
        <v>30.37</v>
      </c>
      <c r="X2" s="22">
        <v>152.37</v>
      </c>
      <c r="Y2" s="22">
        <v>8.83</v>
      </c>
      <c r="Z2" s="22">
        <v>44.8</v>
      </c>
      <c r="AA2" s="22">
        <v>25.7</v>
      </c>
      <c r="AB2" s="22">
        <v>1.6</v>
      </c>
      <c r="AC2" s="22">
        <v>5.05</v>
      </c>
      <c r="AD2" s="22">
        <v>44.85</v>
      </c>
      <c r="AE2" s="22">
        <v>7.05</v>
      </c>
      <c r="AF2" s="23">
        <v>1.8096E7</v>
      </c>
      <c r="AG2" s="23">
        <v>9048000.0</v>
      </c>
      <c r="AH2" s="23">
        <v>1809600.0</v>
      </c>
      <c r="AI2" s="23">
        <v>904800.0</v>
      </c>
      <c r="AJ2" s="23">
        <v>6333600.0</v>
      </c>
      <c r="AK2" s="23">
        <v>5428800.0</v>
      </c>
      <c r="AL2" s="18">
        <v>75.0</v>
      </c>
      <c r="AM2" s="18">
        <v>10.34</v>
      </c>
      <c r="AN2" s="18">
        <v>19.24</v>
      </c>
      <c r="AO2" s="18">
        <v>7.75</v>
      </c>
      <c r="AP2" s="18">
        <v>25.69</v>
      </c>
      <c r="AQ2" s="23">
        <v>50.0</v>
      </c>
      <c r="AR2" s="23">
        <v>10.0</v>
      </c>
      <c r="AS2" s="23">
        <v>5.0</v>
      </c>
      <c r="AT2" s="23">
        <v>35.0</v>
      </c>
      <c r="AU2" s="23">
        <v>30.0</v>
      </c>
    </row>
    <row r="3">
      <c r="A3" s="15">
        <v>45867.0</v>
      </c>
      <c r="B3" s="15">
        <v>45874.0</v>
      </c>
      <c r="C3" s="16"/>
      <c r="D3" s="16"/>
      <c r="E3" s="17"/>
      <c r="F3" s="16"/>
      <c r="G3" s="16" t="s">
        <v>50</v>
      </c>
      <c r="H3" s="18" t="s">
        <v>51</v>
      </c>
      <c r="I3" s="18" t="s">
        <v>49</v>
      </c>
      <c r="J3" s="18">
        <v>1.0</v>
      </c>
      <c r="K3" s="19">
        <v>675.0</v>
      </c>
      <c r="L3" s="19">
        <v>285.0</v>
      </c>
      <c r="M3" s="19">
        <v>960.0</v>
      </c>
      <c r="N3" s="20"/>
      <c r="O3" s="20"/>
      <c r="P3" s="20"/>
      <c r="Q3" s="20"/>
      <c r="R3" s="20"/>
      <c r="S3" s="20"/>
      <c r="T3" s="21">
        <v>0.01</v>
      </c>
      <c r="U3" s="21">
        <v>2.65</v>
      </c>
      <c r="V3" s="21">
        <v>4.17</v>
      </c>
      <c r="W3" s="21">
        <v>6.52</v>
      </c>
      <c r="X3" s="22">
        <v>1017.66</v>
      </c>
      <c r="Y3" s="22">
        <v>34.53</v>
      </c>
      <c r="Z3" s="22">
        <v>34.53</v>
      </c>
      <c r="AA3" s="22">
        <v>33.27</v>
      </c>
      <c r="AB3" s="24">
        <v>0.41</v>
      </c>
      <c r="AC3" s="22">
        <v>11.25</v>
      </c>
      <c r="AD3" s="22">
        <v>34.53</v>
      </c>
      <c r="AE3" s="22">
        <v>7.06</v>
      </c>
      <c r="AF3" s="23">
        <v>1.9267932E7</v>
      </c>
      <c r="AG3" s="23">
        <v>1.4377778E7</v>
      </c>
      <c r="AH3" s="23">
        <v>1917037.0</v>
      </c>
      <c r="AI3" s="23">
        <v>958519.0</v>
      </c>
      <c r="AJ3" s="23">
        <v>1917037.0</v>
      </c>
      <c r="AK3" s="23">
        <v>8626666.0</v>
      </c>
      <c r="AL3" s="18">
        <v>22.0</v>
      </c>
      <c r="AM3" s="18">
        <v>32.0</v>
      </c>
      <c r="AN3" s="18">
        <v>21.09</v>
      </c>
      <c r="AO3" s="25">
        <v>29.98</v>
      </c>
      <c r="AP3" s="25">
        <v>22.52</v>
      </c>
      <c r="AQ3" s="23">
        <v>74.62</v>
      </c>
      <c r="AR3" s="23">
        <v>9.95</v>
      </c>
      <c r="AS3" s="23">
        <v>4.97</v>
      </c>
      <c r="AT3" s="23">
        <v>9.95</v>
      </c>
      <c r="AU3" s="23">
        <v>44.77</v>
      </c>
    </row>
    <row r="4">
      <c r="A4" s="15">
        <v>45867.0</v>
      </c>
      <c r="B4" s="15">
        <v>45874.0</v>
      </c>
      <c r="C4" s="16"/>
      <c r="D4" s="16"/>
      <c r="E4" s="17"/>
      <c r="F4" s="16"/>
      <c r="G4" s="16" t="s">
        <v>52</v>
      </c>
      <c r="H4" s="18" t="s">
        <v>53</v>
      </c>
      <c r="I4" s="18" t="s">
        <v>49</v>
      </c>
      <c r="J4" s="18">
        <v>5.0</v>
      </c>
      <c r="K4" s="19">
        <v>158.0</v>
      </c>
      <c r="L4" s="19">
        <v>8.0</v>
      </c>
      <c r="M4" s="19">
        <v>161.0</v>
      </c>
      <c r="N4" s="20"/>
      <c r="O4" s="20"/>
      <c r="P4" s="20"/>
      <c r="Q4" s="20"/>
      <c r="R4" s="20"/>
      <c r="S4" s="20"/>
      <c r="T4" s="21">
        <v>0.1</v>
      </c>
      <c r="U4" s="21">
        <v>0.1</v>
      </c>
      <c r="V4" s="21">
        <v>0.38</v>
      </c>
      <c r="W4" s="21">
        <v>0.6</v>
      </c>
      <c r="X4" s="22">
        <v>257.47</v>
      </c>
      <c r="Y4" s="22">
        <v>66.07</v>
      </c>
      <c r="Z4" s="22">
        <v>15.7</v>
      </c>
      <c r="AA4" s="22">
        <v>13.7</v>
      </c>
      <c r="AB4" s="22">
        <v>4.42</v>
      </c>
      <c r="AC4" s="22">
        <v>14.48</v>
      </c>
      <c r="AD4" s="22">
        <v>13.95</v>
      </c>
      <c r="AE4" s="22">
        <v>2.57</v>
      </c>
      <c r="AF4" s="23">
        <v>1.6092193E7</v>
      </c>
      <c r="AG4" s="23">
        <v>7965632.0</v>
      </c>
      <c r="AH4" s="23">
        <v>1593127.0</v>
      </c>
      <c r="AI4" s="23">
        <v>796563.0</v>
      </c>
      <c r="AJ4" s="23">
        <v>5575943.0</v>
      </c>
      <c r="AK4" s="23">
        <v>4779379.0</v>
      </c>
      <c r="AL4" s="18">
        <v>94.0</v>
      </c>
      <c r="AM4" s="18">
        <v>8.61</v>
      </c>
      <c r="AN4" s="18">
        <v>18.35</v>
      </c>
      <c r="AO4" s="18">
        <v>6.89</v>
      </c>
      <c r="AP4" s="18">
        <v>22.94</v>
      </c>
      <c r="AQ4" s="23">
        <v>49.5</v>
      </c>
      <c r="AR4" s="23">
        <v>9.9</v>
      </c>
      <c r="AS4" s="23">
        <v>4.95</v>
      </c>
      <c r="AT4" s="23">
        <v>34.65</v>
      </c>
      <c r="AU4" s="23">
        <v>29.7</v>
      </c>
    </row>
    <row r="5">
      <c r="A5" s="15">
        <v>45861.0</v>
      </c>
      <c r="B5" s="15">
        <v>45868.0</v>
      </c>
      <c r="C5" s="16">
        <v>24839.0</v>
      </c>
      <c r="D5" s="16">
        <v>24821.0</v>
      </c>
      <c r="E5" s="17">
        <f t="shared" ref="E5:E6" si="1">+0.07%</f>
        <v>0.0007</v>
      </c>
      <c r="F5" s="16" t="s">
        <v>54</v>
      </c>
      <c r="G5" s="16" t="s">
        <v>55</v>
      </c>
      <c r="H5" s="18" t="s">
        <v>56</v>
      </c>
      <c r="I5" s="18" t="s">
        <v>49</v>
      </c>
      <c r="J5" s="18">
        <v>1.0</v>
      </c>
      <c r="K5" s="19">
        <v>237.0</v>
      </c>
      <c r="L5" s="19">
        <v>0.0</v>
      </c>
      <c r="M5" s="19">
        <v>237.0</v>
      </c>
      <c r="N5" s="19">
        <v>216.0</v>
      </c>
      <c r="O5" s="19">
        <v>-8.86</v>
      </c>
      <c r="P5" s="20"/>
      <c r="Q5" s="20"/>
      <c r="R5" s="20"/>
      <c r="S5" s="20"/>
      <c r="T5" s="21">
        <v>14.35</v>
      </c>
      <c r="U5" s="21">
        <v>7.93</v>
      </c>
      <c r="V5" s="21">
        <v>8.86</v>
      </c>
      <c r="W5" s="21">
        <v>12.51</v>
      </c>
      <c r="X5" s="22">
        <v>-3.11</v>
      </c>
      <c r="Y5" s="22">
        <v>14.0</v>
      </c>
      <c r="Z5" s="22">
        <v>-2.19</v>
      </c>
      <c r="AA5" s="22">
        <v>34.21</v>
      </c>
      <c r="AB5" s="22">
        <v>-110.58</v>
      </c>
      <c r="AC5" s="22">
        <v>-12.66</v>
      </c>
      <c r="AD5" s="22" t="s">
        <v>57</v>
      </c>
      <c r="AE5" s="22">
        <v>7.36</v>
      </c>
      <c r="AF5" s="23">
        <v>2.954234E7</v>
      </c>
      <c r="AG5" s="23">
        <v>2.2104431E7</v>
      </c>
      <c r="AH5" s="23">
        <v>2947256.0</v>
      </c>
      <c r="AI5" s="23">
        <v>1473629.0</v>
      </c>
      <c r="AJ5" s="23">
        <v>2947257.0</v>
      </c>
      <c r="AK5" s="23">
        <v>1.3262658E7</v>
      </c>
      <c r="AL5" s="18">
        <v>63.0</v>
      </c>
      <c r="AM5" s="18">
        <v>-7.65</v>
      </c>
      <c r="AN5" s="16">
        <v>55.28</v>
      </c>
      <c r="AO5" s="16">
        <v>9.52</v>
      </c>
      <c r="AP5" s="16">
        <v>61.48</v>
      </c>
      <c r="AQ5" s="23">
        <v>74.82</v>
      </c>
      <c r="AR5" s="23">
        <v>9.98</v>
      </c>
      <c r="AS5" s="23">
        <v>4.99</v>
      </c>
      <c r="AT5" s="23">
        <v>9.98</v>
      </c>
      <c r="AU5" s="23">
        <v>44.89</v>
      </c>
    </row>
    <row r="6">
      <c r="A6" s="15">
        <v>45861.0</v>
      </c>
      <c r="B6" s="15">
        <v>45868.0</v>
      </c>
      <c r="C6" s="16">
        <v>24839.0</v>
      </c>
      <c r="D6" s="16">
        <v>24821.0</v>
      </c>
      <c r="E6" s="17">
        <f t="shared" si="1"/>
        <v>0.0007</v>
      </c>
      <c r="F6" s="16" t="s">
        <v>54</v>
      </c>
      <c r="G6" s="16" t="s">
        <v>50</v>
      </c>
      <c r="H6" s="18" t="s">
        <v>58</v>
      </c>
      <c r="I6" s="18" t="s">
        <v>49</v>
      </c>
      <c r="J6" s="18">
        <v>2.0</v>
      </c>
      <c r="K6" s="19">
        <v>237.0</v>
      </c>
      <c r="L6" s="19">
        <v>94.0</v>
      </c>
      <c r="M6" s="19">
        <v>331.0</v>
      </c>
      <c r="N6" s="19">
        <v>353.0</v>
      </c>
      <c r="O6" s="19">
        <v>49.79</v>
      </c>
      <c r="P6" s="19">
        <v>332.0</v>
      </c>
      <c r="Q6" s="20"/>
      <c r="R6" s="19">
        <v>332.0</v>
      </c>
      <c r="S6" s="20"/>
      <c r="T6" s="21">
        <v>266.21</v>
      </c>
      <c r="U6" s="21">
        <v>252.45</v>
      </c>
      <c r="V6" s="21">
        <v>174.34</v>
      </c>
      <c r="W6" s="21">
        <v>45.21</v>
      </c>
      <c r="X6" s="22">
        <v>226.46</v>
      </c>
      <c r="Y6" s="22">
        <v>8.94</v>
      </c>
      <c r="Z6" s="22">
        <v>30.4</v>
      </c>
      <c r="AA6" s="22">
        <v>17.31</v>
      </c>
      <c r="AB6" s="22">
        <v>1.95</v>
      </c>
      <c r="AC6" s="22">
        <v>4.89</v>
      </c>
      <c r="AD6" s="22">
        <v>30.4</v>
      </c>
      <c r="AE6" s="22">
        <v>10.17</v>
      </c>
      <c r="AF6" s="23">
        <v>1.9427637E7</v>
      </c>
      <c r="AG6" s="23">
        <v>9713818.0</v>
      </c>
      <c r="AH6" s="23">
        <v>1942764.0</v>
      </c>
      <c r="AI6" s="23">
        <v>971382.0</v>
      </c>
      <c r="AJ6" s="23">
        <v>6799673.0</v>
      </c>
      <c r="AK6" s="23">
        <v>5828290.0</v>
      </c>
      <c r="AL6" s="18">
        <v>63.0</v>
      </c>
      <c r="AM6" s="18">
        <v>7.11</v>
      </c>
      <c r="AN6" s="18">
        <v>33.35</v>
      </c>
      <c r="AO6" s="18">
        <v>6.05</v>
      </c>
      <c r="AP6" s="18">
        <v>39.14</v>
      </c>
      <c r="AQ6" s="23">
        <v>50.0</v>
      </c>
      <c r="AR6" s="23">
        <v>10.0</v>
      </c>
      <c r="AS6" s="23">
        <v>5.0</v>
      </c>
      <c r="AT6" s="23">
        <v>35.0</v>
      </c>
      <c r="AU6" s="23">
        <v>30.0</v>
      </c>
    </row>
    <row r="7">
      <c r="A7" s="15">
        <v>45862.0</v>
      </c>
      <c r="B7" s="15">
        <v>45869.0</v>
      </c>
      <c r="C7" s="16">
        <v>24657.0</v>
      </c>
      <c r="D7" s="16">
        <v>24853.0</v>
      </c>
      <c r="E7" s="16" t="s">
        <v>59</v>
      </c>
      <c r="F7" s="16" t="s">
        <v>54</v>
      </c>
      <c r="G7" s="16" t="s">
        <v>55</v>
      </c>
      <c r="H7" s="18" t="s">
        <v>60</v>
      </c>
      <c r="I7" s="18" t="s">
        <v>49</v>
      </c>
      <c r="J7" s="18">
        <v>10.0</v>
      </c>
      <c r="K7" s="19">
        <v>90.0</v>
      </c>
      <c r="L7" s="19">
        <v>2.0</v>
      </c>
      <c r="M7" s="19">
        <v>90.0</v>
      </c>
      <c r="N7" s="20"/>
      <c r="O7" s="20"/>
      <c r="P7" s="20"/>
      <c r="Q7" s="20"/>
      <c r="R7" s="20"/>
      <c r="S7" s="20"/>
      <c r="T7" s="21">
        <v>5.42</v>
      </c>
      <c r="U7" s="21">
        <v>1.58</v>
      </c>
      <c r="V7" s="21">
        <v>2.59</v>
      </c>
      <c r="W7" s="21">
        <v>6.4</v>
      </c>
      <c r="X7" s="22">
        <v>78.58</v>
      </c>
      <c r="Y7" s="22">
        <v>35.45</v>
      </c>
      <c r="Z7" s="22">
        <v>27.2</v>
      </c>
      <c r="AA7" s="22">
        <v>13.62</v>
      </c>
      <c r="AB7" s="24">
        <v>7.4</v>
      </c>
      <c r="AC7" s="26">
        <v>50.0</v>
      </c>
      <c r="AD7" s="22">
        <v>30.11</v>
      </c>
      <c r="AE7" s="22">
        <v>32.26</v>
      </c>
      <c r="AF7" s="23">
        <v>8.4429103E7</v>
      </c>
      <c r="AG7" s="23">
        <v>6.0135E7</v>
      </c>
      <c r="AH7" s="23">
        <v>8018000.0</v>
      </c>
      <c r="AI7" s="23">
        <v>4009000.0</v>
      </c>
      <c r="AJ7" s="23">
        <v>8018000.0</v>
      </c>
      <c r="AK7" s="23">
        <v>3.6081E7</v>
      </c>
      <c r="AL7" s="18">
        <v>166.0</v>
      </c>
      <c r="AM7" s="18">
        <v>0.72</v>
      </c>
      <c r="AN7" s="18">
        <v>125.0</v>
      </c>
      <c r="AO7" s="16">
        <v>0.72</v>
      </c>
      <c r="AP7" s="16">
        <v>125.0</v>
      </c>
      <c r="AQ7" s="23">
        <v>71.23</v>
      </c>
      <c r="AR7" s="23">
        <v>9.5</v>
      </c>
      <c r="AS7" s="23">
        <v>4.75</v>
      </c>
      <c r="AT7" s="23">
        <v>9.5</v>
      </c>
      <c r="AU7" s="23">
        <v>42.74</v>
      </c>
    </row>
    <row r="8">
      <c r="A8" s="15">
        <v>45852.0</v>
      </c>
      <c r="B8" s="15">
        <v>45859.0</v>
      </c>
      <c r="C8" s="16">
        <v>25095.0</v>
      </c>
      <c r="D8" s="16">
        <v>24968.0</v>
      </c>
      <c r="E8" s="27">
        <f>+0.51%</f>
        <v>0.0051</v>
      </c>
      <c r="F8" s="16" t="s">
        <v>61</v>
      </c>
      <c r="G8" s="16" t="s">
        <v>62</v>
      </c>
      <c r="H8" s="18" t="s">
        <v>63</v>
      </c>
      <c r="I8" s="16" t="s">
        <v>49</v>
      </c>
      <c r="J8" s="25">
        <v>2.0</v>
      </c>
      <c r="K8" s="19">
        <v>570.0</v>
      </c>
      <c r="L8" s="19">
        <v>1794.0</v>
      </c>
      <c r="M8" s="19">
        <v>749.0</v>
      </c>
      <c r="N8" s="20">
        <v>723.05</v>
      </c>
      <c r="O8" s="19">
        <v>26.85</v>
      </c>
      <c r="P8" s="20">
        <v>730.35</v>
      </c>
      <c r="Q8" s="19">
        <v>28.13</v>
      </c>
      <c r="R8" s="20">
        <v>782.45</v>
      </c>
      <c r="S8" s="19">
        <v>37.27</v>
      </c>
      <c r="T8" s="21">
        <v>182.65</v>
      </c>
      <c r="U8" s="21">
        <v>48.94</v>
      </c>
      <c r="V8" s="21">
        <v>42.35</v>
      </c>
      <c r="W8" s="21">
        <v>5.61</v>
      </c>
      <c r="X8" s="24">
        <v>2409.86</v>
      </c>
      <c r="Y8" s="22">
        <v>36.81</v>
      </c>
      <c r="Z8" s="24">
        <v>20.82</v>
      </c>
      <c r="AA8" s="24">
        <v>26.88</v>
      </c>
      <c r="AB8" s="24">
        <v>0.05</v>
      </c>
      <c r="AC8" s="24">
        <v>23.38</v>
      </c>
      <c r="AD8" s="24">
        <v>20.82</v>
      </c>
      <c r="AE8" s="24">
        <v>13.23</v>
      </c>
      <c r="AF8" s="23">
        <v>5.9575319E7</v>
      </c>
      <c r="AG8" s="23">
        <v>2.9708332E7</v>
      </c>
      <c r="AH8" s="23">
        <v>5941667.0</v>
      </c>
      <c r="AI8" s="23">
        <v>2970833.0</v>
      </c>
      <c r="AJ8" s="23">
        <v>2.0795834E7</v>
      </c>
      <c r="AK8" s="23">
        <v>1.7824999E7</v>
      </c>
      <c r="AL8" s="25">
        <v>26.0</v>
      </c>
      <c r="AM8" s="25">
        <v>8.07</v>
      </c>
      <c r="AN8" s="25">
        <v>70.62</v>
      </c>
      <c r="AO8" s="25">
        <v>8.07</v>
      </c>
      <c r="AP8" s="25">
        <v>70.62</v>
      </c>
      <c r="AQ8" s="23">
        <v>49.87</v>
      </c>
      <c r="AR8" s="23">
        <v>9.97</v>
      </c>
      <c r="AS8" s="23">
        <v>4.99</v>
      </c>
      <c r="AT8" s="23">
        <v>34.91</v>
      </c>
      <c r="AU8" s="23">
        <v>29.92</v>
      </c>
    </row>
    <row r="9">
      <c r="A9" s="15">
        <v>45848.0</v>
      </c>
      <c r="B9" s="15">
        <v>45855.0</v>
      </c>
      <c r="C9" s="16">
        <v>25161.0</v>
      </c>
      <c r="D9" s="16">
        <v>25212.0</v>
      </c>
      <c r="E9" s="16" t="s">
        <v>64</v>
      </c>
      <c r="F9" s="16" t="s">
        <v>61</v>
      </c>
      <c r="G9" s="16" t="s">
        <v>55</v>
      </c>
      <c r="H9" s="18" t="s">
        <v>65</v>
      </c>
      <c r="I9" s="16" t="s">
        <v>49</v>
      </c>
      <c r="J9" s="25">
        <v>10.0</v>
      </c>
      <c r="K9" s="19">
        <v>407.0</v>
      </c>
      <c r="L9" s="19">
        <v>252.0</v>
      </c>
      <c r="M9" s="19">
        <v>432.0</v>
      </c>
      <c r="N9" s="20">
        <v>435.0</v>
      </c>
      <c r="O9" s="19">
        <v>6.88</v>
      </c>
      <c r="P9" s="20">
        <v>445.1</v>
      </c>
      <c r="Q9" s="19">
        <v>9.36</v>
      </c>
      <c r="R9" s="20">
        <v>418.85</v>
      </c>
      <c r="S9" s="19">
        <v>2.91</v>
      </c>
      <c r="T9" s="21">
        <v>24.41</v>
      </c>
      <c r="U9" s="21">
        <v>27.14</v>
      </c>
      <c r="V9" s="21">
        <v>14.06</v>
      </c>
      <c r="W9" s="21">
        <v>3.53</v>
      </c>
      <c r="X9" s="24">
        <v>107.51</v>
      </c>
      <c r="Y9" s="22">
        <v>62.39</v>
      </c>
      <c r="Z9" s="22">
        <v>-82.0</v>
      </c>
      <c r="AA9" s="22">
        <v>6.97</v>
      </c>
      <c r="AB9" s="22">
        <v>34.6</v>
      </c>
      <c r="AC9" s="22">
        <v>-4.6</v>
      </c>
      <c r="AD9" s="24">
        <v>-58.76</v>
      </c>
      <c r="AE9" s="24">
        <v>38.58</v>
      </c>
      <c r="AF9" s="23">
        <v>1.4322613E7</v>
      </c>
      <c r="AG9" s="23">
        <v>7110630.0</v>
      </c>
      <c r="AH9" s="23">
        <v>1422127.0</v>
      </c>
      <c r="AI9" s="23">
        <v>711063.0</v>
      </c>
      <c r="AJ9" s="23">
        <v>4977442.0</v>
      </c>
      <c r="AK9" s="23">
        <v>4266378.0</v>
      </c>
      <c r="AL9" s="25">
        <v>36.0</v>
      </c>
      <c r="AM9" s="25">
        <v>-6.12</v>
      </c>
      <c r="AN9" s="18" t="s">
        <v>66</v>
      </c>
      <c r="AO9" s="25">
        <v>-5.54</v>
      </c>
      <c r="AP9" s="18" t="s">
        <v>66</v>
      </c>
      <c r="AQ9" s="23">
        <v>49.65</v>
      </c>
      <c r="AR9" s="23">
        <v>9.93</v>
      </c>
      <c r="AS9" s="23">
        <v>4.96</v>
      </c>
      <c r="AT9" s="23">
        <v>34.75</v>
      </c>
      <c r="AU9" s="23">
        <v>29.79</v>
      </c>
    </row>
    <row r="10">
      <c r="A10" s="15">
        <v>45845.0</v>
      </c>
      <c r="B10" s="15">
        <v>45852.0</v>
      </c>
      <c r="C10" s="16">
        <v>25117.0</v>
      </c>
      <c r="D10" s="16">
        <v>25147.0</v>
      </c>
      <c r="E10" s="16" t="s">
        <v>67</v>
      </c>
      <c r="F10" s="16" t="s">
        <v>61</v>
      </c>
      <c r="G10" s="16" t="s">
        <v>55</v>
      </c>
      <c r="H10" s="18" t="s">
        <v>68</v>
      </c>
      <c r="I10" s="18" t="s">
        <v>69</v>
      </c>
      <c r="J10" s="25">
        <v>1.0</v>
      </c>
      <c r="K10" s="19">
        <v>1100.0</v>
      </c>
      <c r="L10" s="19">
        <v>251.0</v>
      </c>
      <c r="M10" s="19">
        <v>1125.0</v>
      </c>
      <c r="N10" s="20">
        <v>1125.0</v>
      </c>
      <c r="O10" s="19">
        <v>2.27</v>
      </c>
      <c r="P10" s="20">
        <v>1075.2</v>
      </c>
      <c r="Q10" s="19">
        <v>-2.25</v>
      </c>
      <c r="R10" s="20">
        <v>1099.1</v>
      </c>
      <c r="S10" s="19">
        <v>-0.08</v>
      </c>
      <c r="T10" s="21">
        <v>7.7</v>
      </c>
      <c r="U10" s="21">
        <v>1.58</v>
      </c>
      <c r="V10" s="21">
        <v>1.74</v>
      </c>
      <c r="W10" s="21">
        <v>0.69</v>
      </c>
      <c r="X10" s="24">
        <v>1048.45</v>
      </c>
      <c r="Y10" s="22">
        <v>40.07</v>
      </c>
      <c r="Z10" s="24">
        <v>35.47</v>
      </c>
      <c r="AA10" s="24">
        <v>51.4</v>
      </c>
      <c r="AB10" s="22">
        <v>0.32</v>
      </c>
      <c r="AC10" s="24">
        <v>21.54</v>
      </c>
      <c r="AD10" s="24">
        <v>34.64</v>
      </c>
      <c r="AE10" s="24">
        <v>18.2</v>
      </c>
      <c r="AF10" s="23">
        <v>1.2741978E7</v>
      </c>
      <c r="AG10" s="23">
        <v>9072726.0</v>
      </c>
      <c r="AH10" s="23">
        <v>1814545.0</v>
      </c>
      <c r="AI10" s="23">
        <v>907273.0</v>
      </c>
      <c r="AJ10" s="23">
        <v>6350909.0</v>
      </c>
      <c r="AK10" s="23">
        <v>5443635.0</v>
      </c>
      <c r="AL10" s="25">
        <v>13.0</v>
      </c>
      <c r="AM10" s="25">
        <v>22.63</v>
      </c>
      <c r="AN10" s="25">
        <v>48.6</v>
      </c>
      <c r="AO10" s="18" t="s">
        <v>66</v>
      </c>
      <c r="AP10" s="18" t="s">
        <v>66</v>
      </c>
      <c r="AQ10" s="23">
        <v>71.2</v>
      </c>
      <c r="AR10" s="23">
        <v>14.24</v>
      </c>
      <c r="AS10" s="23">
        <v>7.12</v>
      </c>
      <c r="AT10" s="23">
        <v>49.84</v>
      </c>
      <c r="AU10" s="23">
        <v>42.72</v>
      </c>
    </row>
    <row r="11">
      <c r="A11" s="15">
        <v>45840.0</v>
      </c>
      <c r="B11" s="15">
        <v>45847.0</v>
      </c>
      <c r="C11" s="16">
        <v>25528.0</v>
      </c>
      <c r="D11" s="16">
        <v>25526.0</v>
      </c>
      <c r="E11" s="27">
        <f>+0.01%</f>
        <v>0.0001</v>
      </c>
      <c r="F11" s="16" t="s">
        <v>70</v>
      </c>
      <c r="G11" s="16" t="s">
        <v>71</v>
      </c>
      <c r="H11" s="18" t="s">
        <v>72</v>
      </c>
      <c r="I11" s="16" t="s">
        <v>49</v>
      </c>
      <c r="J11" s="25">
        <v>2.0</v>
      </c>
      <c r="K11" s="19">
        <v>245.0</v>
      </c>
      <c r="L11" s="19">
        <v>41.53</v>
      </c>
      <c r="M11" s="19">
        <v>286.5</v>
      </c>
      <c r="N11" s="20">
        <v>281.05</v>
      </c>
      <c r="O11" s="19">
        <v>14.71</v>
      </c>
      <c r="P11" s="20">
        <v>307.63</v>
      </c>
      <c r="Q11" s="19">
        <v>25.56</v>
      </c>
      <c r="R11" s="20">
        <v>321.54</v>
      </c>
      <c r="S11" s="19">
        <v>31.24</v>
      </c>
      <c r="T11" s="21">
        <v>134.35</v>
      </c>
      <c r="U11" s="21">
        <v>88.4</v>
      </c>
      <c r="V11" s="21">
        <v>51.67</v>
      </c>
      <c r="W11" s="21">
        <v>10.24</v>
      </c>
      <c r="X11" s="24">
        <v>505.71</v>
      </c>
      <c r="Y11" s="22">
        <v>25.05</v>
      </c>
      <c r="Z11" s="24">
        <v>30.24</v>
      </c>
      <c r="AA11" s="24">
        <v>40.03</v>
      </c>
      <c r="AB11" s="22">
        <v>0.01</v>
      </c>
      <c r="AC11" s="24">
        <v>17.28</v>
      </c>
      <c r="AD11" s="24">
        <v>30.24</v>
      </c>
      <c r="AE11" s="24">
        <v>8.48</v>
      </c>
      <c r="AF11" s="23">
        <v>3.5102039E7</v>
      </c>
      <c r="AG11" s="23">
        <v>1.7551019E7</v>
      </c>
      <c r="AH11" s="23">
        <v>3510204.0</v>
      </c>
      <c r="AI11" s="23">
        <v>1755102.0</v>
      </c>
      <c r="AJ11" s="23">
        <v>1.2285714E7</v>
      </c>
      <c r="AK11" s="23">
        <v>1.0530612E7</v>
      </c>
      <c r="AL11" s="25">
        <v>61.0</v>
      </c>
      <c r="AM11" s="25">
        <v>8.74</v>
      </c>
      <c r="AN11" s="25">
        <v>28.03</v>
      </c>
      <c r="AO11" s="25">
        <v>8.74</v>
      </c>
      <c r="AP11" s="25">
        <v>28.03</v>
      </c>
      <c r="AQ11" s="23">
        <v>50.0</v>
      </c>
      <c r="AR11" s="23">
        <v>10.0</v>
      </c>
      <c r="AS11" s="23">
        <v>5.0</v>
      </c>
      <c r="AT11" s="23">
        <v>35.0</v>
      </c>
      <c r="AU11" s="23">
        <v>30.0</v>
      </c>
    </row>
    <row r="12">
      <c r="A12" s="15">
        <v>45834.0</v>
      </c>
      <c r="B12" s="15">
        <v>45841.0</v>
      </c>
      <c r="C12" s="16">
        <v>25544.0</v>
      </c>
      <c r="D12" s="16">
        <v>25402.0</v>
      </c>
      <c r="E12" s="27">
        <f>+0.56%</f>
        <v>0.0056</v>
      </c>
      <c r="F12" s="16" t="s">
        <v>70</v>
      </c>
      <c r="G12" s="16" t="s">
        <v>73</v>
      </c>
      <c r="H12" s="18" t="s">
        <v>74</v>
      </c>
      <c r="I12" s="16" t="s">
        <v>49</v>
      </c>
      <c r="J12" s="25">
        <v>10.0</v>
      </c>
      <c r="K12" s="19">
        <v>111.0</v>
      </c>
      <c r="L12" s="19">
        <v>183.0</v>
      </c>
      <c r="M12" s="19">
        <v>129.0</v>
      </c>
      <c r="N12" s="20">
        <v>111.0</v>
      </c>
      <c r="O12" s="19">
        <v>0.0</v>
      </c>
      <c r="P12" s="20">
        <v>110.8</v>
      </c>
      <c r="Q12" s="19">
        <v>-0.18</v>
      </c>
      <c r="R12" s="20">
        <v>108.25</v>
      </c>
      <c r="S12" s="19">
        <v>-2.48</v>
      </c>
      <c r="T12" s="21">
        <v>33.26</v>
      </c>
      <c r="U12" s="21">
        <v>51.41</v>
      </c>
      <c r="V12" s="21">
        <v>42.29</v>
      </c>
      <c r="W12" s="21">
        <v>14.62</v>
      </c>
      <c r="X12" s="24">
        <v>265.43</v>
      </c>
      <c r="Y12" s="22">
        <v>10.09</v>
      </c>
      <c r="Z12" s="24">
        <v>12.2</v>
      </c>
      <c r="AA12" s="24">
        <v>11.93</v>
      </c>
      <c r="AB12" s="24">
        <v>0.67</v>
      </c>
      <c r="AC12" s="24">
        <v>5.11</v>
      </c>
      <c r="AD12" s="24">
        <v>12.19</v>
      </c>
      <c r="AE12" s="24">
        <v>1.13</v>
      </c>
      <c r="AF12" s="23">
        <v>1.2834234E7</v>
      </c>
      <c r="AG12" s="23">
        <v>8738737.0</v>
      </c>
      <c r="AH12" s="23">
        <v>873874.0</v>
      </c>
      <c r="AI12" s="23">
        <v>1747748.0</v>
      </c>
      <c r="AJ12" s="23">
        <v>6117117.0</v>
      </c>
      <c r="AK12" s="23">
        <v>5243242.0</v>
      </c>
      <c r="AL12" s="25">
        <v>135.0</v>
      </c>
      <c r="AM12" s="25">
        <v>5.79</v>
      </c>
      <c r="AN12" s="25">
        <v>19.18</v>
      </c>
      <c r="AO12" s="25">
        <v>4.57</v>
      </c>
      <c r="AP12" s="25">
        <v>24.27</v>
      </c>
      <c r="AQ12" s="23">
        <v>68.09</v>
      </c>
      <c r="AR12" s="23">
        <v>6.81</v>
      </c>
      <c r="AS12" s="23">
        <v>13.62</v>
      </c>
      <c r="AT12" s="23">
        <v>47.66</v>
      </c>
      <c r="AU12" s="23">
        <v>40.85</v>
      </c>
    </row>
    <row r="13">
      <c r="A13" s="15">
        <v>45833.0</v>
      </c>
      <c r="B13" s="15">
        <v>45840.0</v>
      </c>
      <c r="C13" s="16">
        <v>25525.0</v>
      </c>
      <c r="D13" s="16">
        <v>25541.0</v>
      </c>
      <c r="E13" s="16" t="s">
        <v>75</v>
      </c>
      <c r="F13" s="16" t="s">
        <v>70</v>
      </c>
      <c r="G13" s="16" t="s">
        <v>52</v>
      </c>
      <c r="H13" s="18" t="s">
        <v>76</v>
      </c>
      <c r="I13" s="18" t="s">
        <v>77</v>
      </c>
      <c r="J13" s="18">
        <v>10.0</v>
      </c>
      <c r="K13" s="19">
        <v>740.0</v>
      </c>
      <c r="L13" s="19">
        <v>753.0</v>
      </c>
      <c r="M13" s="19">
        <v>815.0</v>
      </c>
      <c r="N13" s="20">
        <v>835.0</v>
      </c>
      <c r="O13" s="19">
        <v>12.84</v>
      </c>
      <c r="P13" s="20">
        <v>840.95</v>
      </c>
      <c r="Q13" s="19">
        <v>13.64</v>
      </c>
      <c r="R13" s="20">
        <v>745.0</v>
      </c>
      <c r="S13" s="19">
        <v>0.68</v>
      </c>
      <c r="T13" s="21">
        <v>58.64</v>
      </c>
      <c r="U13" s="21">
        <v>12.44</v>
      </c>
      <c r="V13" s="21">
        <v>6.79</v>
      </c>
      <c r="W13" s="21">
        <v>1.51</v>
      </c>
      <c r="X13" s="22">
        <v>14936.5</v>
      </c>
      <c r="Y13" s="22">
        <v>58.0</v>
      </c>
      <c r="Z13" s="22">
        <v>14.72</v>
      </c>
      <c r="AA13" s="22">
        <v>9.79</v>
      </c>
      <c r="AB13" s="22">
        <v>5.85</v>
      </c>
      <c r="AC13" s="22">
        <v>13.35</v>
      </c>
      <c r="AD13" s="22">
        <v>14.7</v>
      </c>
      <c r="AE13" s="22">
        <v>3.72</v>
      </c>
      <c r="AF13" s="28">
        <v>1.69E8</v>
      </c>
      <c r="AG13" s="23">
        <v>7.5878377E7</v>
      </c>
      <c r="AH13" s="23">
        <v>1.5175676E7</v>
      </c>
      <c r="AI13" s="23">
        <v>7587838.0</v>
      </c>
      <c r="AJ13" s="23">
        <v>5.3114865E7</v>
      </c>
      <c r="AK13" s="23">
        <v>4.5527026E7</v>
      </c>
      <c r="AL13" s="18">
        <v>20.0</v>
      </c>
      <c r="AM13" s="18">
        <v>27.0</v>
      </c>
      <c r="AN13" s="18">
        <v>27.0</v>
      </c>
      <c r="AO13" s="18">
        <v>26.29</v>
      </c>
      <c r="AP13" s="18">
        <v>28.15</v>
      </c>
      <c r="AQ13" s="23">
        <v>44.92</v>
      </c>
      <c r="AR13" s="23">
        <v>8.98</v>
      </c>
      <c r="AS13" s="23">
        <v>4.49</v>
      </c>
      <c r="AT13" s="23">
        <v>31.44</v>
      </c>
      <c r="AU13" s="23">
        <v>26.95</v>
      </c>
    </row>
    <row r="14">
      <c r="A14" s="15">
        <v>45833.0</v>
      </c>
      <c r="B14" s="15">
        <v>45840.0</v>
      </c>
      <c r="C14" s="16">
        <v>25525.0</v>
      </c>
      <c r="D14" s="16">
        <v>25541.0</v>
      </c>
      <c r="E14" s="16" t="s">
        <v>75</v>
      </c>
      <c r="F14" s="16" t="s">
        <v>70</v>
      </c>
      <c r="G14" s="16" t="s">
        <v>78</v>
      </c>
      <c r="H14" s="18" t="s">
        <v>79</v>
      </c>
      <c r="I14" s="16" t="s">
        <v>49</v>
      </c>
      <c r="J14" s="18">
        <v>10.0</v>
      </c>
      <c r="K14" s="19">
        <v>82.0</v>
      </c>
      <c r="L14" s="19">
        <v>143.0</v>
      </c>
      <c r="M14" s="19">
        <v>96.0</v>
      </c>
      <c r="N14" s="20">
        <v>110.0</v>
      </c>
      <c r="O14" s="19">
        <v>34.15</v>
      </c>
      <c r="P14" s="20">
        <v>97.59</v>
      </c>
      <c r="Q14" s="19">
        <v>19.01</v>
      </c>
      <c r="R14" s="20">
        <v>134.59</v>
      </c>
      <c r="S14" s="19">
        <v>64.13</v>
      </c>
      <c r="T14" s="21">
        <v>66.36</v>
      </c>
      <c r="U14" s="21">
        <v>35.82</v>
      </c>
      <c r="V14" s="21">
        <v>30.01</v>
      </c>
      <c r="W14" s="21">
        <v>8.56</v>
      </c>
      <c r="X14" s="22">
        <v>478.46</v>
      </c>
      <c r="Y14" s="22">
        <v>12.43</v>
      </c>
      <c r="Z14" s="22">
        <v>25.42</v>
      </c>
      <c r="AA14" s="22">
        <v>17.66</v>
      </c>
      <c r="AB14" s="22">
        <v>0.8</v>
      </c>
      <c r="AC14" s="22">
        <v>6.41</v>
      </c>
      <c r="AD14" s="22">
        <v>25.42</v>
      </c>
      <c r="AE14" s="22">
        <v>4.51</v>
      </c>
      <c r="AF14" s="23">
        <v>6.5869291E7</v>
      </c>
      <c r="AG14" s="23">
        <v>3.2774389E7</v>
      </c>
      <c r="AH14" s="23">
        <v>6554878.0</v>
      </c>
      <c r="AI14" s="23">
        <v>3277439.0</v>
      </c>
      <c r="AJ14" s="23">
        <v>2.2942073E7</v>
      </c>
      <c r="AK14" s="23">
        <v>1.9664633E7</v>
      </c>
      <c r="AL14" s="18">
        <v>182.0</v>
      </c>
      <c r="AM14" s="18">
        <v>23.97</v>
      </c>
      <c r="AN14" s="18">
        <v>23.97</v>
      </c>
      <c r="AO14" s="18">
        <v>1.84</v>
      </c>
      <c r="AP14" s="18">
        <v>44.54</v>
      </c>
      <c r="AQ14" s="23">
        <v>49.76</v>
      </c>
      <c r="AR14" s="23">
        <v>9.95</v>
      </c>
      <c r="AS14" s="23">
        <v>4.98</v>
      </c>
      <c r="AT14" s="23">
        <v>34.83</v>
      </c>
      <c r="AU14" s="23">
        <v>29.85</v>
      </c>
    </row>
    <row r="15">
      <c r="A15" s="15">
        <v>45832.0</v>
      </c>
      <c r="B15" s="15">
        <v>45839.0</v>
      </c>
      <c r="C15" s="16">
        <v>25532.0</v>
      </c>
      <c r="D15" s="16">
        <v>25516.0</v>
      </c>
      <c r="E15" s="27">
        <f t="shared" ref="E15:E17" si="2">+0.06%</f>
        <v>0.0006</v>
      </c>
      <c r="F15" s="16" t="s">
        <v>70</v>
      </c>
      <c r="G15" s="16" t="s">
        <v>78</v>
      </c>
      <c r="H15" s="18" t="s">
        <v>80</v>
      </c>
      <c r="I15" s="16" t="s">
        <v>49</v>
      </c>
      <c r="J15" s="18">
        <v>10.0</v>
      </c>
      <c r="K15" s="19">
        <v>71.0</v>
      </c>
      <c r="L15" s="19">
        <v>274.0</v>
      </c>
      <c r="M15" s="19">
        <v>98.0</v>
      </c>
      <c r="N15" s="20">
        <v>90.0</v>
      </c>
      <c r="O15" s="19">
        <v>26.76</v>
      </c>
      <c r="P15" s="20">
        <v>94.72</v>
      </c>
      <c r="Q15" s="19">
        <v>33.41</v>
      </c>
      <c r="R15" s="20">
        <v>84.25</v>
      </c>
      <c r="S15" s="19">
        <v>18.66</v>
      </c>
      <c r="T15" s="21">
        <v>82.13</v>
      </c>
      <c r="U15" s="21">
        <v>136.8</v>
      </c>
      <c r="V15" s="21">
        <v>150.25</v>
      </c>
      <c r="W15" s="21">
        <v>53.67</v>
      </c>
      <c r="X15" s="22">
        <v>99.83</v>
      </c>
      <c r="Y15" s="22">
        <v>13.44</v>
      </c>
      <c r="Z15" s="22">
        <v>21.95</v>
      </c>
      <c r="AA15" s="22">
        <v>23.07</v>
      </c>
      <c r="AB15" s="22">
        <v>1.6</v>
      </c>
      <c r="AC15" s="22">
        <v>4.59</v>
      </c>
      <c r="AD15" s="22">
        <v>19.8</v>
      </c>
      <c r="AE15" s="22">
        <v>3.92</v>
      </c>
      <c r="AF15" s="23">
        <v>1.1732392E7</v>
      </c>
      <c r="AG15" s="23">
        <v>8380280.0</v>
      </c>
      <c r="AH15" s="23">
        <v>1676056.0</v>
      </c>
      <c r="AI15" s="23">
        <v>838028.0</v>
      </c>
      <c r="AJ15" s="23">
        <v>5866196.0</v>
      </c>
      <c r="AK15" s="23">
        <v>5028168.0</v>
      </c>
      <c r="AL15" s="18">
        <v>211.0</v>
      </c>
      <c r="AM15" s="18">
        <v>19.83</v>
      </c>
      <c r="AN15" s="18">
        <v>19.83</v>
      </c>
      <c r="AO15" s="18">
        <v>3.97</v>
      </c>
      <c r="AP15" s="18">
        <v>17.88</v>
      </c>
      <c r="AQ15" s="23">
        <v>71.43</v>
      </c>
      <c r="AR15" s="23">
        <v>14.29</v>
      </c>
      <c r="AS15" s="23">
        <v>7.14</v>
      </c>
      <c r="AT15" s="23">
        <v>50.0</v>
      </c>
      <c r="AU15" s="23">
        <v>42.86</v>
      </c>
    </row>
    <row r="16">
      <c r="A16" s="15">
        <v>45832.0</v>
      </c>
      <c r="B16" s="15">
        <v>45839.0</v>
      </c>
      <c r="C16" s="16">
        <v>25532.0</v>
      </c>
      <c r="D16" s="16">
        <v>25516.0</v>
      </c>
      <c r="E16" s="27">
        <f t="shared" si="2"/>
        <v>0.0006</v>
      </c>
      <c r="F16" s="16" t="s">
        <v>70</v>
      </c>
      <c r="G16" s="16" t="s">
        <v>81</v>
      </c>
      <c r="H16" s="18" t="s">
        <v>82</v>
      </c>
      <c r="I16" s="16" t="s">
        <v>49</v>
      </c>
      <c r="J16" s="18">
        <v>2.0</v>
      </c>
      <c r="K16" s="19">
        <v>400.0</v>
      </c>
      <c r="L16" s="19">
        <v>573.0</v>
      </c>
      <c r="M16" s="19">
        <v>457.0</v>
      </c>
      <c r="N16" s="20">
        <v>486.0</v>
      </c>
      <c r="O16" s="19">
        <v>21.5</v>
      </c>
      <c r="P16" s="20">
        <v>541.2</v>
      </c>
      <c r="Q16" s="19">
        <v>35.3</v>
      </c>
      <c r="R16" s="20">
        <v>566.95</v>
      </c>
      <c r="S16" s="19">
        <v>41.74</v>
      </c>
      <c r="T16" s="21">
        <v>64.23</v>
      </c>
      <c r="U16" s="21">
        <v>17.0</v>
      </c>
      <c r="V16" s="21">
        <v>11.62</v>
      </c>
      <c r="W16" s="21">
        <v>2.14</v>
      </c>
      <c r="X16" s="22">
        <v>333.62</v>
      </c>
      <c r="Y16" s="22">
        <v>35.12</v>
      </c>
      <c r="Z16" s="22">
        <v>16.88</v>
      </c>
      <c r="AA16" s="22">
        <v>13.71</v>
      </c>
      <c r="AB16" s="22">
        <v>0.32</v>
      </c>
      <c r="AC16" s="22">
        <v>23.9</v>
      </c>
      <c r="AD16" s="22">
        <v>24.97</v>
      </c>
      <c r="AE16" s="22">
        <v>20.93</v>
      </c>
      <c r="AF16" s="23">
        <v>1.4919192E7</v>
      </c>
      <c r="AG16" s="23">
        <v>1.0656564E7</v>
      </c>
      <c r="AH16" s="23">
        <v>2131313.0</v>
      </c>
      <c r="AI16" s="23">
        <v>1065657.0</v>
      </c>
      <c r="AJ16" s="23">
        <v>7459596.0</v>
      </c>
      <c r="AK16" s="23">
        <v>6393938.0</v>
      </c>
      <c r="AL16" s="18">
        <v>37.0</v>
      </c>
      <c r="AM16" s="18">
        <v>62.88</v>
      </c>
      <c r="AN16" s="18">
        <v>62.88</v>
      </c>
      <c r="AO16" s="18">
        <v>5.91</v>
      </c>
      <c r="AP16" s="18">
        <v>67.69</v>
      </c>
      <c r="AQ16" s="23">
        <v>71.43</v>
      </c>
      <c r="AR16" s="23">
        <v>14.29</v>
      </c>
      <c r="AS16" s="23">
        <v>7.14</v>
      </c>
      <c r="AT16" s="23">
        <v>50.0</v>
      </c>
      <c r="AU16" s="23">
        <v>42.86</v>
      </c>
    </row>
    <row r="17">
      <c r="A17" s="15">
        <v>45832.0</v>
      </c>
      <c r="B17" s="15">
        <v>45839.0</v>
      </c>
      <c r="C17" s="16">
        <v>25532.0</v>
      </c>
      <c r="D17" s="16">
        <v>25516.0</v>
      </c>
      <c r="E17" s="27">
        <f t="shared" si="2"/>
        <v>0.0006</v>
      </c>
      <c r="F17" s="16" t="s">
        <v>70</v>
      </c>
      <c r="G17" s="16" t="s">
        <v>83</v>
      </c>
      <c r="H17" s="18" t="s">
        <v>84</v>
      </c>
      <c r="I17" s="18" t="s">
        <v>69</v>
      </c>
      <c r="J17" s="18">
        <v>10.0</v>
      </c>
      <c r="K17" s="19">
        <v>414.0</v>
      </c>
      <c r="L17" s="19">
        <v>1.51</v>
      </c>
      <c r="M17" s="19">
        <v>415.5</v>
      </c>
      <c r="N17" s="20">
        <v>414.0</v>
      </c>
      <c r="O17" s="19">
        <v>0.0</v>
      </c>
      <c r="P17" s="20">
        <v>433.8</v>
      </c>
      <c r="Q17" s="19">
        <v>4.78</v>
      </c>
      <c r="R17" s="20">
        <v>407.35</v>
      </c>
      <c r="S17" s="19">
        <v>-1.61</v>
      </c>
      <c r="T17" s="21">
        <v>3.12</v>
      </c>
      <c r="U17" s="21">
        <v>1.48</v>
      </c>
      <c r="V17" s="21">
        <v>0.8</v>
      </c>
      <c r="W17" s="21">
        <v>1.43</v>
      </c>
      <c r="X17" s="22">
        <v>1579.54</v>
      </c>
      <c r="Y17" s="22">
        <v>-4.04</v>
      </c>
      <c r="Z17" s="22">
        <v>9.74</v>
      </c>
      <c r="AA17" s="22">
        <v>15.31</v>
      </c>
      <c r="AB17" s="22">
        <v>0.64</v>
      </c>
      <c r="AC17" s="22">
        <v>2.5</v>
      </c>
      <c r="AD17" s="22">
        <v>-10.15</v>
      </c>
      <c r="AE17" s="22">
        <v>5.62</v>
      </c>
      <c r="AF17" s="23">
        <v>2.1334828E7</v>
      </c>
      <c r="AG17" s="23">
        <v>2.8516306E7</v>
      </c>
      <c r="AH17" s="23">
        <v>3802174.0</v>
      </c>
      <c r="AI17" s="23">
        <v>1901086.0</v>
      </c>
      <c r="AJ17" s="23">
        <v>3802173.0</v>
      </c>
      <c r="AK17" s="23">
        <v>1.7109783E7</v>
      </c>
      <c r="AL17" s="18">
        <v>36.0</v>
      </c>
      <c r="AM17" s="18">
        <v>-59.52</v>
      </c>
      <c r="AN17" s="18">
        <v>-59.52</v>
      </c>
      <c r="AO17" s="18">
        <v>0.36</v>
      </c>
      <c r="AP17" s="18">
        <v>1160.05</v>
      </c>
      <c r="AQ17" s="23">
        <v>133.66</v>
      </c>
      <c r="AR17" s="23">
        <v>17.82</v>
      </c>
      <c r="AS17" s="23">
        <v>8.91</v>
      </c>
      <c r="AT17" s="23">
        <v>17.82</v>
      </c>
      <c r="AU17" s="23">
        <v>80.2</v>
      </c>
    </row>
    <row r="18">
      <c r="A18" s="15">
        <v>45826.0</v>
      </c>
      <c r="B18" s="15">
        <v>45833.0</v>
      </c>
      <c r="C18" s="16">
        <v>25208.0</v>
      </c>
      <c r="D18" s="16">
        <v>25042.0</v>
      </c>
      <c r="E18" s="27">
        <f>+0.66%</f>
        <v>0.0066</v>
      </c>
      <c r="F18" s="16" t="s">
        <v>70</v>
      </c>
      <c r="G18" s="16" t="s">
        <v>78</v>
      </c>
      <c r="H18" s="18" t="s">
        <v>85</v>
      </c>
      <c r="I18" s="16" t="s">
        <v>49</v>
      </c>
      <c r="J18" s="18">
        <v>2.0</v>
      </c>
      <c r="K18" s="19">
        <v>222.0</v>
      </c>
      <c r="L18" s="19">
        <v>1.0</v>
      </c>
      <c r="M18" s="19">
        <v>222.0</v>
      </c>
      <c r="N18" s="20">
        <v>205.0</v>
      </c>
      <c r="O18" s="19">
        <v>-7.66</v>
      </c>
      <c r="P18" s="20">
        <v>174.38</v>
      </c>
      <c r="Q18" s="19">
        <v>-21.45</v>
      </c>
      <c r="R18" s="20">
        <v>137.07</v>
      </c>
      <c r="S18" s="19">
        <v>-38.26</v>
      </c>
      <c r="T18" s="21">
        <v>1.5</v>
      </c>
      <c r="U18" s="21">
        <v>2.98</v>
      </c>
      <c r="V18" s="21">
        <v>3.61</v>
      </c>
      <c r="W18" s="21">
        <v>5.9</v>
      </c>
      <c r="X18" s="22">
        <v>152.09</v>
      </c>
      <c r="Y18" s="22">
        <v>6.52</v>
      </c>
      <c r="Z18" s="22">
        <v>3.18</v>
      </c>
      <c r="AA18" s="22">
        <v>18.8</v>
      </c>
      <c r="AB18" s="22">
        <v>1.45</v>
      </c>
      <c r="AC18" s="22">
        <v>0.27</v>
      </c>
      <c r="AD18" s="22">
        <v>-13.14</v>
      </c>
      <c r="AE18" s="22">
        <v>8.61</v>
      </c>
      <c r="AF18" s="23">
        <v>1.2377378E7</v>
      </c>
      <c r="AG18" s="23">
        <v>1.6878244E7</v>
      </c>
      <c r="AH18" s="23">
        <v>2250432.0</v>
      </c>
      <c r="AI18" s="23">
        <v>1125216.0</v>
      </c>
      <c r="AJ18" s="23">
        <v>2250432.0</v>
      </c>
      <c r="AK18" s="23">
        <v>1.0126946E7</v>
      </c>
      <c r="AL18" s="18">
        <v>67.0</v>
      </c>
      <c r="AM18" s="18">
        <v>-41.89</v>
      </c>
      <c r="AN18" s="18">
        <v>-41.89</v>
      </c>
      <c r="AO18" s="18" t="s">
        <v>86</v>
      </c>
      <c r="AP18" s="18" t="s">
        <v>87</v>
      </c>
      <c r="AQ18" s="23">
        <v>136.36</v>
      </c>
      <c r="AR18" s="23">
        <v>18.18</v>
      </c>
      <c r="AS18" s="23">
        <v>9.09</v>
      </c>
      <c r="AT18" s="23">
        <v>18.18</v>
      </c>
      <c r="AU18" s="23">
        <v>81.82</v>
      </c>
    </row>
    <row r="19">
      <c r="A19" s="15">
        <v>45821.0</v>
      </c>
      <c r="B19" s="15">
        <v>45828.0</v>
      </c>
      <c r="C19" s="16">
        <v>24918.0</v>
      </c>
      <c r="D19" s="16">
        <v>25114.0</v>
      </c>
      <c r="E19" s="16" t="s">
        <v>88</v>
      </c>
      <c r="F19" s="16" t="s">
        <v>54</v>
      </c>
      <c r="G19" s="16" t="s">
        <v>78</v>
      </c>
      <c r="H19" s="18" t="s">
        <v>89</v>
      </c>
      <c r="I19" s="16" t="s">
        <v>49</v>
      </c>
      <c r="J19" s="18">
        <v>1.0</v>
      </c>
      <c r="K19" s="19">
        <v>614.0</v>
      </c>
      <c r="L19" s="19">
        <v>412.0</v>
      </c>
      <c r="M19" s="19">
        <v>655.0</v>
      </c>
      <c r="N19" s="20">
        <v>634.0</v>
      </c>
      <c r="O19" s="19">
        <v>3.26</v>
      </c>
      <c r="P19" s="20">
        <v>625.35</v>
      </c>
      <c r="Q19" s="19">
        <v>1.85</v>
      </c>
      <c r="R19" s="20">
        <v>717.75</v>
      </c>
      <c r="S19" s="19">
        <v>16.9</v>
      </c>
      <c r="T19" s="21">
        <v>88.08</v>
      </c>
      <c r="U19" s="21">
        <v>43.78</v>
      </c>
      <c r="V19" s="21">
        <v>22.53</v>
      </c>
      <c r="W19" s="21">
        <v>3.6</v>
      </c>
      <c r="X19" s="22">
        <v>378.8</v>
      </c>
      <c r="Y19" s="22">
        <v>19.79</v>
      </c>
      <c r="Z19" s="22">
        <v>75.61</v>
      </c>
      <c r="AA19" s="22">
        <v>81.85</v>
      </c>
      <c r="AB19" s="22">
        <v>0.42</v>
      </c>
      <c r="AC19" s="22">
        <v>12.83</v>
      </c>
      <c r="AD19" s="22">
        <v>88.73</v>
      </c>
      <c r="AE19" s="22">
        <v>38.14</v>
      </c>
      <c r="AF19" s="23">
        <v>2.2595114E7</v>
      </c>
      <c r="AG19" s="23">
        <v>1.1297557E7</v>
      </c>
      <c r="AH19" s="23">
        <v>2259511.0</v>
      </c>
      <c r="AI19" s="23">
        <v>1129756.0</v>
      </c>
      <c r="AJ19" s="23">
        <v>7908290.0</v>
      </c>
      <c r="AK19" s="23">
        <v>6778533.0</v>
      </c>
      <c r="AL19" s="18">
        <v>24.0</v>
      </c>
      <c r="AM19" s="18">
        <v>62.54</v>
      </c>
      <c r="AN19" s="18">
        <v>62.54</v>
      </c>
      <c r="AO19" s="18">
        <v>25.35</v>
      </c>
      <c r="AP19" s="18">
        <v>24.22</v>
      </c>
      <c r="AQ19" s="23">
        <v>50.0</v>
      </c>
      <c r="AR19" s="23">
        <v>10.0</v>
      </c>
      <c r="AS19" s="23">
        <v>5.0</v>
      </c>
      <c r="AT19" s="23">
        <v>35.0</v>
      </c>
      <c r="AU19" s="23">
        <v>30.0</v>
      </c>
    </row>
    <row r="20">
      <c r="A20" s="15">
        <v>45805.0</v>
      </c>
      <c r="B20" s="15">
        <v>45812.0</v>
      </c>
      <c r="C20" s="16">
        <v>24578.0</v>
      </c>
      <c r="D20" s="16">
        <v>24545.0</v>
      </c>
      <c r="E20" s="27">
        <f>+0.13%</f>
        <v>0.0013</v>
      </c>
      <c r="F20" s="16" t="s">
        <v>54</v>
      </c>
      <c r="G20" s="16" t="s">
        <v>78</v>
      </c>
      <c r="H20" s="18" t="s">
        <v>90</v>
      </c>
      <c r="I20" s="16" t="s">
        <v>49</v>
      </c>
      <c r="J20" s="18">
        <v>10.0</v>
      </c>
      <c r="K20" s="19">
        <v>140.0</v>
      </c>
      <c r="L20" s="19">
        <v>203.0</v>
      </c>
      <c r="M20" s="19">
        <v>160.0</v>
      </c>
      <c r="N20" s="20">
        <v>140.0</v>
      </c>
      <c r="O20" s="19">
        <v>0.0</v>
      </c>
      <c r="P20" s="20">
        <v>147.0</v>
      </c>
      <c r="Q20" s="19">
        <v>5.0</v>
      </c>
      <c r="R20" s="20">
        <v>189.72</v>
      </c>
      <c r="S20" s="19">
        <v>35.51</v>
      </c>
      <c r="T20" s="21">
        <v>72.97</v>
      </c>
      <c r="U20" s="21">
        <v>135.31</v>
      </c>
      <c r="V20" s="21">
        <v>94.54</v>
      </c>
      <c r="W20" s="21">
        <v>20.89</v>
      </c>
      <c r="X20" s="22">
        <v>143.55</v>
      </c>
      <c r="Y20" s="22">
        <v>14.7</v>
      </c>
      <c r="Z20" s="22">
        <v>28.77</v>
      </c>
      <c r="AA20" s="22">
        <v>15.92</v>
      </c>
      <c r="AB20" s="22">
        <v>1.4</v>
      </c>
      <c r="AC20" s="22">
        <v>4.58</v>
      </c>
      <c r="AD20" s="22">
        <v>28.77</v>
      </c>
      <c r="AE20" s="22">
        <v>8.76</v>
      </c>
      <c r="AF20" s="23">
        <v>1.57142E7</v>
      </c>
      <c r="AG20" s="23">
        <v>7857000.0</v>
      </c>
      <c r="AH20" s="23">
        <v>1571400.0</v>
      </c>
      <c r="AI20" s="23">
        <v>785800.0</v>
      </c>
      <c r="AJ20" s="23">
        <v>5500000.0</v>
      </c>
      <c r="AK20" s="23">
        <v>4714200.0</v>
      </c>
      <c r="AL20" s="18">
        <v>100.0</v>
      </c>
      <c r="AM20" s="18">
        <v>33.81</v>
      </c>
      <c r="AN20" s="18">
        <v>33.81</v>
      </c>
      <c r="AO20" s="18">
        <v>5.54</v>
      </c>
      <c r="AP20" s="18">
        <v>25.25</v>
      </c>
      <c r="AQ20" s="23">
        <v>50.0</v>
      </c>
      <c r="AR20" s="23">
        <v>10.0</v>
      </c>
      <c r="AS20" s="23">
        <v>5.0</v>
      </c>
      <c r="AT20" s="23">
        <v>35.0</v>
      </c>
      <c r="AU20" s="23">
        <v>30.0</v>
      </c>
    </row>
    <row r="21">
      <c r="A21" s="15">
        <v>45804.0</v>
      </c>
      <c r="B21" s="15">
        <v>45811.0</v>
      </c>
      <c r="C21" s="16">
        <v>24661.0</v>
      </c>
      <c r="D21" s="16">
        <v>24717.0</v>
      </c>
      <c r="E21" s="16" t="s">
        <v>91</v>
      </c>
      <c r="F21" s="16" t="s">
        <v>61</v>
      </c>
      <c r="G21" s="16" t="s">
        <v>50</v>
      </c>
      <c r="H21" s="18" t="s">
        <v>92</v>
      </c>
      <c r="I21" s="16" t="s">
        <v>49</v>
      </c>
      <c r="J21" s="18">
        <v>10.0</v>
      </c>
      <c r="K21" s="19">
        <v>105.0</v>
      </c>
      <c r="L21" s="19">
        <v>123.0</v>
      </c>
      <c r="M21" s="19">
        <v>117.0</v>
      </c>
      <c r="N21" s="20">
        <v>120.0</v>
      </c>
      <c r="O21" s="19">
        <v>14.29</v>
      </c>
      <c r="P21" s="20">
        <v>126.25</v>
      </c>
      <c r="Q21" s="19">
        <v>20.24</v>
      </c>
      <c r="R21" s="20">
        <v>239.61</v>
      </c>
      <c r="S21" s="19">
        <v>128.2</v>
      </c>
      <c r="T21" s="21">
        <v>102.67</v>
      </c>
      <c r="U21" s="21">
        <v>249.8</v>
      </c>
      <c r="V21" s="21">
        <v>166.78</v>
      </c>
      <c r="W21" s="21">
        <v>39.48</v>
      </c>
      <c r="X21" s="22">
        <v>107.24</v>
      </c>
      <c r="Y21" s="22">
        <v>14.2</v>
      </c>
      <c r="Z21" s="22">
        <v>31.41</v>
      </c>
      <c r="AA21" s="22">
        <v>32.41</v>
      </c>
      <c r="AB21" s="22">
        <v>0.51</v>
      </c>
      <c r="AC21" s="22">
        <v>8.85</v>
      </c>
      <c r="AD21" s="22">
        <v>32.09</v>
      </c>
      <c r="AE21" s="22">
        <v>5.34</v>
      </c>
      <c r="AF21" s="23">
        <v>1.12E7</v>
      </c>
      <c r="AG21" s="23">
        <v>8000000.0</v>
      </c>
      <c r="AH21" s="23">
        <v>1600000.0</v>
      </c>
      <c r="AI21" s="23">
        <v>800000.0</v>
      </c>
      <c r="AJ21" s="23">
        <v>5600000.0</v>
      </c>
      <c r="AK21" s="23">
        <v>4800000.0</v>
      </c>
      <c r="AL21" s="18">
        <v>142.0</v>
      </c>
      <c r="AM21" s="18">
        <v>19.75</v>
      </c>
      <c r="AN21" s="18">
        <v>19.75</v>
      </c>
      <c r="AO21" s="18">
        <v>5.01</v>
      </c>
      <c r="AP21" s="18">
        <v>20.97</v>
      </c>
      <c r="AQ21" s="23">
        <v>71.43</v>
      </c>
      <c r="AR21" s="23">
        <v>14.29</v>
      </c>
      <c r="AS21" s="23">
        <v>7.14</v>
      </c>
      <c r="AT21" s="23">
        <v>50.0</v>
      </c>
      <c r="AU21" s="23">
        <v>42.86</v>
      </c>
    </row>
    <row r="22">
      <c r="A22" s="15">
        <v>45803.0</v>
      </c>
      <c r="B22" s="15">
        <v>45810.0</v>
      </c>
      <c r="C22" s="16">
        <v>24581.0</v>
      </c>
      <c r="D22" s="16">
        <v>24751.0</v>
      </c>
      <c r="E22" s="16" t="s">
        <v>93</v>
      </c>
      <c r="F22" s="16" t="s">
        <v>54</v>
      </c>
      <c r="G22" s="16" t="s">
        <v>94</v>
      </c>
      <c r="H22" s="18" t="s">
        <v>95</v>
      </c>
      <c r="I22" s="16" t="s">
        <v>49</v>
      </c>
      <c r="J22" s="18">
        <v>10.0</v>
      </c>
      <c r="K22" s="19">
        <v>235.0</v>
      </c>
      <c r="L22" s="19">
        <v>-11.0</v>
      </c>
      <c r="M22" s="19">
        <v>234.0</v>
      </c>
      <c r="N22" s="20">
        <v>220.0</v>
      </c>
      <c r="O22" s="19">
        <v>-6.38</v>
      </c>
      <c r="P22" s="20">
        <v>242.0</v>
      </c>
      <c r="Q22" s="19">
        <v>2.98</v>
      </c>
      <c r="R22" s="20">
        <v>241.87</v>
      </c>
      <c r="S22" s="19">
        <v>2.92</v>
      </c>
      <c r="T22" s="21">
        <v>3.47</v>
      </c>
      <c r="U22" s="21">
        <v>0.6</v>
      </c>
      <c r="V22" s="21">
        <v>0.56</v>
      </c>
      <c r="W22" s="21">
        <v>0.81</v>
      </c>
      <c r="X22" s="22">
        <v>2037.61</v>
      </c>
      <c r="Y22" s="22">
        <v>71.0</v>
      </c>
      <c r="Z22" s="22">
        <v>8.68</v>
      </c>
      <c r="AA22" s="22">
        <v>8.39</v>
      </c>
      <c r="AB22" s="22">
        <v>2.59</v>
      </c>
      <c r="AC22" s="22">
        <v>15.18</v>
      </c>
      <c r="AD22" s="22">
        <v>7.51</v>
      </c>
      <c r="AE22" s="22">
        <v>17.71</v>
      </c>
      <c r="AF22" s="23">
        <v>6.5531915E7</v>
      </c>
      <c r="AG22" s="23">
        <v>3.5744682E7</v>
      </c>
      <c r="AH22" s="23">
        <v>1.1914893E7</v>
      </c>
      <c r="AI22" s="23">
        <v>5957447.0</v>
      </c>
      <c r="AJ22" s="23">
        <v>1.1914893E7</v>
      </c>
      <c r="AK22" s="23">
        <v>5.3617021E7</v>
      </c>
      <c r="AL22" s="18">
        <v>63.0</v>
      </c>
      <c r="AM22" s="18">
        <v>268.51</v>
      </c>
      <c r="AN22" s="18">
        <v>268.51</v>
      </c>
      <c r="AO22" s="18">
        <v>1.03</v>
      </c>
      <c r="AP22" s="18">
        <v>227.36</v>
      </c>
      <c r="AQ22" s="23">
        <v>136.36</v>
      </c>
      <c r="AR22" s="23">
        <v>18.18</v>
      </c>
      <c r="AS22" s="23">
        <v>9.09</v>
      </c>
      <c r="AT22" s="23">
        <v>18.18</v>
      </c>
      <c r="AU22" s="23">
        <v>81.82</v>
      </c>
    </row>
    <row r="23">
      <c r="A23" s="15">
        <v>45803.0</v>
      </c>
      <c r="B23" s="15">
        <v>45810.0</v>
      </c>
      <c r="C23" s="16">
        <v>24581.0</v>
      </c>
      <c r="D23" s="16">
        <v>24751.0</v>
      </c>
      <c r="E23" s="16" t="s">
        <v>93</v>
      </c>
      <c r="F23" s="16" t="s">
        <v>54</v>
      </c>
      <c r="G23" s="16" t="s">
        <v>55</v>
      </c>
      <c r="H23" s="18" t="s">
        <v>96</v>
      </c>
      <c r="I23" s="16" t="s">
        <v>49</v>
      </c>
      <c r="J23" s="18">
        <v>10.0</v>
      </c>
      <c r="K23" s="19">
        <v>435.0</v>
      </c>
      <c r="L23" s="19">
        <v>21.0</v>
      </c>
      <c r="M23" s="19">
        <v>437.0</v>
      </c>
      <c r="N23" s="20">
        <v>406.0</v>
      </c>
      <c r="O23" s="19">
        <v>-6.67</v>
      </c>
      <c r="P23" s="20">
        <v>435.55</v>
      </c>
      <c r="Q23" s="19">
        <v>0.13</v>
      </c>
      <c r="R23" s="20">
        <v>418.4</v>
      </c>
      <c r="S23" s="19">
        <v>-3.82</v>
      </c>
      <c r="T23" s="21">
        <v>7.82</v>
      </c>
      <c r="U23" s="21">
        <v>1.21</v>
      </c>
      <c r="V23" s="21">
        <v>0.82</v>
      </c>
      <c r="W23" s="21">
        <v>0.87</v>
      </c>
      <c r="X23" s="22">
        <v>3604.99</v>
      </c>
      <c r="Y23" s="22">
        <v>49.78</v>
      </c>
      <c r="Z23" s="22">
        <v>1.3</v>
      </c>
      <c r="AA23" s="22">
        <v>7.5</v>
      </c>
      <c r="AB23" s="22">
        <v>1.1</v>
      </c>
      <c r="AC23" s="22">
        <v>3.7</v>
      </c>
      <c r="AD23" s="22">
        <v>1.32</v>
      </c>
      <c r="AE23" s="22">
        <v>2.92</v>
      </c>
      <c r="AF23" s="23">
        <v>4.4252873E7</v>
      </c>
      <c r="AG23" s="23">
        <v>6.0344828E7</v>
      </c>
      <c r="AH23" s="23">
        <v>8045976.0</v>
      </c>
      <c r="AI23" s="23">
        <v>4022989.0</v>
      </c>
      <c r="AJ23" s="23">
        <v>8045976.0</v>
      </c>
      <c r="AK23" s="23">
        <v>3.6206896E7</v>
      </c>
      <c r="AL23" s="18">
        <v>34.0</v>
      </c>
      <c r="AM23" s="18">
        <v>160.63</v>
      </c>
      <c r="AN23" s="18">
        <v>160.63</v>
      </c>
      <c r="AO23" s="18">
        <v>2.04</v>
      </c>
      <c r="AP23" s="18">
        <v>213.09</v>
      </c>
      <c r="AQ23" s="23">
        <v>136.36</v>
      </c>
      <c r="AR23" s="23">
        <v>18.18</v>
      </c>
      <c r="AS23" s="23">
        <v>9.09</v>
      </c>
      <c r="AT23" s="23">
        <v>18.18</v>
      </c>
      <c r="AU23" s="23">
        <v>81.82</v>
      </c>
    </row>
    <row r="24">
      <c r="A24" s="15">
        <v>45798.0</v>
      </c>
      <c r="B24" s="15">
        <v>45805.0</v>
      </c>
      <c r="C24" s="16">
        <v>24761.0</v>
      </c>
      <c r="D24" s="16">
        <v>24824.0</v>
      </c>
      <c r="E24" s="16" t="s">
        <v>97</v>
      </c>
      <c r="F24" s="16" t="s">
        <v>61</v>
      </c>
      <c r="G24" s="16" t="s">
        <v>98</v>
      </c>
      <c r="H24" s="18" t="s">
        <v>99</v>
      </c>
      <c r="I24" s="16" t="s">
        <v>49</v>
      </c>
      <c r="J24" s="18">
        <v>5.0</v>
      </c>
      <c r="K24" s="19">
        <v>90.0</v>
      </c>
      <c r="L24" s="19">
        <v>214.0</v>
      </c>
      <c r="M24" s="19">
        <v>111.0</v>
      </c>
      <c r="N24" s="20">
        <v>100.0</v>
      </c>
      <c r="O24" s="19">
        <v>11.11</v>
      </c>
      <c r="P24" s="20">
        <v>97.41</v>
      </c>
      <c r="Q24" s="19">
        <v>8.23</v>
      </c>
      <c r="R24" s="20">
        <v>131.79</v>
      </c>
      <c r="S24" s="19">
        <v>46.43</v>
      </c>
      <c r="T24" s="21">
        <v>112.63</v>
      </c>
      <c r="U24" s="21">
        <v>48.0</v>
      </c>
      <c r="V24" s="21">
        <v>25.76</v>
      </c>
      <c r="W24" s="21">
        <v>4.52</v>
      </c>
      <c r="X24" s="22">
        <v>2331.92</v>
      </c>
      <c r="Y24" s="29">
        <v>13.68</v>
      </c>
      <c r="Z24" s="22">
        <v>14.08</v>
      </c>
      <c r="AA24" s="22">
        <v>14.83</v>
      </c>
      <c r="AB24" s="22">
        <v>0.97</v>
      </c>
      <c r="AC24" s="22">
        <v>4.36</v>
      </c>
      <c r="AD24" s="22">
        <v>13.33</v>
      </c>
      <c r="AE24" s="22">
        <v>2.5</v>
      </c>
      <c r="AF24" s="28">
        <v>1.67E8</v>
      </c>
      <c r="AG24" s="28">
        <v>1.19E8</v>
      </c>
      <c r="AH24" s="23">
        <v>2.3888889E7</v>
      </c>
      <c r="AI24" s="23">
        <v>1.1944445E7</v>
      </c>
      <c r="AJ24" s="23">
        <v>8.3611111E7</v>
      </c>
      <c r="AK24" s="23">
        <v>7.1666665E7</v>
      </c>
      <c r="AL24" s="18">
        <v>166.0</v>
      </c>
      <c r="AM24" s="18">
        <v>16.61</v>
      </c>
      <c r="AN24" s="18">
        <v>16.61</v>
      </c>
      <c r="AO24" s="18">
        <v>3.68</v>
      </c>
      <c r="AP24" s="18">
        <v>24.47</v>
      </c>
      <c r="AQ24" s="23">
        <v>71.43</v>
      </c>
      <c r="AR24" s="23">
        <v>14.29</v>
      </c>
      <c r="AS24" s="23">
        <v>7.14</v>
      </c>
      <c r="AT24" s="23">
        <v>50.0</v>
      </c>
      <c r="AU24" s="23">
        <v>42.86</v>
      </c>
    </row>
    <row r="25">
      <c r="A25" s="15">
        <v>45797.0</v>
      </c>
      <c r="B25" s="15">
        <v>45804.0</v>
      </c>
      <c r="C25" s="16">
        <v>24777.0</v>
      </c>
      <c r="D25" s="16">
        <v>25001.0</v>
      </c>
      <c r="E25" s="16" t="s">
        <v>100</v>
      </c>
      <c r="F25" s="16" t="s">
        <v>54</v>
      </c>
      <c r="G25" s="16" t="s">
        <v>47</v>
      </c>
      <c r="H25" s="18" t="s">
        <v>101</v>
      </c>
      <c r="I25" s="16" t="s">
        <v>49</v>
      </c>
      <c r="J25" s="18">
        <v>10.0</v>
      </c>
      <c r="K25" s="19">
        <v>216.0</v>
      </c>
      <c r="L25" s="19">
        <v>433.0</v>
      </c>
      <c r="M25" s="19">
        <v>259.0</v>
      </c>
      <c r="N25" s="20">
        <v>243.0</v>
      </c>
      <c r="O25" s="19">
        <v>12.5</v>
      </c>
      <c r="P25" s="20">
        <v>255.15</v>
      </c>
      <c r="Q25" s="19">
        <v>18.13</v>
      </c>
      <c r="R25" s="20">
        <v>225.44</v>
      </c>
      <c r="S25" s="19">
        <v>4.37</v>
      </c>
      <c r="T25" s="21">
        <v>85.53</v>
      </c>
      <c r="U25" s="21">
        <v>239.74</v>
      </c>
      <c r="V25" s="21">
        <v>232.75</v>
      </c>
      <c r="W25" s="21">
        <v>200.5</v>
      </c>
      <c r="X25" s="22">
        <v>76.55</v>
      </c>
      <c r="Y25" s="29">
        <v>20.0</v>
      </c>
      <c r="Z25" s="22">
        <v>49.45</v>
      </c>
      <c r="AA25" s="22">
        <v>27.42</v>
      </c>
      <c r="AB25" s="22">
        <v>1.48</v>
      </c>
      <c r="AC25" s="22">
        <v>11.85</v>
      </c>
      <c r="AD25" s="22">
        <v>49.77</v>
      </c>
      <c r="AE25" s="22">
        <v>9.09</v>
      </c>
      <c r="AF25" s="23">
        <v>3689457.0</v>
      </c>
      <c r="AG25" s="23">
        <v>5031000.0</v>
      </c>
      <c r="AH25" s="23">
        <v>670800.0</v>
      </c>
      <c r="AI25" s="23">
        <v>335400.0</v>
      </c>
      <c r="AJ25" s="23">
        <v>670800.0</v>
      </c>
      <c r="AK25" s="23">
        <v>3018543.0</v>
      </c>
      <c r="AL25" s="18">
        <v>69.0</v>
      </c>
      <c r="AM25" s="18">
        <v>18.26</v>
      </c>
      <c r="AN25" s="18">
        <v>18.26</v>
      </c>
      <c r="AO25" s="18">
        <v>14.66</v>
      </c>
      <c r="AP25" s="18">
        <v>14.73</v>
      </c>
      <c r="AQ25" s="23">
        <v>136.36</v>
      </c>
      <c r="AR25" s="23">
        <v>18.18</v>
      </c>
      <c r="AS25" s="23">
        <v>9.09</v>
      </c>
      <c r="AT25" s="23">
        <v>18.18</v>
      </c>
      <c r="AU25" s="23">
        <v>81.82</v>
      </c>
    </row>
    <row r="26">
      <c r="A26" s="15">
        <v>45775.0</v>
      </c>
      <c r="B26" s="15">
        <v>45783.0</v>
      </c>
      <c r="C26" s="16">
        <v>24389.0</v>
      </c>
      <c r="D26" s="16">
        <v>24466.0</v>
      </c>
      <c r="E26" s="16" t="s">
        <v>102</v>
      </c>
      <c r="F26" s="16" t="s">
        <v>54</v>
      </c>
      <c r="G26" s="16" t="s">
        <v>98</v>
      </c>
      <c r="H26" s="18" t="s">
        <v>103</v>
      </c>
      <c r="I26" s="16" t="s">
        <v>69</v>
      </c>
      <c r="J26" s="18">
        <v>1.0</v>
      </c>
      <c r="K26" s="19">
        <v>321.0</v>
      </c>
      <c r="L26" s="19">
        <v>121.0</v>
      </c>
      <c r="M26" s="19">
        <v>333.0</v>
      </c>
      <c r="N26" s="20">
        <v>328.0</v>
      </c>
      <c r="O26" s="19">
        <v>2.18</v>
      </c>
      <c r="P26" s="20">
        <v>302.5</v>
      </c>
      <c r="Q26" s="19">
        <v>-5.76</v>
      </c>
      <c r="R26" s="20">
        <v>344.75</v>
      </c>
      <c r="S26" s="19">
        <v>7.4</v>
      </c>
      <c r="T26" s="21">
        <v>1.76</v>
      </c>
      <c r="U26" s="21">
        <v>0.74</v>
      </c>
      <c r="V26" s="21">
        <v>0.6</v>
      </c>
      <c r="W26" s="21">
        <v>1.89</v>
      </c>
      <c r="X26" s="22">
        <v>108.0</v>
      </c>
      <c r="Y26" s="29">
        <v>-26.0</v>
      </c>
      <c r="Z26" s="22">
        <v>-156.0</v>
      </c>
      <c r="AA26" s="22">
        <v>-75.0</v>
      </c>
      <c r="AB26" s="22">
        <v>1.3</v>
      </c>
      <c r="AC26" s="22">
        <v>-37.0</v>
      </c>
      <c r="AD26" s="22">
        <v>-194.0</v>
      </c>
      <c r="AE26" s="22">
        <v>4.01</v>
      </c>
      <c r="AF26" s="23">
        <v>9.2867927E7</v>
      </c>
      <c r="AG26" s="23">
        <v>6.957596E7</v>
      </c>
      <c r="AH26" s="23">
        <v>9276794.0</v>
      </c>
      <c r="AI26" s="23">
        <v>4638379.0</v>
      </c>
      <c r="AJ26" s="23">
        <v>9276794.0</v>
      </c>
      <c r="AK26" s="23">
        <v>4.1745576E7</v>
      </c>
      <c r="AL26" s="18">
        <v>46.0</v>
      </c>
      <c r="AM26" s="18">
        <v>-47.0</v>
      </c>
      <c r="AN26" s="18">
        <v>-8.8</v>
      </c>
      <c r="AO26" s="18">
        <v>-32.0</v>
      </c>
      <c r="AP26" s="18">
        <v>-15.52</v>
      </c>
      <c r="AQ26" s="23">
        <v>74.92</v>
      </c>
      <c r="AR26" s="23">
        <v>9.99</v>
      </c>
      <c r="AS26" s="23">
        <v>4.99</v>
      </c>
      <c r="AT26" s="23">
        <v>9.99</v>
      </c>
      <c r="AU26" s="23">
        <v>44.95</v>
      </c>
    </row>
    <row r="27">
      <c r="A27" s="15">
        <v>45702.0</v>
      </c>
      <c r="B27" s="15">
        <v>45712.0</v>
      </c>
      <c r="C27" s="16">
        <v>22594.0</v>
      </c>
      <c r="D27" s="16">
        <v>22800.0</v>
      </c>
      <c r="E27" s="16" t="s">
        <v>100</v>
      </c>
      <c r="F27" s="16" t="s">
        <v>54</v>
      </c>
      <c r="G27" s="16" t="s">
        <v>78</v>
      </c>
      <c r="H27" s="18" t="s">
        <v>104</v>
      </c>
      <c r="I27" s="16" t="s">
        <v>49</v>
      </c>
      <c r="J27" s="18">
        <v>10.0</v>
      </c>
      <c r="K27" s="19">
        <v>425.0</v>
      </c>
      <c r="L27" s="19">
        <v>51.0</v>
      </c>
      <c r="M27" s="19">
        <v>430.0</v>
      </c>
      <c r="N27" s="20">
        <v>430.0</v>
      </c>
      <c r="O27" s="19">
        <v>1.18</v>
      </c>
      <c r="P27" s="20">
        <v>387.9</v>
      </c>
      <c r="Q27" s="19">
        <v>-8.73</v>
      </c>
      <c r="R27" s="20">
        <v>789.55</v>
      </c>
      <c r="S27" s="19">
        <v>85.78</v>
      </c>
      <c r="T27" s="21">
        <v>1.03</v>
      </c>
      <c r="U27" s="21">
        <v>1.78</v>
      </c>
      <c r="V27" s="21">
        <v>0.79</v>
      </c>
      <c r="W27" s="21">
        <v>1.82</v>
      </c>
      <c r="X27" s="22">
        <v>238.63</v>
      </c>
      <c r="Y27" s="29">
        <v>35.5</v>
      </c>
      <c r="Z27" s="22">
        <v>15.6</v>
      </c>
      <c r="AA27" s="22">
        <v>19.2</v>
      </c>
      <c r="AB27" s="22">
        <v>0.2</v>
      </c>
      <c r="AC27" s="22">
        <v>16.74</v>
      </c>
      <c r="AD27" s="22">
        <v>29.15</v>
      </c>
      <c r="AE27" s="22">
        <v>16.11</v>
      </c>
      <c r="AF27" s="23">
        <v>2.02046E7</v>
      </c>
      <c r="AG27" s="23">
        <v>1.515345E7</v>
      </c>
      <c r="AH27" s="23">
        <v>2020460.0</v>
      </c>
      <c r="AI27" s="23">
        <v>1010230.0</v>
      </c>
      <c r="AJ27" s="23">
        <v>2020460.0</v>
      </c>
      <c r="AK27" s="23">
        <v>9092070.0</v>
      </c>
      <c r="AL27" s="18">
        <v>26.0</v>
      </c>
      <c r="AM27" s="18">
        <v>55.28</v>
      </c>
      <c r="AN27" s="18">
        <v>55.28</v>
      </c>
      <c r="AO27" s="18">
        <v>12.93</v>
      </c>
      <c r="AP27" s="18">
        <v>32.86</v>
      </c>
      <c r="AQ27" s="23">
        <v>75.0</v>
      </c>
      <c r="AR27" s="23">
        <v>10.0</v>
      </c>
      <c r="AS27" s="23">
        <v>5.0</v>
      </c>
      <c r="AT27" s="23">
        <v>10.0</v>
      </c>
      <c r="AU27" s="23">
        <v>45.0</v>
      </c>
    </row>
    <row r="28">
      <c r="A28" s="15">
        <v>45700.0</v>
      </c>
      <c r="B28" s="15">
        <v>45707.0</v>
      </c>
      <c r="C28" s="16">
        <v>22983.0</v>
      </c>
      <c r="D28" s="16">
        <v>22945.0</v>
      </c>
      <c r="E28" s="27">
        <f>+0.17%</f>
        <v>0.0017</v>
      </c>
      <c r="F28" s="16" t="s">
        <v>70</v>
      </c>
      <c r="G28" s="16" t="s">
        <v>50</v>
      </c>
      <c r="H28" s="18" t="s">
        <v>105</v>
      </c>
      <c r="I28" s="16" t="s">
        <v>77</v>
      </c>
      <c r="J28" s="18">
        <v>1.0</v>
      </c>
      <c r="K28" s="19">
        <v>708.0</v>
      </c>
      <c r="L28" s="19">
        <v>1.0</v>
      </c>
      <c r="M28" s="19">
        <v>708.0</v>
      </c>
      <c r="N28" s="20">
        <v>745.5</v>
      </c>
      <c r="O28" s="19">
        <v>5.3</v>
      </c>
      <c r="P28" s="20">
        <v>763.85</v>
      </c>
      <c r="Q28" s="19">
        <v>7.89</v>
      </c>
      <c r="R28" s="20">
        <v>719.25</v>
      </c>
      <c r="S28" s="19">
        <v>1.59</v>
      </c>
      <c r="T28" s="21">
        <v>9.55</v>
      </c>
      <c r="U28" s="21">
        <v>0.24</v>
      </c>
      <c r="V28" s="21">
        <v>0.16</v>
      </c>
      <c r="W28" s="21">
        <v>0.11</v>
      </c>
      <c r="X28" s="22">
        <v>42309.0</v>
      </c>
      <c r="Y28" s="29">
        <v>15.3</v>
      </c>
      <c r="Z28" s="22">
        <v>23.6</v>
      </c>
      <c r="AA28" s="22">
        <v>24.4</v>
      </c>
      <c r="AB28" s="22">
        <v>0.1</v>
      </c>
      <c r="AC28" s="22">
        <v>9.6</v>
      </c>
      <c r="AD28" s="22">
        <v>23.6</v>
      </c>
      <c r="AE28" s="22">
        <v>10.15</v>
      </c>
      <c r="AF28" s="23">
        <v>8.7025526E7</v>
      </c>
      <c r="AG28" s="23">
        <v>6.1158191E7</v>
      </c>
      <c r="AH28" s="23">
        <v>1.2231639E7</v>
      </c>
      <c r="AI28" s="23">
        <v>6115819.0</v>
      </c>
      <c r="AJ28" s="23">
        <v>4.2810735E7</v>
      </c>
      <c r="AK28" s="23">
        <v>3.6694914E7</v>
      </c>
      <c r="AL28" s="18">
        <v>21.0</v>
      </c>
      <c r="AM28" s="18">
        <v>16.41</v>
      </c>
      <c r="AN28" s="18">
        <v>37.0</v>
      </c>
      <c r="AO28" s="18">
        <v>16.41</v>
      </c>
      <c r="AP28" s="18">
        <v>41.1</v>
      </c>
      <c r="AQ28" s="23">
        <v>70.28</v>
      </c>
      <c r="AR28" s="23">
        <v>14.06</v>
      </c>
      <c r="AS28" s="23">
        <v>7.03</v>
      </c>
      <c r="AT28" s="23">
        <v>49.19</v>
      </c>
      <c r="AU28" s="23">
        <v>42.17</v>
      </c>
    </row>
    <row r="29">
      <c r="A29" s="15">
        <v>45698.0</v>
      </c>
      <c r="B29" s="15">
        <v>45705.0</v>
      </c>
      <c r="C29" s="16">
        <v>22759.0</v>
      </c>
      <c r="D29" s="16">
        <v>22959.0</v>
      </c>
      <c r="E29" s="16" t="s">
        <v>106</v>
      </c>
      <c r="F29" s="16" t="s">
        <v>54</v>
      </c>
      <c r="G29" s="16" t="s">
        <v>78</v>
      </c>
      <c r="H29" s="18" t="s">
        <v>107</v>
      </c>
      <c r="I29" s="18" t="s">
        <v>69</v>
      </c>
      <c r="J29" s="18">
        <v>1.0</v>
      </c>
      <c r="K29" s="19">
        <v>629.0</v>
      </c>
      <c r="L29" s="19">
        <v>-31.0</v>
      </c>
      <c r="M29" s="19">
        <v>626.0</v>
      </c>
      <c r="N29" s="20">
        <v>576.0</v>
      </c>
      <c r="O29" s="19">
        <v>-8.43</v>
      </c>
      <c r="P29" s="20">
        <v>595.6</v>
      </c>
      <c r="Q29" s="19">
        <v>-5.31</v>
      </c>
      <c r="R29" s="20">
        <v>673.05</v>
      </c>
      <c r="S29" s="19">
        <v>7.0</v>
      </c>
      <c r="T29" s="21">
        <v>13.04</v>
      </c>
      <c r="U29" s="21">
        <v>7.67</v>
      </c>
      <c r="V29" s="21">
        <v>3.58</v>
      </c>
      <c r="W29" s="21">
        <v>1.94</v>
      </c>
      <c r="X29" s="22">
        <v>995.84</v>
      </c>
      <c r="Y29" s="29">
        <v>15.3</v>
      </c>
      <c r="Z29" s="22">
        <v>24.53</v>
      </c>
      <c r="AA29" s="22">
        <v>32.82</v>
      </c>
      <c r="AB29" s="22">
        <v>0.01</v>
      </c>
      <c r="AC29" s="22">
        <v>12.65</v>
      </c>
      <c r="AD29" s="22">
        <v>19.39</v>
      </c>
      <c r="AE29" s="22">
        <v>7.84</v>
      </c>
      <c r="AF29" s="23">
        <v>1.4149997E7</v>
      </c>
      <c r="AG29" s="23">
        <v>1.0050749E7</v>
      </c>
      <c r="AH29" s="23">
        <v>2010150.0</v>
      </c>
      <c r="AI29" s="23">
        <v>1005075.0</v>
      </c>
      <c r="AJ29" s="23">
        <v>7035525.0</v>
      </c>
      <c r="AK29" s="23">
        <v>6030449.0</v>
      </c>
      <c r="AL29" s="18">
        <v>23.0</v>
      </c>
      <c r="AM29" s="18">
        <v>31.96</v>
      </c>
      <c r="AN29" s="18">
        <v>31.96</v>
      </c>
      <c r="AO29" s="18">
        <v>17.66</v>
      </c>
      <c r="AP29" s="18">
        <v>35.62</v>
      </c>
      <c r="AQ29" s="23">
        <v>71.03</v>
      </c>
      <c r="AR29" s="23">
        <v>14.21</v>
      </c>
      <c r="AS29" s="23">
        <v>7.1</v>
      </c>
      <c r="AT29" s="23">
        <v>49.72</v>
      </c>
      <c r="AU29" s="23">
        <v>42.62</v>
      </c>
    </row>
    <row r="30">
      <c r="A30" s="15">
        <v>45686.0</v>
      </c>
      <c r="B30" s="15">
        <v>45692.0</v>
      </c>
      <c r="C30" s="16">
        <v>23511.0</v>
      </c>
      <c r="D30" s="16">
        <v>23361.0</v>
      </c>
      <c r="E30" s="27">
        <f>+0.64%</f>
        <v>0.0064</v>
      </c>
      <c r="F30" s="16" t="s">
        <v>70</v>
      </c>
      <c r="G30" s="16" t="s">
        <v>62</v>
      </c>
      <c r="H30" s="18" t="s">
        <v>108</v>
      </c>
      <c r="I30" s="18" t="s">
        <v>69</v>
      </c>
      <c r="J30" s="18">
        <v>1.0</v>
      </c>
      <c r="K30" s="19">
        <v>402.0</v>
      </c>
      <c r="L30" s="19">
        <v>-41.0</v>
      </c>
      <c r="M30" s="19">
        <v>398.0</v>
      </c>
      <c r="N30" s="20">
        <v>402.0</v>
      </c>
      <c r="O30" s="19">
        <v>0.0</v>
      </c>
      <c r="P30" s="20">
        <v>401.65</v>
      </c>
      <c r="Q30" s="19">
        <v>-0.09</v>
      </c>
      <c r="R30" s="20">
        <v>445.25</v>
      </c>
      <c r="S30" s="19">
        <v>10.76</v>
      </c>
      <c r="T30" s="21">
        <v>4.41</v>
      </c>
      <c r="U30" s="21">
        <v>0.29</v>
      </c>
      <c r="V30" s="21">
        <v>0.54</v>
      </c>
      <c r="W30" s="21">
        <v>0.42</v>
      </c>
      <c r="X30" s="22">
        <v>1502.67</v>
      </c>
      <c r="Y30" s="29">
        <v>29.19</v>
      </c>
      <c r="Z30" s="22">
        <v>9.33</v>
      </c>
      <c r="AA30" s="22">
        <v>14.61</v>
      </c>
      <c r="AB30" s="22">
        <v>0.5</v>
      </c>
      <c r="AC30" s="22">
        <v>6.9</v>
      </c>
      <c r="AD30" s="22">
        <v>6.21</v>
      </c>
      <c r="AE30" s="22">
        <v>7.96</v>
      </c>
      <c r="AF30" s="23">
        <v>7.530497E7</v>
      </c>
      <c r="AG30" s="23">
        <v>3.6297998E7</v>
      </c>
      <c r="AH30" s="23">
        <v>7259600.0</v>
      </c>
      <c r="AI30" s="23">
        <v>3629800.0</v>
      </c>
      <c r="AJ30" s="23">
        <v>2.5408599E7</v>
      </c>
      <c r="AK30" s="23">
        <v>2.1778798E7</v>
      </c>
      <c r="AL30" s="18">
        <v>35.0</v>
      </c>
      <c r="AM30" s="18">
        <v>130.44</v>
      </c>
      <c r="AN30" s="18">
        <v>130.44</v>
      </c>
      <c r="AO30" s="18">
        <v>2.51</v>
      </c>
      <c r="AP30" s="18">
        <v>160.48</v>
      </c>
      <c r="AQ30" s="23">
        <v>48.2</v>
      </c>
      <c r="AR30" s="23">
        <v>9.64</v>
      </c>
      <c r="AS30" s="23">
        <v>4.82</v>
      </c>
      <c r="AT30" s="23">
        <v>33.74</v>
      </c>
      <c r="AU30" s="23">
        <v>28.92</v>
      </c>
    </row>
    <row r="31">
      <c r="A31" s="15">
        <v>45679.0</v>
      </c>
      <c r="B31" s="15">
        <v>45686.0</v>
      </c>
      <c r="C31" s="16">
        <v>23070.0</v>
      </c>
      <c r="D31" s="16">
        <v>22957.0</v>
      </c>
      <c r="E31" s="27">
        <f>+0.49%</f>
        <v>0.0049</v>
      </c>
      <c r="F31" s="16" t="s">
        <v>61</v>
      </c>
      <c r="G31" s="16" t="s">
        <v>78</v>
      </c>
      <c r="H31" s="18" t="s">
        <v>109</v>
      </c>
      <c r="I31" s="16" t="s">
        <v>49</v>
      </c>
      <c r="J31" s="18">
        <v>10.0</v>
      </c>
      <c r="K31" s="19">
        <v>294.0</v>
      </c>
      <c r="L31" s="19">
        <v>734.0</v>
      </c>
      <c r="M31" s="19">
        <v>367.0</v>
      </c>
      <c r="N31" s="20">
        <v>325.0</v>
      </c>
      <c r="O31" s="19">
        <v>10.54</v>
      </c>
      <c r="P31" s="20">
        <v>346.45</v>
      </c>
      <c r="Q31" s="19">
        <v>17.84</v>
      </c>
      <c r="R31" s="20">
        <v>320.95</v>
      </c>
      <c r="S31" s="19">
        <v>9.17</v>
      </c>
      <c r="T31" s="21">
        <v>236.94</v>
      </c>
      <c r="U31" s="21">
        <v>556.49</v>
      </c>
      <c r="V31" s="21">
        <v>408.23</v>
      </c>
      <c r="W31" s="21">
        <v>90.38</v>
      </c>
      <c r="X31" s="22">
        <v>188.46</v>
      </c>
      <c r="Y31" s="29">
        <v>33.17</v>
      </c>
      <c r="Z31" s="22">
        <v>36.36</v>
      </c>
      <c r="AA31" s="22">
        <v>76.99</v>
      </c>
      <c r="AB31" s="22">
        <v>0.01</v>
      </c>
      <c r="AC31" s="22">
        <v>25.03</v>
      </c>
      <c r="AD31" s="22">
        <v>36.36</v>
      </c>
      <c r="AE31" s="22">
        <v>5.01</v>
      </c>
      <c r="AF31" s="23">
        <v>5250000.0</v>
      </c>
      <c r="AG31" s="23">
        <v>3750000.0</v>
      </c>
      <c r="AH31" s="23">
        <v>750000.0</v>
      </c>
      <c r="AI31" s="23">
        <v>375000.0</v>
      </c>
      <c r="AJ31" s="23">
        <v>2625000.0</v>
      </c>
      <c r="AK31" s="23">
        <v>2250000.0</v>
      </c>
      <c r="AL31" s="18">
        <v>50.0</v>
      </c>
      <c r="AM31" s="18">
        <v>9.45</v>
      </c>
      <c r="AN31" s="18">
        <v>9.45</v>
      </c>
      <c r="AO31" s="18">
        <v>18.13</v>
      </c>
      <c r="AP31" s="18">
        <v>16.22</v>
      </c>
      <c r="AQ31" s="23">
        <v>71.43</v>
      </c>
      <c r="AR31" s="23">
        <v>14.29</v>
      </c>
      <c r="AS31" s="23">
        <v>7.14</v>
      </c>
      <c r="AT31" s="23">
        <v>50.0</v>
      </c>
      <c r="AU31" s="23">
        <v>42.86</v>
      </c>
    </row>
    <row r="32">
      <c r="A32" s="15">
        <v>45673.0</v>
      </c>
      <c r="B32" s="15">
        <v>45680.0</v>
      </c>
      <c r="C32" s="16">
        <v>23215.0</v>
      </c>
      <c r="D32" s="16">
        <v>23156.0</v>
      </c>
      <c r="E32" s="27">
        <f>+0.25%</f>
        <v>0.0025</v>
      </c>
      <c r="F32" s="16" t="s">
        <v>61</v>
      </c>
      <c r="G32" s="16" t="s">
        <v>81</v>
      </c>
      <c r="H32" s="18" t="s">
        <v>110</v>
      </c>
      <c r="I32" s="16" t="s">
        <v>49</v>
      </c>
      <c r="J32" s="18">
        <v>10.0</v>
      </c>
      <c r="K32" s="19">
        <v>90.0</v>
      </c>
      <c r="L32" s="19">
        <v>354.0</v>
      </c>
      <c r="M32" s="19">
        <v>125.0</v>
      </c>
      <c r="N32" s="20">
        <v>120.0</v>
      </c>
      <c r="O32" s="19">
        <v>33.33</v>
      </c>
      <c r="P32" s="20">
        <v>126.0</v>
      </c>
      <c r="Q32" s="19">
        <v>40.0</v>
      </c>
      <c r="R32" s="20">
        <v>121.9</v>
      </c>
      <c r="S32" s="19">
        <v>35.44</v>
      </c>
      <c r="T32" s="21">
        <v>172.93</v>
      </c>
      <c r="U32" s="21">
        <v>472.89</v>
      </c>
      <c r="V32" s="21">
        <v>321.29</v>
      </c>
      <c r="W32" s="21">
        <v>96.81</v>
      </c>
      <c r="X32" s="22">
        <v>134.53</v>
      </c>
      <c r="Y32" s="29">
        <v>17.5</v>
      </c>
      <c r="Z32" s="22">
        <v>12.54</v>
      </c>
      <c r="AA32" s="22">
        <v>13.96</v>
      </c>
      <c r="AB32" s="22">
        <v>0.55</v>
      </c>
      <c r="AC32" s="22">
        <v>6.26</v>
      </c>
      <c r="AD32" s="22">
        <v>12.54</v>
      </c>
      <c r="AE32" s="22">
        <v>4.69</v>
      </c>
      <c r="AF32" s="23">
        <v>1.5512978E7</v>
      </c>
      <c r="AG32" s="23">
        <v>1.1080697E7</v>
      </c>
      <c r="AH32" s="23">
        <v>2216140.0</v>
      </c>
      <c r="AI32" s="23">
        <v>1108070.0</v>
      </c>
      <c r="AJ32" s="23">
        <v>7756489.0</v>
      </c>
      <c r="AK32" s="23">
        <v>6648418.0</v>
      </c>
      <c r="AL32" s="18">
        <v>165.0</v>
      </c>
      <c r="AM32" s="18">
        <v>37.41</v>
      </c>
      <c r="AN32" s="18">
        <v>37.41</v>
      </c>
      <c r="AO32" s="18">
        <v>4.18</v>
      </c>
      <c r="AP32" s="18">
        <v>21.55</v>
      </c>
      <c r="AQ32" s="23">
        <v>71.43</v>
      </c>
      <c r="AR32" s="23">
        <v>14.29</v>
      </c>
      <c r="AS32" s="23">
        <v>7.14</v>
      </c>
      <c r="AT32" s="23">
        <v>50.0</v>
      </c>
      <c r="AU32" s="23">
        <v>42.86</v>
      </c>
    </row>
    <row r="33">
      <c r="A33" s="15">
        <v>45670.0</v>
      </c>
      <c r="B33" s="15">
        <v>45677.0</v>
      </c>
      <c r="C33" s="16">
        <v>23227.0</v>
      </c>
      <c r="D33" s="16">
        <v>23202.0</v>
      </c>
      <c r="E33" s="27">
        <f>+0.11%</f>
        <v>0.0011</v>
      </c>
      <c r="F33" s="16" t="s">
        <v>61</v>
      </c>
      <c r="G33" s="16" t="s">
        <v>62</v>
      </c>
      <c r="H33" s="18" t="s">
        <v>111</v>
      </c>
      <c r="I33" s="16" t="s">
        <v>49</v>
      </c>
      <c r="J33" s="18">
        <v>2.0</v>
      </c>
      <c r="K33" s="19">
        <v>428.0</v>
      </c>
      <c r="L33" s="19">
        <v>1454.0</v>
      </c>
      <c r="M33" s="19">
        <v>573.0</v>
      </c>
      <c r="N33" s="20">
        <v>542.0</v>
      </c>
      <c r="O33" s="19">
        <v>26.64</v>
      </c>
      <c r="P33" s="20">
        <v>550.65</v>
      </c>
      <c r="Q33" s="19">
        <v>28.66</v>
      </c>
      <c r="R33" s="20">
        <v>425.8</v>
      </c>
      <c r="S33" s="19">
        <v>-0.51</v>
      </c>
      <c r="T33" s="21">
        <v>110.38</v>
      </c>
      <c r="U33" s="21">
        <v>167.68</v>
      </c>
      <c r="V33" s="21">
        <v>107.7</v>
      </c>
      <c r="W33" s="21">
        <v>75.1</v>
      </c>
      <c r="X33" s="22">
        <v>67.09</v>
      </c>
      <c r="Y33" s="29">
        <v>17.5</v>
      </c>
      <c r="Z33" s="22">
        <v>78.78</v>
      </c>
      <c r="AA33" s="22">
        <v>19.97</v>
      </c>
      <c r="AB33" s="22">
        <v>0.94</v>
      </c>
      <c r="AC33" s="22">
        <v>13.03</v>
      </c>
      <c r="AD33" s="22">
        <v>78.78</v>
      </c>
      <c r="AE33" s="22">
        <v>49.59</v>
      </c>
      <c r="AF33" s="23">
        <v>8970371.0</v>
      </c>
      <c r="AG33" s="23">
        <v>4892931.0</v>
      </c>
      <c r="AH33" s="23">
        <v>1630976.0</v>
      </c>
      <c r="AI33" s="23">
        <v>815488.0</v>
      </c>
      <c r="AJ33" s="23">
        <v>1630976.0</v>
      </c>
      <c r="AK33" s="23">
        <v>7339395.0</v>
      </c>
      <c r="AL33" s="18">
        <v>33.0</v>
      </c>
      <c r="AM33" s="18">
        <v>87.77</v>
      </c>
      <c r="AN33" s="18">
        <v>87.77</v>
      </c>
      <c r="AO33" s="18">
        <v>8.27</v>
      </c>
      <c r="AP33" s="18">
        <v>51.73</v>
      </c>
      <c r="AQ33" s="23">
        <v>54.55</v>
      </c>
      <c r="AR33" s="23">
        <v>18.18</v>
      </c>
      <c r="AS33" s="23">
        <v>9.09</v>
      </c>
      <c r="AT33" s="23">
        <v>18.18</v>
      </c>
      <c r="AU33" s="23">
        <v>81.82</v>
      </c>
    </row>
    <row r="34">
      <c r="A34" s="15">
        <v>45664.0</v>
      </c>
      <c r="B34" s="15">
        <v>45671.0</v>
      </c>
      <c r="C34" s="16">
        <v>23154.0</v>
      </c>
      <c r="D34" s="16">
        <v>23710.0</v>
      </c>
      <c r="E34" s="16" t="s">
        <v>112</v>
      </c>
      <c r="F34" s="16" t="s">
        <v>54</v>
      </c>
      <c r="G34" s="16" t="s">
        <v>78</v>
      </c>
      <c r="H34" s="18" t="s">
        <v>113</v>
      </c>
      <c r="I34" s="16" t="s">
        <v>49</v>
      </c>
      <c r="J34" s="18">
        <v>10.0</v>
      </c>
      <c r="K34" s="19">
        <v>290.0</v>
      </c>
      <c r="L34" s="19">
        <v>1204.0</v>
      </c>
      <c r="M34" s="19">
        <v>410.0</v>
      </c>
      <c r="N34" s="20">
        <v>370.0</v>
      </c>
      <c r="O34" s="19">
        <v>27.59</v>
      </c>
      <c r="P34" s="20">
        <v>448.75</v>
      </c>
      <c r="Q34" s="19">
        <v>54.74</v>
      </c>
      <c r="R34" s="20">
        <v>460.6</v>
      </c>
      <c r="S34" s="19">
        <v>58.83</v>
      </c>
      <c r="T34" s="21">
        <v>139.77</v>
      </c>
      <c r="U34" s="21">
        <v>274.25</v>
      </c>
      <c r="V34" s="21">
        <v>255.57</v>
      </c>
      <c r="W34" s="21">
        <v>256.46</v>
      </c>
      <c r="X34" s="22">
        <v>44.11</v>
      </c>
      <c r="Y34" s="29">
        <v>24.19</v>
      </c>
      <c r="Z34" s="22">
        <v>33.41</v>
      </c>
      <c r="AA34" s="22">
        <v>26.12</v>
      </c>
      <c r="AB34" s="22">
        <v>1.86</v>
      </c>
      <c r="AC34" s="22">
        <v>9.68</v>
      </c>
      <c r="AD34" s="22">
        <v>33.41</v>
      </c>
      <c r="AE34" s="22">
        <v>19.73</v>
      </c>
      <c r="AF34" s="23">
        <v>5500000.0</v>
      </c>
      <c r="AG34" s="23">
        <v>7500000.0</v>
      </c>
      <c r="AH34" s="23">
        <v>1000000.0</v>
      </c>
      <c r="AI34" s="23">
        <v>500000.0</v>
      </c>
      <c r="AJ34" s="23">
        <v>1000000.0</v>
      </c>
      <c r="AK34" s="23">
        <v>4500000.0</v>
      </c>
      <c r="AL34" s="18">
        <v>50.0</v>
      </c>
      <c r="AM34" s="18">
        <v>59.13</v>
      </c>
      <c r="AN34" s="18">
        <v>59.13</v>
      </c>
      <c r="AO34" s="18">
        <v>-6.05</v>
      </c>
      <c r="AP34" s="18">
        <v>-47.91</v>
      </c>
      <c r="AQ34" s="23">
        <v>136.36</v>
      </c>
      <c r="AR34" s="23">
        <v>18.18</v>
      </c>
      <c r="AS34" s="23">
        <v>9.09</v>
      </c>
      <c r="AT34" s="23">
        <v>18.18</v>
      </c>
      <c r="AU34" s="23">
        <v>81.82</v>
      </c>
    </row>
    <row r="35">
      <c r="A35" s="15">
        <v>45663.0</v>
      </c>
      <c r="B35" s="15">
        <v>45670.0</v>
      </c>
      <c r="C35" s="16">
        <v>23275.0</v>
      </c>
      <c r="D35" s="16">
        <v>23437.0</v>
      </c>
      <c r="E35" s="16" t="s">
        <v>93</v>
      </c>
      <c r="F35" s="16" t="s">
        <v>54</v>
      </c>
      <c r="G35" s="16" t="s">
        <v>81</v>
      </c>
      <c r="H35" s="18" t="s">
        <v>114</v>
      </c>
      <c r="I35" s="16" t="s">
        <v>49</v>
      </c>
      <c r="J35" s="18">
        <v>10.0</v>
      </c>
      <c r="K35" s="19">
        <v>140.0</v>
      </c>
      <c r="L35" s="19">
        <v>504.0</v>
      </c>
      <c r="M35" s="19">
        <v>190.0</v>
      </c>
      <c r="N35" s="20">
        <v>172.0</v>
      </c>
      <c r="O35" s="19">
        <v>22.86</v>
      </c>
      <c r="P35" s="20">
        <v>163.35</v>
      </c>
      <c r="Q35" s="19">
        <v>16.68</v>
      </c>
      <c r="R35" s="20">
        <v>184.87</v>
      </c>
      <c r="S35" s="19">
        <v>32.05</v>
      </c>
      <c r="T35" s="21">
        <v>327.76</v>
      </c>
      <c r="U35" s="21">
        <v>302.21</v>
      </c>
      <c r="V35" s="21">
        <v>221.21</v>
      </c>
      <c r="W35" s="21">
        <v>65.71</v>
      </c>
      <c r="X35" s="22">
        <v>447.8</v>
      </c>
      <c r="Y35" s="29">
        <v>19.1</v>
      </c>
      <c r="Z35" s="22">
        <v>20.74</v>
      </c>
      <c r="AA35" s="22">
        <v>25.49</v>
      </c>
      <c r="AB35" s="22">
        <v>0.32</v>
      </c>
      <c r="AC35" s="22">
        <v>10.92</v>
      </c>
      <c r="AD35" s="22">
        <v>20.74</v>
      </c>
      <c r="AE35" s="22">
        <v>5.7</v>
      </c>
      <c r="AF35" s="23">
        <v>2.9288569E7</v>
      </c>
      <c r="AG35" s="23">
        <v>1.4643884E7</v>
      </c>
      <c r="AH35" s="23">
        <v>2928937.0</v>
      </c>
      <c r="AI35" s="23">
        <v>1464469.0</v>
      </c>
      <c r="AJ35" s="23">
        <v>1.0251279E7</v>
      </c>
      <c r="AK35" s="23">
        <v>8786009.0</v>
      </c>
      <c r="AL35" s="18">
        <v>107.0</v>
      </c>
      <c r="AM35" s="18">
        <v>43.04</v>
      </c>
      <c r="AN35" s="18">
        <v>43.04</v>
      </c>
      <c r="AO35" s="18">
        <v>3.64</v>
      </c>
      <c r="AP35" s="18">
        <v>38.5</v>
      </c>
      <c r="AQ35" s="23">
        <v>50.0</v>
      </c>
      <c r="AR35" s="23">
        <v>10.0</v>
      </c>
      <c r="AS35" s="23">
        <v>5.0</v>
      </c>
      <c r="AT35" s="23">
        <v>35.0</v>
      </c>
      <c r="AU35" s="23">
        <v>30.0</v>
      </c>
    </row>
    <row r="36">
      <c r="A36" s="15">
        <v>45659.0</v>
      </c>
      <c r="B36" s="15">
        <v>45664.0</v>
      </c>
      <c r="C36" s="16">
        <v>23757.0</v>
      </c>
      <c r="D36" s="16">
        <v>23620.0</v>
      </c>
      <c r="E36" s="27">
        <f>+0.58%</f>
        <v>0.0058</v>
      </c>
      <c r="F36" s="16" t="s">
        <v>70</v>
      </c>
      <c r="G36" s="16" t="s">
        <v>73</v>
      </c>
      <c r="H36" s="18" t="s">
        <v>115</v>
      </c>
      <c r="I36" s="16" t="s">
        <v>49</v>
      </c>
      <c r="J36" s="18">
        <v>10.0</v>
      </c>
      <c r="K36" s="19">
        <v>215.0</v>
      </c>
      <c r="L36" s="19">
        <v>764.0</v>
      </c>
      <c r="M36" s="19">
        <v>291.0</v>
      </c>
      <c r="N36" s="20">
        <v>256.0</v>
      </c>
      <c r="O36" s="19">
        <v>19.07</v>
      </c>
      <c r="P36" s="20">
        <v>278.0</v>
      </c>
      <c r="Q36" s="19">
        <v>29.3</v>
      </c>
      <c r="R36" s="20">
        <v>202.79</v>
      </c>
      <c r="S36" s="19">
        <v>-5.68</v>
      </c>
      <c r="T36" s="18">
        <v>242.4</v>
      </c>
      <c r="U36" s="18">
        <v>548.13</v>
      </c>
      <c r="V36" s="18">
        <v>408.98</v>
      </c>
      <c r="W36" s="18">
        <v>101.79</v>
      </c>
      <c r="X36" s="22">
        <v>342.0</v>
      </c>
      <c r="Y36" s="22">
        <v>16.21</v>
      </c>
      <c r="Z36" s="22">
        <v>5.13</v>
      </c>
      <c r="AA36" s="22">
        <v>8.96</v>
      </c>
      <c r="AB36" s="22">
        <v>0.85</v>
      </c>
      <c r="AC36" s="22">
        <v>4.16</v>
      </c>
      <c r="AD36" s="22">
        <v>4.92</v>
      </c>
      <c r="AE36" s="22">
        <v>2.55</v>
      </c>
      <c r="AF36" s="30">
        <v>1.21E7</v>
      </c>
      <c r="AG36" s="30">
        <v>6050000.0</v>
      </c>
      <c r="AH36" s="30">
        <v>1210000.0</v>
      </c>
      <c r="AI36" s="30">
        <v>605000.0</v>
      </c>
      <c r="AJ36" s="30">
        <v>4235000.0</v>
      </c>
      <c r="AK36" s="30">
        <v>3630000.0</v>
      </c>
      <c r="AL36" s="18">
        <v>69.0</v>
      </c>
      <c r="AM36" s="18">
        <v>3.95</v>
      </c>
      <c r="AN36" s="18">
        <v>54.39</v>
      </c>
      <c r="AO36" s="18">
        <v>2.04</v>
      </c>
      <c r="AP36" s="18">
        <v>105.25</v>
      </c>
      <c r="AQ36" s="30">
        <v>50.0</v>
      </c>
      <c r="AR36" s="30">
        <v>10.0</v>
      </c>
      <c r="AS36" s="30">
        <v>5.0</v>
      </c>
      <c r="AT36" s="30">
        <v>35.0</v>
      </c>
      <c r="AU36" s="30">
        <v>30.0</v>
      </c>
    </row>
    <row r="37">
      <c r="A37" s="31">
        <v>45649.0</v>
      </c>
      <c r="B37" s="31">
        <v>45657.0</v>
      </c>
      <c r="C37" s="32">
        <v>23523.4</v>
      </c>
      <c r="D37" s="33">
        <v>23658.65</v>
      </c>
      <c r="E37" s="32">
        <v>-0.57</v>
      </c>
      <c r="F37" s="32" t="s">
        <v>54</v>
      </c>
      <c r="G37" s="34" t="s">
        <v>47</v>
      </c>
      <c r="H37" s="21" t="s">
        <v>116</v>
      </c>
      <c r="I37" s="18" t="s">
        <v>69</v>
      </c>
      <c r="J37" s="21">
        <v>5.0</v>
      </c>
      <c r="K37" s="21">
        <v>785.0</v>
      </c>
      <c r="L37" s="35">
        <v>6255.0</v>
      </c>
      <c r="M37" s="35">
        <v>1410.0</v>
      </c>
      <c r="N37" s="21">
        <v>1460.0</v>
      </c>
      <c r="O37" s="35">
        <v>85.99</v>
      </c>
      <c r="P37" s="21">
        <v>1376.25</v>
      </c>
      <c r="Q37" s="35">
        <v>75.32</v>
      </c>
      <c r="R37" s="21">
        <v>1157.0</v>
      </c>
      <c r="S37" s="35">
        <v>47.39</v>
      </c>
      <c r="T37" s="21">
        <v>334.68</v>
      </c>
      <c r="U37" s="21">
        <v>302.3</v>
      </c>
      <c r="V37" s="21">
        <v>228.05</v>
      </c>
      <c r="W37" s="21">
        <v>59.19</v>
      </c>
      <c r="X37" s="21">
        <v>390.1</v>
      </c>
      <c r="Y37" s="35">
        <v>40.46</v>
      </c>
      <c r="Z37" s="21">
        <v>53.53</v>
      </c>
      <c r="AA37" s="21">
        <v>54.36</v>
      </c>
      <c r="AB37" s="21">
        <v>0.32</v>
      </c>
      <c r="AC37" s="21">
        <v>27.85</v>
      </c>
      <c r="AD37" s="21">
        <v>53.53</v>
      </c>
      <c r="AE37" s="21">
        <v>31.77</v>
      </c>
      <c r="AF37" s="30">
        <v>6369426.0</v>
      </c>
      <c r="AG37" s="30">
        <v>3175158.0</v>
      </c>
      <c r="AH37" s="30">
        <v>635032.0</v>
      </c>
      <c r="AI37" s="30">
        <v>317516.0</v>
      </c>
      <c r="AJ37" s="30">
        <v>2222612.0</v>
      </c>
      <c r="AK37" s="30">
        <v>1905094.0</v>
      </c>
      <c r="AL37" s="21">
        <v>19.0</v>
      </c>
      <c r="AM37" s="21">
        <v>12.19</v>
      </c>
      <c r="AN37" s="21">
        <v>64.37</v>
      </c>
      <c r="AO37" s="21">
        <v>15.21</v>
      </c>
      <c r="AP37" s="21">
        <v>51.61</v>
      </c>
      <c r="AQ37" s="30">
        <v>49.85</v>
      </c>
      <c r="AR37" s="30">
        <v>9.97</v>
      </c>
      <c r="AS37" s="30">
        <v>4.99</v>
      </c>
      <c r="AT37" s="30">
        <v>34.9</v>
      </c>
      <c r="AU37" s="30">
        <v>29.91</v>
      </c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</row>
    <row r="38">
      <c r="A38" s="31">
        <v>45646.0</v>
      </c>
      <c r="B38" s="31">
        <v>45656.0</v>
      </c>
      <c r="C38" s="32">
        <v>23752.6</v>
      </c>
      <c r="D38" s="33">
        <v>23832.45</v>
      </c>
      <c r="E38" s="32">
        <v>-0.34</v>
      </c>
      <c r="F38" s="32" t="s">
        <v>54</v>
      </c>
      <c r="G38" s="34" t="s">
        <v>47</v>
      </c>
      <c r="H38" s="21" t="s">
        <v>117</v>
      </c>
      <c r="I38" s="16" t="s">
        <v>49</v>
      </c>
      <c r="J38" s="21">
        <v>10.0</v>
      </c>
      <c r="K38" s="21">
        <v>704.0</v>
      </c>
      <c r="L38" s="35">
        <v>1.0</v>
      </c>
      <c r="M38" s="35">
        <v>704.0</v>
      </c>
      <c r="N38" s="21">
        <v>651.0</v>
      </c>
      <c r="O38" s="35">
        <v>-7.53</v>
      </c>
      <c r="P38" s="21">
        <v>636.3</v>
      </c>
      <c r="Q38" s="35">
        <v>-9.62</v>
      </c>
      <c r="R38" s="21">
        <v>480.95</v>
      </c>
      <c r="S38" s="35">
        <v>-31.68</v>
      </c>
      <c r="T38" s="21">
        <v>2.33</v>
      </c>
      <c r="U38" s="21">
        <v>0.45</v>
      </c>
      <c r="V38" s="21">
        <v>1.01</v>
      </c>
      <c r="W38" s="21">
        <v>0.75</v>
      </c>
      <c r="X38" s="21">
        <v>419.44</v>
      </c>
      <c r="Y38" s="35">
        <v>8.38</v>
      </c>
      <c r="Z38" s="21">
        <v>17.69</v>
      </c>
      <c r="AA38" s="21">
        <v>19.35</v>
      </c>
      <c r="AB38" s="21">
        <v>0.58</v>
      </c>
      <c r="AC38" s="21">
        <v>3.5</v>
      </c>
      <c r="AD38" s="21">
        <v>16.92</v>
      </c>
      <c r="AE38" s="35">
        <v>9.6</v>
      </c>
      <c r="AF38" s="30">
        <v>1.7755681E7</v>
      </c>
      <c r="AG38" s="30">
        <v>8857839.0</v>
      </c>
      <c r="AH38" s="30">
        <v>1775569.0</v>
      </c>
      <c r="AI38" s="30">
        <v>887784.0</v>
      </c>
      <c r="AJ38" s="30">
        <v>6214489.0</v>
      </c>
      <c r="AK38" s="30">
        <v>5326703.0</v>
      </c>
      <c r="AL38" s="21">
        <v>21.0</v>
      </c>
      <c r="AM38" s="21">
        <v>11.0</v>
      </c>
      <c r="AN38" s="21">
        <v>63.97</v>
      </c>
      <c r="AO38" s="21">
        <v>17.5</v>
      </c>
      <c r="AP38" s="21">
        <v>40.24</v>
      </c>
      <c r="AQ38" s="30">
        <v>50.0</v>
      </c>
      <c r="AR38" s="30">
        <v>10.0</v>
      </c>
      <c r="AS38" s="30">
        <v>5.0</v>
      </c>
      <c r="AT38" s="30">
        <v>35.0</v>
      </c>
      <c r="AU38" s="30">
        <v>30.0</v>
      </c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</row>
    <row r="39">
      <c r="A39" s="31">
        <v>45646.0</v>
      </c>
      <c r="B39" s="31">
        <v>45656.0</v>
      </c>
      <c r="C39" s="32">
        <v>23752.6</v>
      </c>
      <c r="D39" s="33">
        <v>23832.45</v>
      </c>
      <c r="E39" s="32">
        <v>-0.34</v>
      </c>
      <c r="F39" s="32" t="s">
        <v>54</v>
      </c>
      <c r="G39" s="34" t="s">
        <v>62</v>
      </c>
      <c r="H39" s="21" t="s">
        <v>118</v>
      </c>
      <c r="I39" s="16" t="s">
        <v>49</v>
      </c>
      <c r="J39" s="21">
        <v>10.0</v>
      </c>
      <c r="K39" s="21">
        <v>391.0</v>
      </c>
      <c r="L39" s="35">
        <v>2845.0</v>
      </c>
      <c r="M39" s="35">
        <v>675.0</v>
      </c>
      <c r="N39" s="21">
        <v>600.0</v>
      </c>
      <c r="O39" s="35">
        <v>53.45</v>
      </c>
      <c r="P39" s="21">
        <v>557.8</v>
      </c>
      <c r="Q39" s="35">
        <v>42.66</v>
      </c>
      <c r="R39" s="21">
        <v>688.9</v>
      </c>
      <c r="S39" s="35">
        <v>76.19</v>
      </c>
      <c r="T39" s="21">
        <v>97.84</v>
      </c>
      <c r="U39" s="21">
        <v>95.25</v>
      </c>
      <c r="V39" s="21">
        <v>111.35</v>
      </c>
      <c r="W39" s="21">
        <v>93.16</v>
      </c>
      <c r="X39" s="21">
        <v>319.06</v>
      </c>
      <c r="Y39" s="35">
        <v>20.7</v>
      </c>
      <c r="Z39" s="21">
        <v>23.6</v>
      </c>
      <c r="AA39" s="21">
        <v>11.73</v>
      </c>
      <c r="AB39" s="21">
        <v>1.07</v>
      </c>
      <c r="AC39" s="21">
        <v>15.25</v>
      </c>
      <c r="AD39" s="21">
        <v>23.6</v>
      </c>
      <c r="AE39" s="21">
        <v>5.84</v>
      </c>
      <c r="AF39" s="30">
        <v>1.4887723E7</v>
      </c>
      <c r="AG39" s="30">
        <v>1.1109543E7</v>
      </c>
      <c r="AH39" s="30">
        <v>1481272.0</v>
      </c>
      <c r="AI39" s="30">
        <v>740636.0</v>
      </c>
      <c r="AJ39" s="30">
        <v>1481272.0</v>
      </c>
      <c r="AK39" s="30">
        <v>6665725.0</v>
      </c>
      <c r="AL39" s="21">
        <v>38.0</v>
      </c>
      <c r="AM39" s="21">
        <v>9.83</v>
      </c>
      <c r="AN39" s="21">
        <v>39.77</v>
      </c>
      <c r="AO39" s="21">
        <v>13.86</v>
      </c>
      <c r="AP39" s="21">
        <v>28.21</v>
      </c>
      <c r="AQ39" s="30">
        <v>74.62</v>
      </c>
      <c r="AR39" s="30">
        <v>9.95</v>
      </c>
      <c r="AS39" s="30">
        <v>4.97</v>
      </c>
      <c r="AT39" s="30">
        <v>9.95</v>
      </c>
      <c r="AU39" s="30">
        <v>44.77</v>
      </c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36"/>
    </row>
    <row r="40">
      <c r="A40" s="31">
        <v>45646.0</v>
      </c>
      <c r="B40" s="31">
        <v>45656.0</v>
      </c>
      <c r="C40" s="32">
        <v>23752.6</v>
      </c>
      <c r="D40" s="33">
        <v>23832.45</v>
      </c>
      <c r="E40" s="32">
        <v>-0.34</v>
      </c>
      <c r="F40" s="32" t="s">
        <v>54</v>
      </c>
      <c r="G40" s="34" t="s">
        <v>55</v>
      </c>
      <c r="H40" s="21" t="s">
        <v>119</v>
      </c>
      <c r="I40" s="18" t="s">
        <v>69</v>
      </c>
      <c r="J40" s="21">
        <v>1.0</v>
      </c>
      <c r="K40" s="21">
        <v>643.0</v>
      </c>
      <c r="L40" s="35">
        <v>803.0</v>
      </c>
      <c r="M40" s="35">
        <v>723.0</v>
      </c>
      <c r="N40" s="21">
        <v>716.0</v>
      </c>
      <c r="O40" s="35">
        <v>11.35</v>
      </c>
      <c r="P40" s="21">
        <v>704.55</v>
      </c>
      <c r="Q40" s="35">
        <v>9.57</v>
      </c>
      <c r="R40" s="21">
        <v>782.45</v>
      </c>
      <c r="S40" s="35">
        <v>21.69</v>
      </c>
      <c r="T40" s="21">
        <v>9.58</v>
      </c>
      <c r="U40" s="21">
        <v>15.86</v>
      </c>
      <c r="V40" s="21">
        <v>12.08</v>
      </c>
      <c r="W40" s="21">
        <v>6.19</v>
      </c>
      <c r="X40" s="21">
        <v>3665.83</v>
      </c>
      <c r="Y40" s="35">
        <v>60.75</v>
      </c>
      <c r="Z40" s="35">
        <v>67.3</v>
      </c>
      <c r="AA40" s="35">
        <v>32.6</v>
      </c>
      <c r="AB40" s="35">
        <v>1.4</v>
      </c>
      <c r="AC40" s="35">
        <v>8.71</v>
      </c>
      <c r="AD40" s="21">
        <v>-1.82</v>
      </c>
      <c r="AE40" s="21">
        <v>3.66</v>
      </c>
      <c r="AF40" s="30">
        <v>2.488412E7</v>
      </c>
      <c r="AG40" s="30">
        <v>1.8650856E7</v>
      </c>
      <c r="AH40" s="30">
        <v>2486781.0</v>
      </c>
      <c r="AI40" s="30">
        <v>1243390.0</v>
      </c>
      <c r="AJ40" s="30">
        <v>2486780.0</v>
      </c>
      <c r="AK40" s="30">
        <v>1.1190513E7</v>
      </c>
      <c r="AL40" s="21">
        <v>23.0</v>
      </c>
      <c r="AM40" s="21">
        <v>-3.2</v>
      </c>
      <c r="AN40" s="21">
        <v>-201.01</v>
      </c>
      <c r="AO40" s="21">
        <v>-11.8</v>
      </c>
      <c r="AP40" s="21">
        <v>-54.48</v>
      </c>
      <c r="AQ40" s="30">
        <v>74.95</v>
      </c>
      <c r="AR40" s="30">
        <v>9.99</v>
      </c>
      <c r="AS40" s="30">
        <v>5.0</v>
      </c>
      <c r="AT40" s="30">
        <v>9.99</v>
      </c>
      <c r="AU40" s="30">
        <v>44.97</v>
      </c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36"/>
    </row>
    <row r="41">
      <c r="A41" s="31">
        <v>45645.0</v>
      </c>
      <c r="B41" s="31">
        <v>45653.0</v>
      </c>
      <c r="C41" s="32">
        <v>23913.85</v>
      </c>
      <c r="D41" s="33">
        <v>23760.3</v>
      </c>
      <c r="E41" s="32">
        <v>0.65</v>
      </c>
      <c r="F41" s="32" t="s">
        <v>54</v>
      </c>
      <c r="G41" s="34" t="s">
        <v>55</v>
      </c>
      <c r="H41" s="21" t="s">
        <v>120</v>
      </c>
      <c r="I41" s="16" t="s">
        <v>49</v>
      </c>
      <c r="J41" s="21">
        <v>5.0</v>
      </c>
      <c r="K41" s="21">
        <v>701.0</v>
      </c>
      <c r="L41" s="35">
        <v>1383.0</v>
      </c>
      <c r="M41" s="35">
        <v>839.0</v>
      </c>
      <c r="N41" s="21">
        <v>826.0</v>
      </c>
      <c r="O41" s="35">
        <v>17.83</v>
      </c>
      <c r="P41" s="21">
        <v>828.45</v>
      </c>
      <c r="Q41" s="35">
        <v>18.18</v>
      </c>
      <c r="R41" s="21">
        <v>623.35</v>
      </c>
      <c r="S41" s="35">
        <v>-11.08</v>
      </c>
      <c r="T41" s="21">
        <v>17.32</v>
      </c>
      <c r="U41" s="21">
        <v>14.09</v>
      </c>
      <c r="V41" s="21">
        <v>14.41</v>
      </c>
      <c r="W41" s="21">
        <v>5.56</v>
      </c>
      <c r="X41" s="21">
        <v>320.82</v>
      </c>
      <c r="Y41" s="35">
        <v>16.3</v>
      </c>
      <c r="Z41" s="21">
        <v>13.73</v>
      </c>
      <c r="AA41" s="21">
        <v>14.07</v>
      </c>
      <c r="AB41" s="21">
        <v>0.47</v>
      </c>
      <c r="AC41" s="21">
        <v>8.34</v>
      </c>
      <c r="AD41" s="21">
        <v>12.92</v>
      </c>
      <c r="AE41" s="21">
        <v>3.96</v>
      </c>
      <c r="AF41" s="30">
        <v>7137321.0</v>
      </c>
      <c r="AG41" s="30">
        <v>3568659.0</v>
      </c>
      <c r="AH41" s="30">
        <v>713732.0</v>
      </c>
      <c r="AI41" s="30">
        <v>356867.0</v>
      </c>
      <c r="AJ41" s="30">
        <v>2498063.0</v>
      </c>
      <c r="AK41" s="30">
        <v>2141195.0</v>
      </c>
      <c r="AL41" s="21">
        <v>21.0</v>
      </c>
      <c r="AM41" s="21">
        <v>22.77</v>
      </c>
      <c r="AN41" s="21">
        <v>30.79</v>
      </c>
      <c r="AO41" s="21">
        <v>0.6</v>
      </c>
      <c r="AP41" s="21">
        <v>1171.52</v>
      </c>
      <c r="AQ41" s="30">
        <v>50.0</v>
      </c>
      <c r="AR41" s="30">
        <v>10.0</v>
      </c>
      <c r="AS41" s="30">
        <v>5.0</v>
      </c>
      <c r="AT41" s="30">
        <v>35.0</v>
      </c>
      <c r="AU41" s="30">
        <v>30.0</v>
      </c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  <c r="BL41" s="36"/>
      <c r="BM41" s="36"/>
      <c r="BN41" s="36"/>
      <c r="BO41" s="36"/>
      <c r="BP41" s="36"/>
      <c r="BQ41" s="36"/>
    </row>
    <row r="42">
      <c r="A42" s="31">
        <v>45645.0</v>
      </c>
      <c r="B42" s="31">
        <v>45653.0</v>
      </c>
      <c r="C42" s="32">
        <v>23913.85</v>
      </c>
      <c r="D42" s="33">
        <v>23760.3</v>
      </c>
      <c r="E42" s="32">
        <v>0.65</v>
      </c>
      <c r="F42" s="32" t="s">
        <v>54</v>
      </c>
      <c r="G42" s="34" t="s">
        <v>47</v>
      </c>
      <c r="H42" s="21" t="s">
        <v>121</v>
      </c>
      <c r="I42" s="16" t="s">
        <v>122</v>
      </c>
      <c r="J42" s="21">
        <v>10.0</v>
      </c>
      <c r="K42" s="21">
        <v>321.0</v>
      </c>
      <c r="L42" s="35">
        <v>874.0</v>
      </c>
      <c r="M42" s="35">
        <v>408.0</v>
      </c>
      <c r="N42" s="21">
        <v>422.3</v>
      </c>
      <c r="O42" s="35">
        <v>31.56</v>
      </c>
      <c r="P42" s="21">
        <v>389.0</v>
      </c>
      <c r="Q42" s="35">
        <v>21.18</v>
      </c>
      <c r="R42" s="21">
        <v>513.85</v>
      </c>
      <c r="S42" s="35">
        <v>60.08</v>
      </c>
      <c r="T42" s="21">
        <v>79.59</v>
      </c>
      <c r="U42" s="21">
        <v>48.47</v>
      </c>
      <c r="V42" s="21">
        <v>36.22</v>
      </c>
      <c r="W42" s="21">
        <v>9.31</v>
      </c>
      <c r="X42" s="21">
        <v>1324.06</v>
      </c>
      <c r="Y42" s="35">
        <v>7.66</v>
      </c>
      <c r="Z42" s="21">
        <v>11.09</v>
      </c>
      <c r="AA42" s="21">
        <v>11.8</v>
      </c>
      <c r="AB42" s="21">
        <v>0.17</v>
      </c>
      <c r="AC42" s="35">
        <v>4.5</v>
      </c>
      <c r="AD42" s="21">
        <v>10.42</v>
      </c>
      <c r="AE42" s="21">
        <v>1.81</v>
      </c>
      <c r="AF42" s="30">
        <v>1.7133956E7</v>
      </c>
      <c r="AG42" s="30">
        <v>8566977.0</v>
      </c>
      <c r="AH42" s="30">
        <v>1713396.0</v>
      </c>
      <c r="AI42" s="30">
        <v>856698.0</v>
      </c>
      <c r="AJ42" s="30">
        <v>5996885.0</v>
      </c>
      <c r="AK42" s="30">
        <v>5140186.0</v>
      </c>
      <c r="AL42" s="21">
        <v>46.0</v>
      </c>
      <c r="AM42" s="21">
        <v>18.6</v>
      </c>
      <c r="AN42" s="21">
        <v>17.25</v>
      </c>
      <c r="AO42" s="21">
        <v>23.73</v>
      </c>
      <c r="AP42" s="21">
        <v>13.53</v>
      </c>
      <c r="AQ42" s="30">
        <v>50.0</v>
      </c>
      <c r="AR42" s="30">
        <v>10.0</v>
      </c>
      <c r="AS42" s="30">
        <v>5.0</v>
      </c>
      <c r="AT42" s="30">
        <v>35.0</v>
      </c>
      <c r="AU42" s="30">
        <v>30.0</v>
      </c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6"/>
      <c r="BK42" s="36"/>
      <c r="BL42" s="36"/>
      <c r="BM42" s="36"/>
      <c r="BN42" s="36"/>
      <c r="BO42" s="36"/>
      <c r="BP42" s="36"/>
      <c r="BQ42" s="36"/>
    </row>
    <row r="43">
      <c r="A43" s="31">
        <v>45645.0</v>
      </c>
      <c r="B43" s="31">
        <v>45653.0</v>
      </c>
      <c r="C43" s="32">
        <v>23913.85</v>
      </c>
      <c r="D43" s="33">
        <v>23760.3</v>
      </c>
      <c r="E43" s="32">
        <v>0.65</v>
      </c>
      <c r="F43" s="32" t="s">
        <v>54</v>
      </c>
      <c r="G43" s="34" t="s">
        <v>47</v>
      </c>
      <c r="H43" s="21" t="s">
        <v>123</v>
      </c>
      <c r="I43" s="35" t="s">
        <v>49</v>
      </c>
      <c r="J43" s="21">
        <v>10.0</v>
      </c>
      <c r="K43" s="21">
        <v>243.0</v>
      </c>
      <c r="L43" s="35">
        <v>2605.0</v>
      </c>
      <c r="M43" s="35">
        <v>503.0</v>
      </c>
      <c r="N43" s="21">
        <v>600.0</v>
      </c>
      <c r="O43" s="35">
        <v>146.91</v>
      </c>
      <c r="P43" s="21">
        <v>630.0</v>
      </c>
      <c r="Q43" s="35">
        <v>159.26</v>
      </c>
      <c r="R43" s="21">
        <v>523.5</v>
      </c>
      <c r="S43" s="35">
        <v>115.43</v>
      </c>
      <c r="T43" s="21">
        <v>235.88</v>
      </c>
      <c r="U43" s="21">
        <v>222.71</v>
      </c>
      <c r="V43" s="21">
        <v>377.72</v>
      </c>
      <c r="W43" s="21">
        <v>138.08</v>
      </c>
      <c r="X43" s="21">
        <v>131.88</v>
      </c>
      <c r="Y43" s="35">
        <v>21.0</v>
      </c>
      <c r="Z43" s="21">
        <v>27.76</v>
      </c>
      <c r="AA43" s="21">
        <v>31.29</v>
      </c>
      <c r="AB43" s="21">
        <v>0.09</v>
      </c>
      <c r="AC43" s="21">
        <v>15.27</v>
      </c>
      <c r="AD43" s="21">
        <v>27.39</v>
      </c>
      <c r="AE43" s="21">
        <v>4.5</v>
      </c>
      <c r="AF43" s="30">
        <v>7382340.0</v>
      </c>
      <c r="AG43" s="30">
        <v>3673670.0</v>
      </c>
      <c r="AH43" s="30">
        <v>734734.0</v>
      </c>
      <c r="AI43" s="30">
        <v>367367.0</v>
      </c>
      <c r="AJ43" s="30">
        <v>2571569.0</v>
      </c>
      <c r="AK43" s="30">
        <v>2204113.0</v>
      </c>
      <c r="AL43" s="21">
        <v>61.0</v>
      </c>
      <c r="AM43" s="21">
        <v>15.88</v>
      </c>
      <c r="AN43" s="21">
        <v>15.3</v>
      </c>
      <c r="AO43" s="21">
        <v>0.38</v>
      </c>
      <c r="AP43" s="21">
        <v>633.97</v>
      </c>
      <c r="AQ43" s="30">
        <v>49.76</v>
      </c>
      <c r="AR43" s="30">
        <v>9.95</v>
      </c>
      <c r="AS43" s="30">
        <v>4.98</v>
      </c>
      <c r="AT43" s="30">
        <v>34.83</v>
      </c>
      <c r="AU43" s="30">
        <v>29.86</v>
      </c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36"/>
      <c r="BL43" s="36"/>
      <c r="BM43" s="36"/>
      <c r="BN43" s="36"/>
      <c r="BO43" s="36"/>
      <c r="BP43" s="36"/>
      <c r="BQ43" s="36"/>
    </row>
    <row r="44">
      <c r="A44" s="31">
        <v>45645.0</v>
      </c>
      <c r="B44" s="31">
        <v>45653.0</v>
      </c>
      <c r="C44" s="32">
        <v>23913.85</v>
      </c>
      <c r="D44" s="33">
        <v>23760.3</v>
      </c>
      <c r="E44" s="32">
        <v>0.65</v>
      </c>
      <c r="F44" s="32" t="s">
        <v>54</v>
      </c>
      <c r="G44" s="34" t="s">
        <v>52</v>
      </c>
      <c r="H44" s="21" t="s">
        <v>124</v>
      </c>
      <c r="I44" s="16" t="s">
        <v>69</v>
      </c>
      <c r="J44" s="21">
        <v>2.0</v>
      </c>
      <c r="K44" s="21">
        <v>283.0</v>
      </c>
      <c r="L44" s="35">
        <v>1435.0</v>
      </c>
      <c r="M44" s="35">
        <v>426.0</v>
      </c>
      <c r="N44" s="21">
        <v>393.0</v>
      </c>
      <c r="O44" s="35">
        <v>38.87</v>
      </c>
      <c r="P44" s="21">
        <v>415.1</v>
      </c>
      <c r="Q44" s="35">
        <v>46.68</v>
      </c>
      <c r="R44" s="21">
        <v>221.1</v>
      </c>
      <c r="S44" s="35">
        <v>-21.87</v>
      </c>
      <c r="T44" s="21">
        <v>166.33</v>
      </c>
      <c r="U44" s="21">
        <v>102.21</v>
      </c>
      <c r="V44" s="21">
        <v>91.0</v>
      </c>
      <c r="W44" s="21">
        <v>26.8</v>
      </c>
      <c r="X44" s="21">
        <v>162.61</v>
      </c>
      <c r="Y44" s="35">
        <v>52.0</v>
      </c>
      <c r="Z44" s="21">
        <v>54.72</v>
      </c>
      <c r="AA44" s="35">
        <v>38.0</v>
      </c>
      <c r="AB44" s="21">
        <v>0.03</v>
      </c>
      <c r="AC44" s="21">
        <v>38.75</v>
      </c>
      <c r="AD44" s="21">
        <v>44.98</v>
      </c>
      <c r="AE44" s="21">
        <v>12.76</v>
      </c>
      <c r="AF44" s="23">
        <v>2.96909E7</v>
      </c>
      <c r="AG44" s="23">
        <v>1.4810449E7</v>
      </c>
      <c r="AH44" s="23">
        <v>2962090.0</v>
      </c>
      <c r="AI44" s="23">
        <v>1481045.0</v>
      </c>
      <c r="AJ44" s="23">
        <v>1.0367316E7</v>
      </c>
      <c r="AK44" s="23">
        <v>8886268.0</v>
      </c>
      <c r="AL44" s="21">
        <v>53.0</v>
      </c>
      <c r="AM44" s="21">
        <v>9.98</v>
      </c>
      <c r="AN44" s="21">
        <v>28.37</v>
      </c>
      <c r="AO44" s="21">
        <v>9.98</v>
      </c>
      <c r="AP44" s="21">
        <v>28.37</v>
      </c>
      <c r="AQ44" s="23">
        <v>49.88</v>
      </c>
      <c r="AR44" s="23">
        <v>9.98</v>
      </c>
      <c r="AS44" s="23">
        <v>4.99</v>
      </c>
      <c r="AT44" s="23">
        <v>34.92</v>
      </c>
      <c r="AU44" s="23">
        <v>29.93</v>
      </c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</row>
    <row r="45">
      <c r="A45" s="31">
        <v>45645.0</v>
      </c>
      <c r="B45" s="31">
        <v>45653.0</v>
      </c>
      <c r="C45" s="32">
        <v>23913.85</v>
      </c>
      <c r="D45" s="33">
        <v>23760.3</v>
      </c>
      <c r="E45" s="32">
        <v>0.65</v>
      </c>
      <c r="F45" s="32" t="s">
        <v>54</v>
      </c>
      <c r="G45" s="34" t="s">
        <v>55</v>
      </c>
      <c r="H45" s="21" t="s">
        <v>125</v>
      </c>
      <c r="I45" s="35" t="s">
        <v>49</v>
      </c>
      <c r="J45" s="21">
        <v>2.0</v>
      </c>
      <c r="K45" s="21">
        <v>432.0</v>
      </c>
      <c r="L45" s="35">
        <v>1654.0</v>
      </c>
      <c r="M45" s="35">
        <v>597.0</v>
      </c>
      <c r="N45" s="21">
        <v>590.0</v>
      </c>
      <c r="O45" s="35">
        <v>36.57</v>
      </c>
      <c r="P45" s="21">
        <v>553.55</v>
      </c>
      <c r="Q45" s="35">
        <v>28.14</v>
      </c>
      <c r="R45" s="21">
        <v>731.35</v>
      </c>
      <c r="S45" s="35">
        <v>69.29</v>
      </c>
      <c r="T45" s="21">
        <v>197.41</v>
      </c>
      <c r="U45" s="21">
        <v>79.8</v>
      </c>
      <c r="V45" s="21">
        <v>75.34</v>
      </c>
      <c r="W45" s="21">
        <v>22.62</v>
      </c>
      <c r="X45" s="21">
        <v>1140.65</v>
      </c>
      <c r="Y45" s="35">
        <v>11.7</v>
      </c>
      <c r="Z45" s="21">
        <v>24.41</v>
      </c>
      <c r="AA45" s="21">
        <v>24.33</v>
      </c>
      <c r="AB45" s="21">
        <v>0.56</v>
      </c>
      <c r="AC45" s="21">
        <v>5.65</v>
      </c>
      <c r="AD45" s="21">
        <v>21.68</v>
      </c>
      <c r="AE45" s="21">
        <v>4.7</v>
      </c>
      <c r="AF45" s="23">
        <v>1.9419258E7</v>
      </c>
      <c r="AG45" s="23">
        <v>9489721.0</v>
      </c>
      <c r="AH45" s="23">
        <v>1897945.0</v>
      </c>
      <c r="AI45" s="23">
        <v>948972.0</v>
      </c>
      <c r="AJ45" s="23">
        <v>6642806.0</v>
      </c>
      <c r="AK45" s="23">
        <v>5693832.0</v>
      </c>
      <c r="AL45" s="21">
        <v>34.0</v>
      </c>
      <c r="AM45" s="21">
        <v>18.66</v>
      </c>
      <c r="AN45" s="21">
        <v>23.15</v>
      </c>
      <c r="AO45" s="21">
        <v>15.42</v>
      </c>
      <c r="AP45" s="21">
        <v>28.02</v>
      </c>
      <c r="AQ45" s="23">
        <v>48.87</v>
      </c>
      <c r="AR45" s="23">
        <v>9.77</v>
      </c>
      <c r="AS45" s="23">
        <v>4.89</v>
      </c>
      <c r="AT45" s="23">
        <v>34.21</v>
      </c>
      <c r="AU45" s="23">
        <v>29.32</v>
      </c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6"/>
      <c r="BK45" s="36"/>
      <c r="BL45" s="36"/>
      <c r="BM45" s="36"/>
      <c r="BN45" s="36"/>
      <c r="BO45" s="36"/>
      <c r="BP45" s="36"/>
      <c r="BQ45" s="36"/>
    </row>
    <row r="46">
      <c r="A46" s="31">
        <v>45639.0</v>
      </c>
      <c r="B46" s="31">
        <v>45646.0</v>
      </c>
      <c r="C46" s="32">
        <v>23854.7</v>
      </c>
      <c r="D46" s="33">
        <v>23961.95</v>
      </c>
      <c r="E46" s="32">
        <v>-0.45</v>
      </c>
      <c r="F46" s="32" t="s">
        <v>61</v>
      </c>
      <c r="G46" s="34" t="s">
        <v>55</v>
      </c>
      <c r="H46" s="21" t="s">
        <v>126</v>
      </c>
      <c r="I46" s="35" t="s">
        <v>49</v>
      </c>
      <c r="J46" s="21">
        <v>2.0</v>
      </c>
      <c r="K46" s="21">
        <v>417.0</v>
      </c>
      <c r="L46" s="35">
        <v>1594.0</v>
      </c>
      <c r="M46" s="35">
        <v>576.0</v>
      </c>
      <c r="N46" s="21">
        <v>504.85</v>
      </c>
      <c r="O46" s="35">
        <v>21.07</v>
      </c>
      <c r="P46" s="21">
        <v>471.15</v>
      </c>
      <c r="Q46" s="35">
        <v>12.99</v>
      </c>
      <c r="R46" s="21">
        <v>394.15</v>
      </c>
      <c r="S46" s="35">
        <v>-5.48</v>
      </c>
      <c r="T46" s="21">
        <v>48.11</v>
      </c>
      <c r="U46" s="21">
        <v>29.78</v>
      </c>
      <c r="V46" s="21">
        <v>18.7</v>
      </c>
      <c r="W46" s="21">
        <v>11.77</v>
      </c>
      <c r="X46" s="21">
        <v>643.41</v>
      </c>
      <c r="Y46" s="35">
        <v>70.0</v>
      </c>
      <c r="Z46" s="21">
        <v>76.58</v>
      </c>
      <c r="AA46" s="21">
        <v>80.96</v>
      </c>
      <c r="AB46" s="35">
        <v>0.0</v>
      </c>
      <c r="AC46" s="35">
        <v>40.0</v>
      </c>
      <c r="AD46" s="21">
        <v>76.58</v>
      </c>
      <c r="AE46" s="35">
        <v>3.7</v>
      </c>
      <c r="AF46" s="28">
        <v>1.01E8</v>
      </c>
      <c r="AG46" s="23">
        <v>7.5953238E7</v>
      </c>
      <c r="AH46" s="23">
        <v>1.0127098E7</v>
      </c>
      <c r="AI46" s="23">
        <v>5063549.0</v>
      </c>
      <c r="AJ46" s="23">
        <v>1.0127098E7</v>
      </c>
      <c r="AK46" s="23">
        <v>4.5571942E7</v>
      </c>
      <c r="AL46" s="21">
        <v>35.0</v>
      </c>
      <c r="AM46" s="35">
        <v>8.22</v>
      </c>
      <c r="AN46" s="21">
        <v>50.98</v>
      </c>
      <c r="AO46" s="35">
        <v>5.11</v>
      </c>
      <c r="AP46" s="21">
        <v>82.9</v>
      </c>
      <c r="AQ46" s="23">
        <v>74.96</v>
      </c>
      <c r="AR46" s="23">
        <v>9.99</v>
      </c>
      <c r="AS46" s="23">
        <v>5.0</v>
      </c>
      <c r="AT46" s="23">
        <v>9.99</v>
      </c>
      <c r="AU46" s="23">
        <v>44.98</v>
      </c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36"/>
      <c r="BH46" s="36"/>
      <c r="BI46" s="36"/>
      <c r="BJ46" s="36"/>
      <c r="BK46" s="36"/>
      <c r="BL46" s="36"/>
      <c r="BM46" s="36"/>
      <c r="BN46" s="36"/>
      <c r="BO46" s="36"/>
      <c r="BP46" s="36"/>
      <c r="BQ46" s="36"/>
    </row>
    <row r="47">
      <c r="A47" s="31">
        <v>45638.0</v>
      </c>
      <c r="B47" s="31">
        <v>45645.0</v>
      </c>
      <c r="C47" s="32">
        <v>23956.7</v>
      </c>
      <c r="D47" s="33">
        <v>24214.7</v>
      </c>
      <c r="E47" s="32">
        <v>-1.07</v>
      </c>
      <c r="F47" s="32" t="s">
        <v>61</v>
      </c>
      <c r="G47" s="34" t="s">
        <v>62</v>
      </c>
      <c r="H47" s="21" t="s">
        <v>127</v>
      </c>
      <c r="I47" s="35" t="s">
        <v>49</v>
      </c>
      <c r="J47" s="21">
        <v>1.0</v>
      </c>
      <c r="K47" s="21">
        <v>1329.0</v>
      </c>
      <c r="L47" s="35">
        <v>4214.0</v>
      </c>
      <c r="M47" s="35">
        <v>1750.0</v>
      </c>
      <c r="N47" s="21">
        <v>1856.0</v>
      </c>
      <c r="O47" s="35">
        <v>39.65</v>
      </c>
      <c r="P47" s="21">
        <v>1887.5</v>
      </c>
      <c r="Q47" s="35">
        <v>42.02</v>
      </c>
      <c r="R47" s="21">
        <v>1587.0</v>
      </c>
      <c r="S47" s="35">
        <v>19.41</v>
      </c>
      <c r="T47" s="21">
        <v>80.64</v>
      </c>
      <c r="U47" s="21">
        <v>24.99</v>
      </c>
      <c r="V47" s="21">
        <v>19.77</v>
      </c>
      <c r="W47" s="21">
        <v>14.55</v>
      </c>
      <c r="X47" s="21">
        <v>1377.11</v>
      </c>
      <c r="Y47" s="35">
        <v>28.62</v>
      </c>
      <c r="Z47" s="21">
        <v>32.0</v>
      </c>
      <c r="AA47" s="21">
        <v>31.56</v>
      </c>
      <c r="AB47" s="21">
        <v>-0.06</v>
      </c>
      <c r="AC47" s="21">
        <v>20.38</v>
      </c>
      <c r="AD47" s="21">
        <v>32.0</v>
      </c>
      <c r="AE47" s="21">
        <v>19.07</v>
      </c>
      <c r="AF47" s="23">
        <v>1.879551E7</v>
      </c>
      <c r="AG47" s="23">
        <v>1.4047884E7</v>
      </c>
      <c r="AH47" s="23">
        <v>1873051.0</v>
      </c>
      <c r="AI47" s="23">
        <v>936525.0</v>
      </c>
      <c r="AJ47" s="23">
        <v>1873050.0</v>
      </c>
      <c r="AK47" s="23">
        <v>8428730.0</v>
      </c>
      <c r="AL47" s="21">
        <v>11.0</v>
      </c>
      <c r="AM47" s="21">
        <v>21.59</v>
      </c>
      <c r="AN47" s="21">
        <v>61.55</v>
      </c>
      <c r="AO47" s="21">
        <v>24.31</v>
      </c>
      <c r="AP47" s="21">
        <v>54.66</v>
      </c>
      <c r="AQ47" s="23">
        <v>74.74</v>
      </c>
      <c r="AR47" s="23">
        <v>9.97</v>
      </c>
      <c r="AS47" s="23">
        <v>4.98</v>
      </c>
      <c r="AT47" s="23">
        <v>9.97</v>
      </c>
      <c r="AU47" s="23">
        <v>44.84</v>
      </c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 s="36"/>
      <c r="BJ47" s="36"/>
      <c r="BK47" s="36"/>
      <c r="BL47" s="36"/>
      <c r="BM47" s="36"/>
      <c r="BN47" s="36"/>
      <c r="BO47" s="36"/>
      <c r="BP47" s="36"/>
      <c r="BQ47" s="36"/>
    </row>
    <row r="48">
      <c r="A48" s="31">
        <v>45637.0</v>
      </c>
      <c r="B48" s="31">
        <v>45644.0</v>
      </c>
      <c r="C48" s="32">
        <v>24252.25</v>
      </c>
      <c r="D48" s="33">
        <v>24319.35</v>
      </c>
      <c r="E48" s="32">
        <v>-0.28</v>
      </c>
      <c r="F48" s="32" t="s">
        <v>61</v>
      </c>
      <c r="G48" s="34" t="s">
        <v>50</v>
      </c>
      <c r="H48" s="21" t="s">
        <v>128</v>
      </c>
      <c r="I48" s="35" t="s">
        <v>49</v>
      </c>
      <c r="J48" s="21">
        <v>2.0</v>
      </c>
      <c r="K48" s="21">
        <v>279.0</v>
      </c>
      <c r="L48" s="35">
        <v>1605.0</v>
      </c>
      <c r="M48" s="35">
        <v>439.0</v>
      </c>
      <c r="N48" s="21">
        <v>440.0</v>
      </c>
      <c r="O48" s="35">
        <v>57.71</v>
      </c>
      <c r="P48" s="21">
        <v>530.3</v>
      </c>
      <c r="Q48" s="35">
        <v>90.07</v>
      </c>
      <c r="R48" s="21">
        <v>245.57</v>
      </c>
      <c r="S48" s="35">
        <v>-11.98</v>
      </c>
      <c r="T48" s="21">
        <v>125.82</v>
      </c>
      <c r="U48" s="21">
        <v>109.7</v>
      </c>
      <c r="V48" s="21">
        <v>124.71</v>
      </c>
      <c r="W48" s="21">
        <v>141.78</v>
      </c>
      <c r="X48" s="21">
        <v>162.59</v>
      </c>
      <c r="Y48" s="35">
        <v>4.25</v>
      </c>
      <c r="Z48" s="35">
        <v>8.66</v>
      </c>
      <c r="AA48" s="35">
        <v>-4.8</v>
      </c>
      <c r="AB48" s="21">
        <v>0.73</v>
      </c>
      <c r="AC48" s="35">
        <v>1.6</v>
      </c>
      <c r="AD48" s="21">
        <v>8.66</v>
      </c>
      <c r="AE48" s="21">
        <v>9.81</v>
      </c>
      <c r="AF48" s="23">
        <v>2.0501792E7</v>
      </c>
      <c r="AG48" s="23">
        <v>1.5376345E7</v>
      </c>
      <c r="AH48" s="23">
        <v>2050179.0</v>
      </c>
      <c r="AI48" s="23">
        <v>1025089.0</v>
      </c>
      <c r="AJ48" s="23">
        <v>2050179.0</v>
      </c>
      <c r="AK48" s="23">
        <v>9225807.0</v>
      </c>
      <c r="AL48" s="21">
        <v>53.0</v>
      </c>
      <c r="AM48" s="21">
        <v>2.46</v>
      </c>
      <c r="AN48" s="21">
        <v>113.32</v>
      </c>
      <c r="AO48" s="21">
        <v>-3.22</v>
      </c>
      <c r="AP48" s="21">
        <v>-86.75</v>
      </c>
      <c r="AQ48" s="23">
        <v>75.0</v>
      </c>
      <c r="AR48" s="23">
        <v>10.0</v>
      </c>
      <c r="AS48" s="23">
        <v>5.0</v>
      </c>
      <c r="AT48" s="23">
        <v>10.0</v>
      </c>
      <c r="AU48" s="23">
        <v>45.0</v>
      </c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36"/>
      <c r="BK48" s="36"/>
      <c r="BL48" s="36"/>
      <c r="BM48" s="36"/>
      <c r="BN48" s="36"/>
      <c r="BO48" s="36"/>
      <c r="BP48" s="36"/>
      <c r="BQ48" s="36"/>
    </row>
    <row r="49">
      <c r="A49" s="31">
        <v>45637.0</v>
      </c>
      <c r="B49" s="31">
        <v>45644.0</v>
      </c>
      <c r="C49" s="32">
        <v>24252.25</v>
      </c>
      <c r="D49" s="33">
        <v>24319.35</v>
      </c>
      <c r="E49" s="32">
        <v>-0.28</v>
      </c>
      <c r="F49" s="32" t="s">
        <v>61</v>
      </c>
      <c r="G49" s="34" t="s">
        <v>62</v>
      </c>
      <c r="H49" s="21" t="s">
        <v>129</v>
      </c>
      <c r="I49" s="35" t="s">
        <v>69</v>
      </c>
      <c r="J49" s="21">
        <v>1.0</v>
      </c>
      <c r="K49" s="21">
        <v>549.0</v>
      </c>
      <c r="L49" s="35">
        <v>723.0</v>
      </c>
      <c r="M49" s="35">
        <v>621.0</v>
      </c>
      <c r="N49" s="21">
        <v>650.0</v>
      </c>
      <c r="O49" s="35">
        <v>18.4</v>
      </c>
      <c r="P49" s="21">
        <v>765.3</v>
      </c>
      <c r="Q49" s="35">
        <v>39.4</v>
      </c>
      <c r="R49" s="21">
        <v>808.45</v>
      </c>
      <c r="S49" s="35">
        <v>47.26</v>
      </c>
      <c r="T49" s="21">
        <v>29.78</v>
      </c>
      <c r="U49" s="21">
        <v>6.1</v>
      </c>
      <c r="V49" s="21">
        <v>2.78</v>
      </c>
      <c r="W49" s="21">
        <v>1.39</v>
      </c>
      <c r="X49" s="21">
        <v>1044.75</v>
      </c>
      <c r="Y49" s="35">
        <v>20.48</v>
      </c>
      <c r="Z49" s="21">
        <v>11.79</v>
      </c>
      <c r="AA49" s="21">
        <v>15.96</v>
      </c>
      <c r="AB49" s="35">
        <v>0.75</v>
      </c>
      <c r="AC49" s="21">
        <v>5.65</v>
      </c>
      <c r="AD49" s="21">
        <v>8.13</v>
      </c>
      <c r="AE49" s="21">
        <v>10.18</v>
      </c>
      <c r="AF49" s="23">
        <v>5.5421123E7</v>
      </c>
      <c r="AG49" s="23">
        <v>2.771056E7</v>
      </c>
      <c r="AH49" s="23">
        <v>5542113.0</v>
      </c>
      <c r="AI49" s="23">
        <v>2771056.0</v>
      </c>
      <c r="AJ49" s="23">
        <v>1.9397394E7</v>
      </c>
      <c r="AK49" s="23">
        <v>1.6626336E7</v>
      </c>
      <c r="AL49" s="21">
        <v>27.0</v>
      </c>
      <c r="AM49" s="21">
        <v>4.34</v>
      </c>
      <c r="AN49" s="21">
        <v>126.42</v>
      </c>
      <c r="AO49" s="21">
        <v>2.69</v>
      </c>
      <c r="AP49" s="21">
        <v>203.82</v>
      </c>
      <c r="AQ49" s="23">
        <v>50.0</v>
      </c>
      <c r="AR49" s="23">
        <v>10.0</v>
      </c>
      <c r="AS49" s="23">
        <v>5.0</v>
      </c>
      <c r="AT49" s="23">
        <v>35.0</v>
      </c>
      <c r="AU49" s="23">
        <v>30.0</v>
      </c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6"/>
      <c r="BK49" s="36"/>
      <c r="BL49" s="36"/>
      <c r="BM49" s="36"/>
      <c r="BN49" s="36"/>
      <c r="BO49" s="36"/>
      <c r="BP49" s="36"/>
      <c r="BQ49" s="36"/>
    </row>
    <row r="50">
      <c r="A50" s="31">
        <v>45637.0</v>
      </c>
      <c r="B50" s="31">
        <v>45644.0</v>
      </c>
      <c r="C50" s="32">
        <v>24252.25</v>
      </c>
      <c r="D50" s="33">
        <v>24319.35</v>
      </c>
      <c r="E50" s="32">
        <v>-0.28</v>
      </c>
      <c r="F50" s="32" t="s">
        <v>61</v>
      </c>
      <c r="G50" s="34" t="s">
        <v>55</v>
      </c>
      <c r="H50" s="21" t="s">
        <v>130</v>
      </c>
      <c r="I50" s="35" t="s">
        <v>69</v>
      </c>
      <c r="J50" s="21">
        <v>10.0</v>
      </c>
      <c r="K50" s="21">
        <v>78.0</v>
      </c>
      <c r="L50" s="35">
        <v>224.0</v>
      </c>
      <c r="M50" s="35">
        <v>100.0</v>
      </c>
      <c r="N50" s="21">
        <v>104.0</v>
      </c>
      <c r="O50" s="35">
        <v>33.33</v>
      </c>
      <c r="P50" s="21">
        <v>111.95</v>
      </c>
      <c r="Q50" s="35">
        <v>43.53</v>
      </c>
      <c r="R50" s="21">
        <v>139.54</v>
      </c>
      <c r="S50" s="35">
        <v>78.9</v>
      </c>
      <c r="T50" s="21">
        <v>85.11</v>
      </c>
      <c r="U50" s="21">
        <v>17.34</v>
      </c>
      <c r="V50" s="21">
        <v>10.37</v>
      </c>
      <c r="W50" s="21">
        <v>2.43</v>
      </c>
      <c r="X50" s="21">
        <v>5923.74</v>
      </c>
      <c r="Y50" s="35">
        <v>14.0</v>
      </c>
      <c r="Z50" s="35">
        <v>9.0</v>
      </c>
      <c r="AA50" s="21">
        <v>68.76</v>
      </c>
      <c r="AB50" s="35">
        <v>0.19</v>
      </c>
      <c r="AC50" s="21">
        <v>5.18</v>
      </c>
      <c r="AD50" s="21">
        <v>8.18</v>
      </c>
      <c r="AE50" s="21">
        <v>6.23</v>
      </c>
      <c r="AF50" s="28">
        <v>1.03E9</v>
      </c>
      <c r="AG50" s="28">
        <v>5.13E8</v>
      </c>
      <c r="AH50" s="28">
        <v>1.03E8</v>
      </c>
      <c r="AI50" s="23">
        <v>5.1282051E7</v>
      </c>
      <c r="AJ50" s="28">
        <v>3.59E8</v>
      </c>
      <c r="AK50" s="28">
        <v>3.08E8</v>
      </c>
      <c r="AL50" s="21">
        <v>190.0</v>
      </c>
      <c r="AM50" s="21">
        <v>1.02</v>
      </c>
      <c r="AN50" s="21">
        <v>76.13</v>
      </c>
      <c r="AO50" s="21">
        <v>1.13</v>
      </c>
      <c r="AP50" s="21">
        <v>69.19</v>
      </c>
      <c r="AQ50" s="23">
        <v>50.0</v>
      </c>
      <c r="AR50" s="23">
        <v>10.0</v>
      </c>
      <c r="AS50" s="23">
        <v>5.0</v>
      </c>
      <c r="AT50" s="23">
        <v>35.0</v>
      </c>
      <c r="AU50" s="23">
        <v>30.0</v>
      </c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6"/>
      <c r="BK50" s="36"/>
      <c r="BL50" s="36"/>
      <c r="BM50" s="36"/>
      <c r="BN50" s="36"/>
      <c r="BO50" s="36"/>
      <c r="BP50" s="36"/>
      <c r="BQ50" s="36"/>
    </row>
    <row r="51">
      <c r="A51" s="31">
        <v>45625.0</v>
      </c>
      <c r="B51" s="31">
        <v>45632.0</v>
      </c>
      <c r="C51" s="32">
        <v>24694.7</v>
      </c>
      <c r="D51" s="33">
        <v>24701.55</v>
      </c>
      <c r="E51" s="32">
        <v>-0.03</v>
      </c>
      <c r="F51" s="32" t="s">
        <v>70</v>
      </c>
      <c r="G51" s="34" t="s">
        <v>62</v>
      </c>
      <c r="H51" s="21" t="s">
        <v>131</v>
      </c>
      <c r="I51" s="35" t="s">
        <v>49</v>
      </c>
      <c r="J51" s="21">
        <v>2.0</v>
      </c>
      <c r="K51" s="21">
        <v>352.0</v>
      </c>
      <c r="L51" s="35">
        <v>131.0</v>
      </c>
      <c r="M51" s="35">
        <v>454.0</v>
      </c>
      <c r="N51" s="21">
        <v>438.0</v>
      </c>
      <c r="O51" s="35">
        <v>-0.68</v>
      </c>
      <c r="P51" s="21">
        <v>441.0</v>
      </c>
      <c r="Q51" s="35">
        <v>0.0</v>
      </c>
      <c r="R51" s="21">
        <v>300.95</v>
      </c>
      <c r="S51" s="35">
        <v>-31.76</v>
      </c>
      <c r="T51" s="21">
        <v>2.76</v>
      </c>
      <c r="U51" s="21">
        <v>0.56</v>
      </c>
      <c r="V51" s="21">
        <v>1.68</v>
      </c>
      <c r="W51" s="21">
        <v>1.76</v>
      </c>
      <c r="X51" s="21">
        <v>233.84</v>
      </c>
      <c r="Y51" s="35">
        <v>33.65</v>
      </c>
      <c r="Z51" s="21">
        <v>-11.16</v>
      </c>
      <c r="AA51" s="21">
        <v>-2.35</v>
      </c>
      <c r="AB51" s="21">
        <v>3.01</v>
      </c>
      <c r="AC51" s="21">
        <v>-4.97</v>
      </c>
      <c r="AD51" s="21">
        <v>-11.16</v>
      </c>
      <c r="AE51" s="21">
        <v>6.31</v>
      </c>
      <c r="AF51" s="23">
        <v>1.918933E7</v>
      </c>
      <c r="AG51" s="23">
        <v>9594664.0</v>
      </c>
      <c r="AH51" s="23">
        <v>1918934.0</v>
      </c>
      <c r="AI51" s="23">
        <v>959466.0</v>
      </c>
      <c r="AJ51" s="23">
        <v>6716266.0</v>
      </c>
      <c r="AK51" s="23">
        <v>5756797.0</v>
      </c>
      <c r="AL51" s="21">
        <v>42.0</v>
      </c>
      <c r="AM51" s="21">
        <v>2.93</v>
      </c>
      <c r="AN51" s="21">
        <v>120.04</v>
      </c>
      <c r="AO51" s="21">
        <v>-20.4</v>
      </c>
      <c r="AP51" s="21">
        <v>-17.25</v>
      </c>
      <c r="AQ51" s="23">
        <v>50.0</v>
      </c>
      <c r="AR51" s="23">
        <v>10.0</v>
      </c>
      <c r="AS51" s="23">
        <v>5.0</v>
      </c>
      <c r="AT51" s="23">
        <v>35.0</v>
      </c>
      <c r="AU51" s="23">
        <v>30.0</v>
      </c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  <c r="BK51" s="36"/>
      <c r="BL51" s="36"/>
      <c r="BM51" s="36"/>
      <c r="BN51" s="36"/>
      <c r="BO51" s="36"/>
      <c r="BP51" s="36"/>
      <c r="BQ51" s="36"/>
    </row>
    <row r="52">
      <c r="A52" s="31">
        <v>45618.0</v>
      </c>
      <c r="B52" s="31">
        <v>45625.0</v>
      </c>
      <c r="C52" s="32">
        <v>24046.2</v>
      </c>
      <c r="D52" s="33">
        <v>23957.45</v>
      </c>
      <c r="E52" s="32">
        <v>0.37</v>
      </c>
      <c r="F52" s="32" t="s">
        <v>61</v>
      </c>
      <c r="G52" s="34" t="s">
        <v>55</v>
      </c>
      <c r="H52" s="21" t="s">
        <v>132</v>
      </c>
      <c r="I52" s="35" t="s">
        <v>49</v>
      </c>
      <c r="J52" s="21">
        <v>10.0</v>
      </c>
      <c r="K52" s="21">
        <v>203.0</v>
      </c>
      <c r="L52" s="35">
        <v>574.0</v>
      </c>
      <c r="M52" s="35">
        <v>205.0</v>
      </c>
      <c r="N52" s="21">
        <v>220.0</v>
      </c>
      <c r="O52" s="35">
        <v>48.65</v>
      </c>
      <c r="P52" s="21">
        <v>207.07</v>
      </c>
      <c r="Q52" s="35">
        <v>39.91</v>
      </c>
      <c r="R52" s="21">
        <v>252.89</v>
      </c>
      <c r="S52" s="35">
        <v>70.87</v>
      </c>
      <c r="T52" s="21">
        <v>13.91</v>
      </c>
      <c r="U52" s="21">
        <v>77.86</v>
      </c>
      <c r="V52" s="21">
        <v>91.69</v>
      </c>
      <c r="W52" s="21">
        <v>39.79</v>
      </c>
      <c r="X52" s="21">
        <v>155.81</v>
      </c>
      <c r="Y52" s="35">
        <v>23.2</v>
      </c>
      <c r="Z52" s="21">
        <v>8.48</v>
      </c>
      <c r="AA52" s="21">
        <v>8.97</v>
      </c>
      <c r="AB52" s="21">
        <v>0.91</v>
      </c>
      <c r="AC52" s="21">
        <v>13.52</v>
      </c>
      <c r="AD52" s="21">
        <v>9.57</v>
      </c>
      <c r="AE52" s="21">
        <v>4.68</v>
      </c>
      <c r="AF52" s="23">
        <v>4.3948E7</v>
      </c>
      <c r="AG52" s="23">
        <v>2.1924E7</v>
      </c>
      <c r="AH52" s="23">
        <v>4384800.0</v>
      </c>
      <c r="AI52" s="23">
        <v>2192400.0</v>
      </c>
      <c r="AJ52" s="23">
        <v>1.53468E7</v>
      </c>
      <c r="AK52" s="23">
        <v>1.31544E7</v>
      </c>
      <c r="AL52" s="21">
        <v>73.0</v>
      </c>
      <c r="AM52" s="21">
        <v>16.84</v>
      </c>
      <c r="AN52" s="21">
        <v>12.06</v>
      </c>
      <c r="AO52" s="21">
        <v>12.2</v>
      </c>
      <c r="AP52" s="21">
        <v>16.63</v>
      </c>
      <c r="AQ52" s="23">
        <v>49.89</v>
      </c>
      <c r="AR52" s="23">
        <v>9.98</v>
      </c>
      <c r="AS52" s="23">
        <v>4.99</v>
      </c>
      <c r="AT52" s="23">
        <v>34.92</v>
      </c>
      <c r="AU52" s="23">
        <v>29.93</v>
      </c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6"/>
      <c r="BK52" s="36"/>
      <c r="BL52" s="36"/>
      <c r="BM52" s="36"/>
      <c r="BN52" s="36"/>
      <c r="BO52" s="36"/>
      <c r="BP52" s="36"/>
      <c r="BQ52" s="36"/>
    </row>
    <row r="53">
      <c r="A53" s="31">
        <v>45615.0</v>
      </c>
      <c r="B53" s="31">
        <v>45623.0</v>
      </c>
      <c r="C53" s="32">
        <v>24197.85</v>
      </c>
      <c r="D53" s="33">
        <v>24192.95</v>
      </c>
      <c r="E53" s="32">
        <v>0.02</v>
      </c>
      <c r="F53" s="32" t="s">
        <v>70</v>
      </c>
      <c r="G53" s="34" t="s">
        <v>94</v>
      </c>
      <c r="H53" s="21" t="s">
        <v>133</v>
      </c>
      <c r="I53" s="35" t="s">
        <v>49</v>
      </c>
      <c r="J53" s="21">
        <v>10.0</v>
      </c>
      <c r="K53" s="21">
        <v>1503.0</v>
      </c>
      <c r="L53" s="35">
        <v>11.0</v>
      </c>
      <c r="M53" s="35">
        <v>109.0</v>
      </c>
      <c r="N53" s="21">
        <v>111.5</v>
      </c>
      <c r="O53" s="35">
        <v>3.24</v>
      </c>
      <c r="P53" s="21">
        <v>122.1</v>
      </c>
      <c r="Q53" s="35">
        <v>13.06</v>
      </c>
      <c r="R53" s="21">
        <v>104.27</v>
      </c>
      <c r="S53" s="35">
        <v>-3.45</v>
      </c>
      <c r="T53" s="21">
        <v>215.03</v>
      </c>
      <c r="U53" s="21">
        <v>71.32</v>
      </c>
      <c r="V53" s="21">
        <v>53.1</v>
      </c>
      <c r="W53" s="21">
        <v>11.27</v>
      </c>
      <c r="X53" s="21">
        <v>4471.71</v>
      </c>
      <c r="Y53" s="35">
        <v>88.9</v>
      </c>
      <c r="Z53" s="21">
        <v>8.79</v>
      </c>
      <c r="AA53" s="21">
        <v>9.45</v>
      </c>
      <c r="AB53" s="21">
        <v>0.06</v>
      </c>
      <c r="AC53" s="21">
        <v>11.47</v>
      </c>
      <c r="AD53" s="21">
        <v>8.81</v>
      </c>
      <c r="AE53" s="21">
        <v>8.84</v>
      </c>
      <c r="AF53" s="28">
        <v>9.27E8</v>
      </c>
      <c r="AG53" s="28">
        <v>6.11E8</v>
      </c>
      <c r="AH53" s="23">
        <v>8.1481481E7</v>
      </c>
      <c r="AI53" s="23">
        <v>4.0740741E7</v>
      </c>
      <c r="AJ53" s="23">
        <v>8.1481481E7</v>
      </c>
      <c r="AK53" s="28">
        <v>3.67E8</v>
      </c>
      <c r="AL53" s="21">
        <v>9.0</v>
      </c>
      <c r="AM53" s="21">
        <v>48.69</v>
      </c>
      <c r="AN53" s="21">
        <v>30.87</v>
      </c>
      <c r="AO53" s="21">
        <v>56.16</v>
      </c>
      <c r="AP53" s="21">
        <v>26.76</v>
      </c>
      <c r="AQ53" s="23">
        <v>65.94</v>
      </c>
      <c r="AR53" s="23">
        <v>8.79</v>
      </c>
      <c r="AS53" s="23">
        <v>4.4</v>
      </c>
      <c r="AT53" s="23">
        <v>8.79</v>
      </c>
      <c r="AU53" s="23">
        <v>39.56</v>
      </c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6"/>
      <c r="BK53" s="36"/>
      <c r="BL53" s="36"/>
      <c r="BM53" s="36"/>
      <c r="BN53" s="36"/>
      <c r="BO53" s="36"/>
      <c r="BP53" s="36"/>
      <c r="BQ53" s="36"/>
    </row>
    <row r="54">
      <c r="A54" s="31">
        <v>45609.0</v>
      </c>
      <c r="B54" s="31">
        <v>45618.0</v>
      </c>
      <c r="C54" s="32">
        <v>23494.75</v>
      </c>
      <c r="D54" s="33">
        <v>23346.75</v>
      </c>
      <c r="E54" s="32">
        <v>0.63</v>
      </c>
      <c r="F54" s="32" t="s">
        <v>54</v>
      </c>
      <c r="G54" s="34" t="s">
        <v>55</v>
      </c>
      <c r="H54" s="21" t="s">
        <v>134</v>
      </c>
      <c r="I54" s="35" t="s">
        <v>49</v>
      </c>
      <c r="J54" s="21">
        <v>1.0</v>
      </c>
      <c r="K54" s="21">
        <v>1960.0</v>
      </c>
      <c r="L54" s="35">
        <v>1.0</v>
      </c>
      <c r="M54" s="35">
        <v>273.0</v>
      </c>
      <c r="N54" s="21">
        <v>280.9</v>
      </c>
      <c r="O54" s="35">
        <v>2.89</v>
      </c>
      <c r="P54" s="21">
        <v>260.2</v>
      </c>
      <c r="Q54" s="35">
        <v>-4.69</v>
      </c>
      <c r="R54" s="21">
        <v>466.05</v>
      </c>
      <c r="S54" s="35">
        <v>70.71</v>
      </c>
      <c r="T54" s="21">
        <v>6.97</v>
      </c>
      <c r="U54" s="21">
        <v>0.58</v>
      </c>
      <c r="V54" s="21">
        <v>0.65</v>
      </c>
      <c r="W54" s="21">
        <v>0.5</v>
      </c>
      <c r="X54" s="21">
        <v>12148.71</v>
      </c>
      <c r="Y54" s="35">
        <v>53.4</v>
      </c>
      <c r="Z54" s="35" t="s">
        <v>57</v>
      </c>
      <c r="AA54" s="21">
        <v>13.69</v>
      </c>
      <c r="AB54" s="35">
        <v>0.56</v>
      </c>
      <c r="AC54" s="35">
        <v>-56.0</v>
      </c>
      <c r="AD54" s="21">
        <v>12.26</v>
      </c>
      <c r="AE54" s="21">
        <v>14.93</v>
      </c>
      <c r="AF54" s="23">
        <v>4.0834701E7</v>
      </c>
      <c r="AG54" s="23">
        <v>3.0606526E7</v>
      </c>
      <c r="AH54" s="23">
        <v>4080870.0</v>
      </c>
      <c r="AI54" s="23">
        <v>2040435.0</v>
      </c>
      <c r="AJ54" s="23">
        <v>4080870.0</v>
      </c>
      <c r="AK54" s="23">
        <v>1.8363915E7</v>
      </c>
      <c r="AL54" s="21">
        <v>7.0</v>
      </c>
      <c r="AM54" s="21">
        <v>74.58</v>
      </c>
      <c r="AN54" s="21">
        <v>26.28</v>
      </c>
      <c r="AO54" s="21">
        <v>73.33</v>
      </c>
      <c r="AP54" s="21">
        <v>26.73</v>
      </c>
      <c r="AQ54" s="23">
        <v>74.95</v>
      </c>
      <c r="AR54" s="23">
        <v>9.99</v>
      </c>
      <c r="AS54" s="23">
        <v>5.0</v>
      </c>
      <c r="AT54" s="23">
        <v>9.99</v>
      </c>
      <c r="AU54" s="23">
        <v>44.97</v>
      </c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 s="36"/>
      <c r="BJ54" s="36"/>
      <c r="BK54" s="36"/>
      <c r="BL54" s="36"/>
      <c r="BM54" s="36"/>
      <c r="BN54" s="36"/>
      <c r="BO54" s="36"/>
      <c r="BP54" s="36"/>
      <c r="BQ54" s="36"/>
    </row>
    <row r="55">
      <c r="A55" s="31">
        <v>45603.0</v>
      </c>
      <c r="B55" s="31">
        <v>45610.0</v>
      </c>
      <c r="C55" s="32">
        <v>23641.1</v>
      </c>
      <c r="D55" s="33">
        <v>23602.9</v>
      </c>
      <c r="E55" s="32">
        <v>0.16</v>
      </c>
      <c r="F55" s="32" t="s">
        <v>54</v>
      </c>
      <c r="G55" s="34" t="s">
        <v>52</v>
      </c>
      <c r="H55" s="21" t="s">
        <v>135</v>
      </c>
      <c r="I55" s="35" t="s">
        <v>69</v>
      </c>
      <c r="J55" s="21">
        <v>10.0</v>
      </c>
      <c r="K55" s="21">
        <v>95.0</v>
      </c>
      <c r="L55" s="35">
        <v>11.0</v>
      </c>
      <c r="M55" s="35">
        <v>75.0</v>
      </c>
      <c r="N55" s="21">
        <v>78.14</v>
      </c>
      <c r="O55" s="35">
        <v>5.59</v>
      </c>
      <c r="P55" s="21">
        <v>74.0</v>
      </c>
      <c r="Q55" s="35">
        <v>0.0</v>
      </c>
      <c r="R55" s="21">
        <v>87.55</v>
      </c>
      <c r="S55" s="35">
        <v>18.31</v>
      </c>
      <c r="T55" s="21">
        <v>1.24</v>
      </c>
      <c r="U55" s="21">
        <v>7.93</v>
      </c>
      <c r="V55" s="21">
        <v>11.23</v>
      </c>
      <c r="W55" s="21">
        <v>10.81</v>
      </c>
      <c r="X55" s="21">
        <v>122.51</v>
      </c>
      <c r="Y55" s="35">
        <v>4.7</v>
      </c>
      <c r="Z55" s="21">
        <v>36.14</v>
      </c>
      <c r="AA55" s="21">
        <v>46.69</v>
      </c>
      <c r="AB55" s="35">
        <v>0.12</v>
      </c>
      <c r="AC55" s="21">
        <v>23.63</v>
      </c>
      <c r="AD55" s="21">
        <v>30.62</v>
      </c>
      <c r="AE55" s="21">
        <v>5.97</v>
      </c>
      <c r="AF55" s="28">
        <v>2.97E8</v>
      </c>
      <c r="AG55" s="28">
        <v>2.23E8</v>
      </c>
      <c r="AH55" s="23">
        <v>2.9729729E7</v>
      </c>
      <c r="AI55" s="23">
        <v>1.4864865E7</v>
      </c>
      <c r="AJ55" s="23">
        <v>2.9729729E7</v>
      </c>
      <c r="AK55" s="28">
        <v>1.34E8</v>
      </c>
      <c r="AL55" s="21">
        <v>157.0</v>
      </c>
      <c r="AM55" s="21">
        <v>4.87</v>
      </c>
      <c r="AN55" s="21">
        <v>19.49</v>
      </c>
      <c r="AO55" s="21">
        <v>4.52</v>
      </c>
      <c r="AP55" s="21">
        <v>21.03</v>
      </c>
      <c r="AQ55" s="23">
        <v>75.0</v>
      </c>
      <c r="AR55" s="23">
        <v>10.0</v>
      </c>
      <c r="AS55" s="23">
        <v>5.0</v>
      </c>
      <c r="AT55" s="23">
        <v>10.0</v>
      </c>
      <c r="AU55" s="23">
        <v>45.0</v>
      </c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 s="36"/>
      <c r="BJ55" s="36"/>
      <c r="BK55" s="36"/>
      <c r="BL55" s="36"/>
      <c r="BM55" s="36"/>
      <c r="BN55" s="36"/>
      <c r="BO55" s="36"/>
      <c r="BP55" s="36"/>
      <c r="BQ55" s="36"/>
    </row>
    <row r="56">
      <c r="A56" s="31">
        <v>45602.0</v>
      </c>
      <c r="B56" s="31">
        <v>45609.0</v>
      </c>
      <c r="C56" s="32">
        <v>23784.9</v>
      </c>
      <c r="D56" s="33">
        <v>23842.95</v>
      </c>
      <c r="E56" s="32">
        <v>-0.24</v>
      </c>
      <c r="F56" s="32" t="s">
        <v>54</v>
      </c>
      <c r="G56" s="34" t="s">
        <v>94</v>
      </c>
      <c r="H56" s="21" t="s">
        <v>136</v>
      </c>
      <c r="I56" s="35" t="s">
        <v>49</v>
      </c>
      <c r="J56" s="21">
        <v>2.0</v>
      </c>
      <c r="K56" s="21">
        <v>168.0</v>
      </c>
      <c r="L56" s="35">
        <v>-41.0</v>
      </c>
      <c r="M56" s="35">
        <v>285.0</v>
      </c>
      <c r="N56" s="21">
        <v>251.0</v>
      </c>
      <c r="O56" s="35">
        <v>-13.15</v>
      </c>
      <c r="P56" s="21">
        <v>253.5</v>
      </c>
      <c r="Q56" s="35">
        <v>-12.28</v>
      </c>
      <c r="R56" s="21">
        <v>278.25</v>
      </c>
      <c r="S56" s="35">
        <v>-3.72</v>
      </c>
      <c r="T56" s="21">
        <v>95.74</v>
      </c>
      <c r="U56" s="21">
        <v>203.34</v>
      </c>
      <c r="V56" s="21">
        <v>216.13</v>
      </c>
      <c r="W56" s="21">
        <v>85.61</v>
      </c>
      <c r="X56" s="21">
        <v>190.7</v>
      </c>
      <c r="Y56" s="35">
        <v>82.6</v>
      </c>
      <c r="Z56" s="21">
        <v>18.52</v>
      </c>
      <c r="AA56" s="21">
        <v>20.63</v>
      </c>
      <c r="AB56" s="21">
        <v>0.18</v>
      </c>
      <c r="AC56" s="21">
        <v>10.79</v>
      </c>
      <c r="AD56" s="21">
        <v>18.52</v>
      </c>
      <c r="AE56" s="21">
        <v>2.47</v>
      </c>
      <c r="AF56" s="28">
        <v>1.0E8</v>
      </c>
      <c r="AG56" s="23">
        <v>7.5000001E7</v>
      </c>
      <c r="AH56" s="23">
        <v>9999999.0</v>
      </c>
      <c r="AI56" s="23">
        <v>5000000.0</v>
      </c>
      <c r="AJ56" s="23">
        <v>9999999.0</v>
      </c>
      <c r="AK56" s="23">
        <v>4.5E7</v>
      </c>
      <c r="AL56" s="21">
        <v>88.0</v>
      </c>
      <c r="AM56" s="21">
        <v>10.99</v>
      </c>
      <c r="AN56" s="21">
        <v>15.28</v>
      </c>
      <c r="AO56" s="21">
        <v>8.23</v>
      </c>
      <c r="AP56" s="21">
        <v>20.41</v>
      </c>
      <c r="AQ56" s="23">
        <v>74.71</v>
      </c>
      <c r="AR56" s="23">
        <v>9.96</v>
      </c>
      <c r="AS56" s="23">
        <v>4.98</v>
      </c>
      <c r="AT56" s="23">
        <v>9.96</v>
      </c>
      <c r="AU56" s="23">
        <v>44.83</v>
      </c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F56" s="36"/>
      <c r="BG56" s="36"/>
      <c r="BH56" s="36"/>
      <c r="BI56" s="36"/>
      <c r="BJ56" s="36"/>
      <c r="BK56" s="36"/>
      <c r="BL56" s="36"/>
      <c r="BM56" s="36"/>
      <c r="BN56" s="36"/>
      <c r="BO56" s="36"/>
      <c r="BP56" s="36"/>
      <c r="BQ56" s="36"/>
    </row>
    <row r="57">
      <c r="A57" s="31">
        <v>45602.0</v>
      </c>
      <c r="B57" s="31">
        <v>45609.0</v>
      </c>
      <c r="C57" s="32">
        <v>23784.9</v>
      </c>
      <c r="D57" s="33">
        <v>23842.95</v>
      </c>
      <c r="E57" s="32">
        <v>-0.24</v>
      </c>
      <c r="F57" s="32" t="s">
        <v>54</v>
      </c>
      <c r="G57" s="34" t="s">
        <v>55</v>
      </c>
      <c r="H57" s="21" t="s">
        <v>137</v>
      </c>
      <c r="I57" s="35" t="s">
        <v>77</v>
      </c>
      <c r="J57" s="21">
        <v>1.0</v>
      </c>
      <c r="K57" s="21">
        <v>220.0</v>
      </c>
      <c r="L57" s="35">
        <v>1.0</v>
      </c>
      <c r="M57" s="35">
        <v>390.0</v>
      </c>
      <c r="N57" s="21">
        <v>420.0</v>
      </c>
      <c r="O57" s="35">
        <v>7.69</v>
      </c>
      <c r="P57" s="21">
        <v>456.0</v>
      </c>
      <c r="Q57" s="35">
        <v>16.92</v>
      </c>
      <c r="R57" s="21">
        <v>403.75</v>
      </c>
      <c r="S57" s="35">
        <v>3.53</v>
      </c>
      <c r="T57" s="21">
        <v>253.04</v>
      </c>
      <c r="U57" s="21">
        <v>445.31</v>
      </c>
      <c r="V57" s="21">
        <v>401.01</v>
      </c>
      <c r="W57" s="21">
        <v>96.74</v>
      </c>
      <c r="X57" s="21">
        <v>131.65</v>
      </c>
      <c r="Y57" s="35">
        <v>-16.0</v>
      </c>
      <c r="Z57" s="21">
        <v>40.86</v>
      </c>
      <c r="AA57" s="21">
        <v>31.21</v>
      </c>
      <c r="AB57" s="21">
        <v>0.45</v>
      </c>
      <c r="AC57" s="21">
        <v>12.67</v>
      </c>
      <c r="AD57" s="21">
        <v>29.68</v>
      </c>
      <c r="AE57" s="35" t="s">
        <v>57</v>
      </c>
      <c r="AF57" s="28">
        <v>2.9E8</v>
      </c>
      <c r="AG57" s="28">
        <v>2.17E8</v>
      </c>
      <c r="AH57" s="23">
        <v>2.8974492E7</v>
      </c>
      <c r="AI57" s="23">
        <v>1.4487245E7</v>
      </c>
      <c r="AJ57" s="23">
        <v>2.8974491E7</v>
      </c>
      <c r="AK57" s="28">
        <v>1.3E8</v>
      </c>
      <c r="AL57" s="21">
        <v>65.0</v>
      </c>
      <c r="AM57" s="21">
        <v>8.88</v>
      </c>
      <c r="AN57" s="21">
        <v>24.78</v>
      </c>
      <c r="AO57" s="21">
        <v>6.56</v>
      </c>
      <c r="AP57" s="21">
        <v>33.52</v>
      </c>
      <c r="AQ57" s="23">
        <v>74.81</v>
      </c>
      <c r="AR57" s="23">
        <v>9.97</v>
      </c>
      <c r="AS57" s="23">
        <v>4.99</v>
      </c>
      <c r="AT57" s="23">
        <v>9.97</v>
      </c>
      <c r="AU57" s="23">
        <v>44.88</v>
      </c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  <c r="BK57" s="36"/>
      <c r="BL57" s="36"/>
      <c r="BM57" s="36"/>
      <c r="BN57" s="36"/>
      <c r="BO57" s="36"/>
      <c r="BP57" s="36"/>
      <c r="BQ57" s="36"/>
    </row>
    <row r="58">
      <c r="A58" s="31">
        <v>45601.0</v>
      </c>
      <c r="B58" s="31">
        <v>45608.0</v>
      </c>
      <c r="C58" s="32">
        <v>24206.8</v>
      </c>
      <c r="D58" s="33">
        <v>24122.1</v>
      </c>
      <c r="E58" s="32">
        <v>0.35</v>
      </c>
      <c r="F58" s="32" t="s">
        <v>54</v>
      </c>
      <c r="G58" s="34" t="s">
        <v>62</v>
      </c>
      <c r="H58" s="21" t="s">
        <v>138</v>
      </c>
      <c r="I58" s="35" t="s">
        <v>49</v>
      </c>
      <c r="J58" s="21">
        <v>10.0</v>
      </c>
      <c r="K58" s="21">
        <v>120.0</v>
      </c>
      <c r="L58" s="35">
        <v>0.301</v>
      </c>
      <c r="M58" s="35">
        <v>30.3</v>
      </c>
      <c r="N58" s="21">
        <v>31.06</v>
      </c>
      <c r="O58" s="35">
        <v>3.53</v>
      </c>
      <c r="P58" s="21">
        <v>29.36</v>
      </c>
      <c r="Q58" s="35">
        <v>-2.13</v>
      </c>
      <c r="R58" s="21">
        <v>46.62</v>
      </c>
      <c r="S58" s="35">
        <v>55.4</v>
      </c>
      <c r="T58" s="21">
        <v>148.55</v>
      </c>
      <c r="U58" s="21">
        <v>546.56</v>
      </c>
      <c r="V58" s="21">
        <v>441.73</v>
      </c>
      <c r="W58" s="21">
        <v>143.95</v>
      </c>
      <c r="X58" s="21">
        <v>200.61</v>
      </c>
      <c r="Y58" s="37">
        <v>23.48</v>
      </c>
      <c r="Z58" s="21">
        <v>21.36</v>
      </c>
      <c r="AA58" s="21">
        <v>19.39</v>
      </c>
      <c r="AB58" s="21">
        <v>3.75</v>
      </c>
      <c r="AC58" s="37">
        <v>4.8</v>
      </c>
      <c r="AD58" s="21">
        <v>15.66</v>
      </c>
      <c r="AE58" s="21">
        <v>2.25</v>
      </c>
      <c r="AF58" s="28">
        <v>7.02E8</v>
      </c>
      <c r="AG58" s="28">
        <v>5.25E8</v>
      </c>
      <c r="AH58" s="23">
        <v>7.0029926E7</v>
      </c>
      <c r="AI58" s="23">
        <v>3.5014963E7</v>
      </c>
      <c r="AJ58" s="23">
        <v>7.0029926E7</v>
      </c>
      <c r="AK58" s="28">
        <v>3.15E8</v>
      </c>
      <c r="AL58" s="21">
        <v>125.0</v>
      </c>
      <c r="AM58" s="21">
        <v>8.34</v>
      </c>
      <c r="AN58" s="21">
        <v>14.39</v>
      </c>
      <c r="AO58" s="21">
        <v>6.25</v>
      </c>
      <c r="AP58" s="21">
        <v>19.19</v>
      </c>
      <c r="AQ58" s="23">
        <v>74.8</v>
      </c>
      <c r="AR58" s="23">
        <v>9.97</v>
      </c>
      <c r="AS58" s="23">
        <v>4.99</v>
      </c>
      <c r="AT58" s="23">
        <v>9.97</v>
      </c>
      <c r="AU58" s="23">
        <v>44.88</v>
      </c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  <c r="BH58" s="36"/>
      <c r="BI58" s="36"/>
      <c r="BJ58" s="36"/>
      <c r="BK58" s="36"/>
      <c r="BL58" s="36"/>
      <c r="BM58" s="36"/>
      <c r="BN58" s="36"/>
      <c r="BO58" s="36"/>
      <c r="BP58" s="36"/>
      <c r="BQ58" s="36"/>
    </row>
    <row r="59">
      <c r="A59" s="31">
        <v>45590.0</v>
      </c>
      <c r="B59" s="31">
        <v>45600.0</v>
      </c>
      <c r="C59" s="38">
        <v>24046.15</v>
      </c>
      <c r="D59" s="38">
        <v>23995.35</v>
      </c>
      <c r="E59" s="39">
        <v>0.21</v>
      </c>
      <c r="F59" s="39" t="s">
        <v>54</v>
      </c>
      <c r="G59" s="34" t="s">
        <v>78</v>
      </c>
      <c r="H59" s="21" t="s">
        <v>139</v>
      </c>
      <c r="I59" s="35" t="s">
        <v>69</v>
      </c>
      <c r="J59" s="21">
        <v>10.0</v>
      </c>
      <c r="K59" s="21">
        <v>263.0</v>
      </c>
      <c r="L59" s="35">
        <v>151.0</v>
      </c>
      <c r="M59" s="35">
        <v>478.0</v>
      </c>
      <c r="N59" s="21">
        <v>426.0</v>
      </c>
      <c r="O59" s="35">
        <v>-7.99</v>
      </c>
      <c r="P59" s="21">
        <v>474.55</v>
      </c>
      <c r="Q59" s="35">
        <v>2.49</v>
      </c>
      <c r="R59" s="21">
        <v>399.25</v>
      </c>
      <c r="S59" s="35">
        <v>-13.77</v>
      </c>
      <c r="T59" s="21">
        <v>242.73</v>
      </c>
      <c r="U59" s="21">
        <v>160.48</v>
      </c>
      <c r="V59" s="21">
        <v>121.79</v>
      </c>
      <c r="W59" s="21">
        <v>32.01</v>
      </c>
      <c r="X59" s="35">
        <v>3662.0</v>
      </c>
      <c r="Y59" s="35">
        <v>10.87</v>
      </c>
      <c r="Z59" s="35">
        <v>13.0</v>
      </c>
      <c r="AA59" s="35">
        <v>20.0</v>
      </c>
      <c r="AB59" s="21">
        <v>3.9</v>
      </c>
      <c r="AC59" s="35">
        <v>3.25</v>
      </c>
      <c r="AD59" s="21">
        <v>13.32</v>
      </c>
      <c r="AE59" s="21">
        <v>1.49</v>
      </c>
      <c r="AF59" s="28">
        <v>1.17E8</v>
      </c>
      <c r="AG59" s="23">
        <v>5.8369329E7</v>
      </c>
      <c r="AH59" s="23">
        <v>1.1673867E7</v>
      </c>
      <c r="AI59" s="23">
        <v>5836933.0</v>
      </c>
      <c r="AJ59" s="23">
        <v>4.0858532E7</v>
      </c>
      <c r="AK59" s="23">
        <v>3.5021597E7</v>
      </c>
      <c r="AL59" s="21">
        <v>57.0</v>
      </c>
      <c r="AM59" s="21">
        <v>22.32</v>
      </c>
      <c r="AN59" s="21">
        <v>11.78</v>
      </c>
      <c r="AO59" s="21">
        <v>19.69</v>
      </c>
      <c r="AP59" s="21">
        <v>13.36</v>
      </c>
      <c r="AQ59" s="23">
        <v>49.75</v>
      </c>
      <c r="AR59" s="23">
        <v>9.95</v>
      </c>
      <c r="AS59" s="23">
        <v>4.97</v>
      </c>
      <c r="AT59" s="23">
        <v>34.82</v>
      </c>
      <c r="AU59" s="23">
        <v>29.85</v>
      </c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 s="36"/>
      <c r="BN59" s="36"/>
      <c r="BO59" s="36"/>
      <c r="BP59" s="36"/>
      <c r="BQ59" s="36"/>
    </row>
    <row r="60">
      <c r="A60" s="31">
        <v>45588.0</v>
      </c>
      <c r="B60" s="31">
        <v>45595.0</v>
      </c>
      <c r="C60" s="32">
        <v>24398.1</v>
      </c>
      <c r="D60" s="33">
        <v>24454.0</v>
      </c>
      <c r="E60" s="32">
        <v>-0.23</v>
      </c>
      <c r="F60" s="32" t="s">
        <v>54</v>
      </c>
      <c r="G60" s="34" t="s">
        <v>81</v>
      </c>
      <c r="H60" s="21" t="s">
        <v>140</v>
      </c>
      <c r="I60" s="35" t="s">
        <v>69</v>
      </c>
      <c r="J60" s="21">
        <v>10.0</v>
      </c>
      <c r="K60" s="21">
        <v>128.0</v>
      </c>
      <c r="L60" s="35">
        <v>51.0</v>
      </c>
      <c r="M60" s="35">
        <v>357.0</v>
      </c>
      <c r="N60" s="21">
        <v>308.0</v>
      </c>
      <c r="O60" s="35">
        <v>-12.5</v>
      </c>
      <c r="P60" s="21">
        <v>343.2</v>
      </c>
      <c r="Q60" s="35">
        <v>-2.5</v>
      </c>
      <c r="R60" s="21">
        <v>312.16</v>
      </c>
      <c r="S60" s="35">
        <v>-11.32</v>
      </c>
      <c r="T60" s="21">
        <v>172.6</v>
      </c>
      <c r="U60" s="21">
        <v>169.95</v>
      </c>
      <c r="V60" s="21">
        <v>176.76</v>
      </c>
      <c r="W60" s="21">
        <v>53.78</v>
      </c>
      <c r="X60" s="21">
        <v>323.4</v>
      </c>
      <c r="Y60" s="35">
        <v>8.77</v>
      </c>
      <c r="Z60" s="21">
        <v>46.9</v>
      </c>
      <c r="AA60" s="21">
        <v>47.34</v>
      </c>
      <c r="AB60" s="21">
        <v>0.21</v>
      </c>
      <c r="AC60" s="21">
        <v>19.35</v>
      </c>
      <c r="AD60" s="21">
        <v>46.9</v>
      </c>
      <c r="AE60" s="21">
        <v>6.02</v>
      </c>
      <c r="AF60" s="23">
        <v>1.5759937E7</v>
      </c>
      <c r="AG60" s="23">
        <v>7879968.0</v>
      </c>
      <c r="AH60" s="23">
        <v>1575994.0</v>
      </c>
      <c r="AI60" s="23">
        <v>787997.0</v>
      </c>
      <c r="AJ60" s="23">
        <v>5515978.0</v>
      </c>
      <c r="AK60" s="23">
        <v>4727980.0</v>
      </c>
      <c r="AL60" s="21">
        <v>110.0</v>
      </c>
      <c r="AM60" s="21">
        <v>7.99</v>
      </c>
      <c r="AN60" s="21">
        <v>16.01</v>
      </c>
      <c r="AO60" s="21">
        <v>6.61</v>
      </c>
      <c r="AP60" s="21">
        <v>19.35</v>
      </c>
      <c r="AQ60" s="23">
        <v>50.0</v>
      </c>
      <c r="AR60" s="23">
        <v>10.0</v>
      </c>
      <c r="AS60" s="23">
        <v>5.0</v>
      </c>
      <c r="AT60" s="23">
        <v>35.0</v>
      </c>
      <c r="AU60" s="23">
        <v>30.0</v>
      </c>
      <c r="AV60" s="36"/>
      <c r="AW60" s="36"/>
      <c r="AX60" s="36"/>
      <c r="AY60" s="36"/>
      <c r="AZ60" s="36"/>
      <c r="BA60" s="36"/>
      <c r="BB60" s="36"/>
      <c r="BC60" s="36"/>
      <c r="BD60" s="36"/>
      <c r="BE60" s="36"/>
      <c r="BF60" s="36"/>
      <c r="BG60" s="36"/>
      <c r="BH60" s="36"/>
      <c r="BI60" s="36"/>
      <c r="BJ60" s="36"/>
      <c r="BK60" s="36"/>
      <c r="BL60" s="36"/>
      <c r="BM60" s="36"/>
      <c r="BN60" s="36"/>
      <c r="BO60" s="36"/>
      <c r="BP60" s="36"/>
      <c r="BQ60" s="36"/>
    </row>
    <row r="61">
      <c r="A61" s="31">
        <v>45586.0</v>
      </c>
      <c r="B61" s="31">
        <v>45593.0</v>
      </c>
      <c r="C61" s="32">
        <v>24288.0</v>
      </c>
      <c r="D61" s="33">
        <v>24211.8</v>
      </c>
      <c r="E61" s="32">
        <v>0.31</v>
      </c>
      <c r="F61" s="32" t="s">
        <v>54</v>
      </c>
      <c r="G61" s="34" t="s">
        <v>78</v>
      </c>
      <c r="H61" s="21" t="s">
        <v>141</v>
      </c>
      <c r="I61" s="35" t="s">
        <v>49</v>
      </c>
      <c r="J61" s="21">
        <v>10.0</v>
      </c>
      <c r="K61" s="21">
        <v>172.0</v>
      </c>
      <c r="L61" s="35">
        <v>323.0</v>
      </c>
      <c r="M61" s="35">
        <v>235.0</v>
      </c>
      <c r="N61" s="21">
        <v>200.0</v>
      </c>
      <c r="O61" s="35">
        <v>-1.48</v>
      </c>
      <c r="P61" s="21">
        <v>161.95</v>
      </c>
      <c r="Q61" s="35">
        <v>-20.22</v>
      </c>
      <c r="R61" s="21">
        <v>138.54</v>
      </c>
      <c r="S61" s="35">
        <v>-31.75</v>
      </c>
      <c r="T61" s="21">
        <v>28.81</v>
      </c>
      <c r="U61" s="21">
        <v>41.65</v>
      </c>
      <c r="V61" s="21">
        <v>56.73</v>
      </c>
      <c r="W61" s="21">
        <v>26.92</v>
      </c>
      <c r="X61" s="21">
        <v>398.36</v>
      </c>
      <c r="Y61" s="35">
        <v>22.98</v>
      </c>
      <c r="Z61" s="21">
        <v>22.41</v>
      </c>
      <c r="AA61" s="21">
        <v>29.23</v>
      </c>
      <c r="AB61" s="21">
        <v>0.67</v>
      </c>
      <c r="AC61" s="35">
        <v>11.81</v>
      </c>
      <c r="AD61" s="21">
        <v>20.17</v>
      </c>
      <c r="AE61" s="21">
        <v>3.4</v>
      </c>
      <c r="AF61" s="23">
        <v>1.281E7</v>
      </c>
      <c r="AG61" s="23">
        <v>6405000.0</v>
      </c>
      <c r="AH61" s="23">
        <v>1281000.0</v>
      </c>
      <c r="AI61" s="23">
        <v>640500.0</v>
      </c>
      <c r="AJ61" s="23">
        <v>4483500.0</v>
      </c>
      <c r="AK61" s="23">
        <v>3842939.0</v>
      </c>
      <c r="AL61" s="21">
        <v>87.0</v>
      </c>
      <c r="AM61" s="21">
        <v>10.21</v>
      </c>
      <c r="AN61" s="21">
        <v>16.85</v>
      </c>
      <c r="AO61" s="21">
        <v>7.88</v>
      </c>
      <c r="AP61" s="21">
        <v>21.83</v>
      </c>
      <c r="AQ61" s="23">
        <v>50.0</v>
      </c>
      <c r="AR61" s="23">
        <v>10.0</v>
      </c>
      <c r="AS61" s="23">
        <v>5.0</v>
      </c>
      <c r="AT61" s="23">
        <v>35.0</v>
      </c>
      <c r="AU61" s="23">
        <v>30.0</v>
      </c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</row>
    <row r="62">
      <c r="A62" s="31">
        <v>45586.0</v>
      </c>
      <c r="B62" s="31">
        <v>45593.0</v>
      </c>
      <c r="C62" s="32">
        <v>24288.0</v>
      </c>
      <c r="D62" s="33">
        <v>24211.8</v>
      </c>
      <c r="E62" s="32">
        <v>0.31</v>
      </c>
      <c r="F62" s="32" t="s">
        <v>54</v>
      </c>
      <c r="G62" s="34" t="s">
        <v>94</v>
      </c>
      <c r="H62" s="21" t="s">
        <v>142</v>
      </c>
      <c r="I62" s="35" t="s">
        <v>69</v>
      </c>
      <c r="J62" s="21">
        <v>10.0</v>
      </c>
      <c r="K62" s="21">
        <v>480.0</v>
      </c>
      <c r="L62" s="35">
        <v>12955.0</v>
      </c>
      <c r="M62" s="35">
        <v>2798.0</v>
      </c>
      <c r="N62" s="21">
        <v>2500.0</v>
      </c>
      <c r="O62" s="35">
        <v>66.33</v>
      </c>
      <c r="P62" s="21">
        <v>2338.9</v>
      </c>
      <c r="Q62" s="35">
        <v>55.62</v>
      </c>
      <c r="R62" s="21">
        <v>2992.4</v>
      </c>
      <c r="S62" s="35">
        <v>99.1</v>
      </c>
      <c r="T62" s="21">
        <v>136.85</v>
      </c>
      <c r="U62" s="21">
        <v>59.11</v>
      </c>
      <c r="V62" s="21">
        <v>50.03</v>
      </c>
      <c r="W62" s="21">
        <v>16.58</v>
      </c>
      <c r="X62" s="21">
        <v>534.38</v>
      </c>
      <c r="Y62" s="35">
        <v>15.56</v>
      </c>
      <c r="Z62" s="21">
        <v>28.88</v>
      </c>
      <c r="AA62" s="21">
        <v>27.31</v>
      </c>
      <c r="AB62" s="21">
        <v>0.74</v>
      </c>
      <c r="AC62" s="21">
        <v>2.53</v>
      </c>
      <c r="AD62" s="21">
        <v>28.88</v>
      </c>
      <c r="AE62" s="21">
        <v>10.6</v>
      </c>
      <c r="AF62" s="23">
        <v>2.8752095E7</v>
      </c>
      <c r="AG62" s="23">
        <v>1.4159812E7</v>
      </c>
      <c r="AH62" s="23">
        <v>2831963.0</v>
      </c>
      <c r="AI62" s="23">
        <v>1415982.0</v>
      </c>
      <c r="AJ62" s="23">
        <v>9911870.0</v>
      </c>
      <c r="AK62" s="23">
        <v>8495887.0</v>
      </c>
      <c r="AL62" s="21">
        <v>31.0</v>
      </c>
      <c r="AM62" s="21">
        <v>13.08</v>
      </c>
      <c r="AN62" s="21">
        <v>36.7</v>
      </c>
      <c r="AO62" s="21">
        <v>11.37</v>
      </c>
      <c r="AP62" s="21">
        <v>42.2</v>
      </c>
      <c r="AQ62" s="23">
        <v>49.25</v>
      </c>
      <c r="AR62" s="23">
        <v>9.85</v>
      </c>
      <c r="AS62" s="23">
        <v>4.92</v>
      </c>
      <c r="AT62" s="23">
        <v>34.47</v>
      </c>
      <c r="AU62" s="23">
        <v>29.55</v>
      </c>
      <c r="AV62" s="36"/>
      <c r="AW62" s="36"/>
      <c r="AX62" s="36"/>
      <c r="AY62" s="36"/>
      <c r="AZ62" s="36"/>
      <c r="BA62" s="36"/>
      <c r="BB62" s="36"/>
      <c r="BC62" s="36"/>
      <c r="BD62" s="36"/>
      <c r="BE62" s="36"/>
      <c r="BF62" s="36"/>
      <c r="BG62" s="36"/>
      <c r="BH62" s="36"/>
      <c r="BI62" s="36"/>
      <c r="BJ62" s="36"/>
      <c r="BK62" s="36"/>
      <c r="BL62" s="36"/>
      <c r="BM62" s="36"/>
      <c r="BN62" s="36"/>
      <c r="BO62" s="36"/>
      <c r="BP62" s="36"/>
      <c r="BQ62" s="36"/>
    </row>
    <row r="63">
      <c r="A63" s="31">
        <v>45580.0</v>
      </c>
      <c r="B63" s="31">
        <v>45587.0</v>
      </c>
      <c r="C63" s="32">
        <v>24878.9</v>
      </c>
      <c r="D63" s="33">
        <v>24739.45</v>
      </c>
      <c r="E63" s="32">
        <v>0.56</v>
      </c>
      <c r="F63" s="32" t="s">
        <v>54</v>
      </c>
      <c r="G63" s="34" t="s">
        <v>98</v>
      </c>
      <c r="H63" s="21" t="s">
        <v>143</v>
      </c>
      <c r="I63" s="35" t="s">
        <v>77</v>
      </c>
      <c r="J63" s="21">
        <v>10.0</v>
      </c>
      <c r="K63" s="21">
        <v>240.0</v>
      </c>
      <c r="L63" s="35">
        <v>621.0</v>
      </c>
      <c r="M63" s="35">
        <v>2022.0</v>
      </c>
      <c r="N63" s="21">
        <v>1934.0</v>
      </c>
      <c r="O63" s="35">
        <v>-1.33</v>
      </c>
      <c r="P63" s="21">
        <v>1820.4</v>
      </c>
      <c r="Q63" s="35">
        <v>-7.12</v>
      </c>
      <c r="R63" s="21">
        <v>2151.8</v>
      </c>
      <c r="S63" s="35">
        <v>9.79</v>
      </c>
      <c r="T63" s="21">
        <v>24.55</v>
      </c>
      <c r="U63" s="21">
        <v>23.21</v>
      </c>
      <c r="V63" s="21">
        <v>23.77</v>
      </c>
      <c r="W63" s="21">
        <v>11.26</v>
      </c>
      <c r="X63" s="21">
        <v>146.81</v>
      </c>
      <c r="Y63" s="35">
        <v>13.0</v>
      </c>
      <c r="Z63" s="21">
        <v>30.57</v>
      </c>
      <c r="AA63" s="21">
        <v>28.15</v>
      </c>
      <c r="AB63" s="21">
        <v>0.8</v>
      </c>
      <c r="AC63" s="21">
        <v>7.22</v>
      </c>
      <c r="AD63" s="21">
        <v>30.57</v>
      </c>
      <c r="AE63" s="21">
        <v>8.84</v>
      </c>
      <c r="AF63" s="28">
        <v>1.42E8</v>
      </c>
      <c r="AG63" s="23">
        <v>7.070815E7</v>
      </c>
      <c r="AH63" s="23">
        <v>1.414163E7</v>
      </c>
      <c r="AI63" s="23">
        <v>7070815.0</v>
      </c>
      <c r="AJ63" s="23">
        <v>4.9495705E7</v>
      </c>
      <c r="AK63" s="23">
        <v>4.242489E7</v>
      </c>
      <c r="AL63" s="21">
        <v>62.0</v>
      </c>
      <c r="AM63" s="21">
        <v>8.3</v>
      </c>
      <c r="AN63" s="21">
        <v>28.93</v>
      </c>
      <c r="AO63" s="21">
        <v>6.96</v>
      </c>
      <c r="AP63" s="21">
        <v>34.5</v>
      </c>
      <c r="AQ63" s="23">
        <v>49.73</v>
      </c>
      <c r="AR63" s="23">
        <v>9.95</v>
      </c>
      <c r="AS63" s="23">
        <v>4.97</v>
      </c>
      <c r="AT63" s="23">
        <v>34.81</v>
      </c>
      <c r="AU63" s="23">
        <v>29.84</v>
      </c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6"/>
      <c r="BQ63" s="36"/>
    </row>
    <row r="64">
      <c r="A64" s="31">
        <v>45573.0</v>
      </c>
      <c r="B64" s="31">
        <v>45580.0</v>
      </c>
      <c r="C64" s="32">
        <v>25082.15</v>
      </c>
      <c r="D64" s="33">
        <v>25142.3</v>
      </c>
      <c r="E64" s="32">
        <v>-0.24</v>
      </c>
      <c r="F64" s="32" t="s">
        <v>54</v>
      </c>
      <c r="G64" s="34" t="s">
        <v>78</v>
      </c>
      <c r="H64" s="21" t="s">
        <v>144</v>
      </c>
      <c r="I64" s="35" t="s">
        <v>49</v>
      </c>
      <c r="J64" s="21">
        <v>5.0</v>
      </c>
      <c r="K64" s="21">
        <v>226.0</v>
      </c>
      <c r="L64" s="35">
        <v>1.0</v>
      </c>
      <c r="M64" s="35">
        <v>95.0</v>
      </c>
      <c r="N64" s="21">
        <v>105.0</v>
      </c>
      <c r="O64" s="35">
        <v>10.53</v>
      </c>
      <c r="P64" s="21">
        <v>106.83</v>
      </c>
      <c r="Q64" s="35">
        <v>12.45</v>
      </c>
      <c r="R64" s="21">
        <v>185.86</v>
      </c>
      <c r="S64" s="35">
        <v>95.64</v>
      </c>
      <c r="T64" s="21">
        <v>26.72</v>
      </c>
      <c r="U64" s="21">
        <v>26.39</v>
      </c>
      <c r="V64" s="21">
        <v>33.63</v>
      </c>
      <c r="W64" s="21">
        <v>22.45</v>
      </c>
      <c r="X64" s="21">
        <v>100.53</v>
      </c>
      <c r="Y64" s="35">
        <v>32.0</v>
      </c>
      <c r="Z64" s="21">
        <v>25.87</v>
      </c>
      <c r="AA64" s="21">
        <v>36.08</v>
      </c>
      <c r="AB64" s="21">
        <v>0.78</v>
      </c>
      <c r="AC64" s="21">
        <v>11.45</v>
      </c>
      <c r="AD64" s="21">
        <v>25.87</v>
      </c>
      <c r="AE64" s="21">
        <v>6.14</v>
      </c>
      <c r="AF64" s="23">
        <v>2.78E7</v>
      </c>
      <c r="AG64" s="23">
        <v>1.39E7</v>
      </c>
      <c r="AH64" s="23">
        <v>2780000.0</v>
      </c>
      <c r="AI64" s="23">
        <v>1390000.0</v>
      </c>
      <c r="AJ64" s="23">
        <v>9730000.0</v>
      </c>
      <c r="AK64" s="23">
        <v>8340000.0</v>
      </c>
      <c r="AL64" s="21">
        <v>66.0</v>
      </c>
      <c r="AM64" s="21">
        <v>8.48</v>
      </c>
      <c r="AN64" s="21">
        <v>26.64</v>
      </c>
      <c r="AO64" s="21">
        <v>6.58</v>
      </c>
      <c r="AP64" s="21">
        <v>34.33</v>
      </c>
      <c r="AQ64" s="23">
        <v>50.0</v>
      </c>
      <c r="AR64" s="23">
        <v>10.0</v>
      </c>
      <c r="AS64" s="23">
        <v>5.0</v>
      </c>
      <c r="AT64" s="23">
        <v>35.0</v>
      </c>
      <c r="AU64" s="23">
        <v>30.0</v>
      </c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  <c r="BH64" s="36"/>
      <c r="BI64" s="36"/>
      <c r="BJ64" s="36"/>
      <c r="BK64" s="36"/>
      <c r="BL64" s="36"/>
      <c r="BM64" s="36"/>
      <c r="BN64" s="36"/>
      <c r="BO64" s="36"/>
      <c r="BP64" s="36"/>
      <c r="BQ64" s="36"/>
    </row>
    <row r="65">
      <c r="A65" s="31">
        <v>45561.0</v>
      </c>
      <c r="B65" s="31">
        <v>45569.0</v>
      </c>
      <c r="C65" s="32">
        <v>25290.6</v>
      </c>
      <c r="D65" s="33">
        <v>25266.0</v>
      </c>
      <c r="E65" s="32">
        <v>0.1</v>
      </c>
      <c r="F65" s="32" t="s">
        <v>61</v>
      </c>
      <c r="G65" s="34" t="s">
        <v>78</v>
      </c>
      <c r="H65" s="21" t="s">
        <v>145</v>
      </c>
      <c r="I65" s="35" t="s">
        <v>49</v>
      </c>
      <c r="J65" s="21">
        <v>10.0</v>
      </c>
      <c r="K65" s="21">
        <v>70.0</v>
      </c>
      <c r="L65" s="35">
        <v>584.0</v>
      </c>
      <c r="M65" s="35">
        <v>226.0</v>
      </c>
      <c r="N65" s="21">
        <v>193.5</v>
      </c>
      <c r="O65" s="35">
        <v>15.18</v>
      </c>
      <c r="P65" s="21">
        <v>203.17</v>
      </c>
      <c r="Q65" s="35">
        <v>20.93</v>
      </c>
      <c r="R65" s="21">
        <v>332.2</v>
      </c>
      <c r="S65" s="35">
        <v>97.74</v>
      </c>
      <c r="T65" s="21">
        <v>222.05</v>
      </c>
      <c r="U65" s="21">
        <v>50.53</v>
      </c>
      <c r="V65" s="21">
        <v>30.88</v>
      </c>
      <c r="W65" s="21">
        <v>7.41</v>
      </c>
      <c r="X65" s="21">
        <v>14719.91</v>
      </c>
      <c r="Y65" s="35">
        <v>17.04</v>
      </c>
      <c r="Z65" s="35">
        <v>18.52</v>
      </c>
      <c r="AA65" s="35">
        <v>20.6</v>
      </c>
      <c r="AB65" s="21">
        <v>5.7</v>
      </c>
      <c r="AC65" s="35">
        <v>10.79</v>
      </c>
      <c r="AD65" s="21">
        <v>3.6</v>
      </c>
      <c r="AE65" s="21">
        <v>3.72</v>
      </c>
      <c r="AF65" s="23">
        <v>9405000.0</v>
      </c>
      <c r="AG65" s="23">
        <v>4677500.0</v>
      </c>
      <c r="AH65" s="23">
        <v>935500.0</v>
      </c>
      <c r="AI65" s="23">
        <v>467750.0</v>
      </c>
      <c r="AJ65" s="23">
        <v>3274250.0</v>
      </c>
      <c r="AK65" s="23">
        <v>2806500.0</v>
      </c>
      <c r="AL65" s="21">
        <v>214.0</v>
      </c>
      <c r="AM65" s="21">
        <v>2.21</v>
      </c>
      <c r="AN65" s="21">
        <v>31.62</v>
      </c>
      <c r="AO65" s="21">
        <v>2.32</v>
      </c>
      <c r="AP65" s="21">
        <v>30.2</v>
      </c>
      <c r="AQ65" s="23">
        <v>49.73</v>
      </c>
      <c r="AR65" s="23">
        <v>9.95</v>
      </c>
      <c r="AS65" s="23">
        <v>4.97</v>
      </c>
      <c r="AT65" s="23">
        <v>34.81</v>
      </c>
      <c r="AU65" s="23">
        <v>29.84</v>
      </c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  <c r="BK65" s="36"/>
      <c r="BL65" s="36"/>
      <c r="BM65" s="36"/>
      <c r="BN65" s="36"/>
      <c r="BO65" s="36"/>
      <c r="BP65" s="36"/>
      <c r="BQ65" s="36"/>
    </row>
    <row r="66">
      <c r="A66" s="31">
        <v>45560.0</v>
      </c>
      <c r="B66" s="31">
        <v>45568.0</v>
      </c>
      <c r="C66" s="32">
        <v>25562.5</v>
      </c>
      <c r="D66" s="33">
        <v>25812.55</v>
      </c>
      <c r="E66" s="32">
        <v>-0.97</v>
      </c>
      <c r="F66" s="32" t="s">
        <v>61</v>
      </c>
      <c r="G66" s="34" t="s">
        <v>47</v>
      </c>
      <c r="H66" s="21" t="s">
        <v>146</v>
      </c>
      <c r="I66" s="35" t="s">
        <v>49</v>
      </c>
      <c r="J66" s="21">
        <v>10.0</v>
      </c>
      <c r="K66" s="21">
        <v>83.0</v>
      </c>
      <c r="L66" s="35">
        <v>2355.0</v>
      </c>
      <c r="M66" s="35">
        <v>455.0</v>
      </c>
      <c r="N66" s="21">
        <v>480.0</v>
      </c>
      <c r="O66" s="35">
        <v>118.18</v>
      </c>
      <c r="P66" s="21">
        <v>478.79</v>
      </c>
      <c r="Q66" s="35">
        <v>117.63</v>
      </c>
      <c r="R66" s="21">
        <v>850.25</v>
      </c>
      <c r="S66" s="35">
        <v>286.48</v>
      </c>
      <c r="T66" s="21">
        <v>150.87</v>
      </c>
      <c r="U66" s="21">
        <v>225.47</v>
      </c>
      <c r="V66" s="21">
        <v>179.41</v>
      </c>
      <c r="W66" s="21">
        <v>73.22</v>
      </c>
      <c r="X66" s="21">
        <v>173.07</v>
      </c>
      <c r="Y66" s="35">
        <v>18.96</v>
      </c>
      <c r="Z66" s="21">
        <v>20.84</v>
      </c>
      <c r="AA66" s="21">
        <v>16.29</v>
      </c>
      <c r="AB66" s="21">
        <v>1.41</v>
      </c>
      <c r="AC66" s="21">
        <v>6.53</v>
      </c>
      <c r="AD66" s="21">
        <v>20.84</v>
      </c>
      <c r="AE66" s="21">
        <v>3.01</v>
      </c>
      <c r="AF66" s="23">
        <v>1.5543E7</v>
      </c>
      <c r="AG66" s="23">
        <v>3107455.0</v>
      </c>
      <c r="AH66" s="23">
        <v>1591477.0</v>
      </c>
      <c r="AI66" s="23">
        <v>795738.0</v>
      </c>
      <c r="AJ66" s="23">
        <v>5498330.0</v>
      </c>
      <c r="AK66" s="23">
        <v>4550000.0</v>
      </c>
      <c r="AL66" s="21">
        <v>180.0</v>
      </c>
      <c r="AM66" s="21">
        <v>5.4</v>
      </c>
      <c r="AN66" s="21">
        <v>15.37</v>
      </c>
      <c r="AO66" s="21">
        <v>4.42</v>
      </c>
      <c r="AP66" s="21">
        <v>18.77</v>
      </c>
      <c r="AQ66" s="23">
        <v>19.99</v>
      </c>
      <c r="AR66" s="23">
        <v>10.24</v>
      </c>
      <c r="AS66" s="23">
        <v>5.12</v>
      </c>
      <c r="AT66" s="23">
        <v>35.37</v>
      </c>
      <c r="AU66" s="23">
        <v>29.27</v>
      </c>
      <c r="AV66" s="36"/>
      <c r="AW66" s="36"/>
      <c r="AX66" s="36"/>
      <c r="AY66" s="36"/>
      <c r="AZ66" s="36"/>
      <c r="BA66" s="36"/>
      <c r="BB66" s="36"/>
      <c r="BC66" s="36"/>
      <c r="BD66" s="36"/>
      <c r="BE66" s="36"/>
      <c r="BF66" s="36"/>
      <c r="BG66" s="36"/>
      <c r="BH66" s="36"/>
      <c r="BI66" s="36"/>
      <c r="BJ66" s="36"/>
      <c r="BK66" s="36"/>
      <c r="BL66" s="36"/>
      <c r="BM66" s="36"/>
      <c r="BN66" s="36"/>
      <c r="BO66" s="36"/>
      <c r="BP66" s="36"/>
      <c r="BQ66" s="36"/>
    </row>
    <row r="67">
      <c r="A67" s="31">
        <v>45558.0</v>
      </c>
      <c r="B67" s="31">
        <v>45565.0</v>
      </c>
      <c r="C67" s="32">
        <v>25966.75</v>
      </c>
      <c r="D67" s="33">
        <v>26175.0</v>
      </c>
      <c r="E67" s="32">
        <v>-0.8</v>
      </c>
      <c r="F67" s="32" t="s">
        <v>70</v>
      </c>
      <c r="G67" s="34" t="s">
        <v>52</v>
      </c>
      <c r="H67" s="21" t="s">
        <v>147</v>
      </c>
      <c r="I67" s="35" t="s">
        <v>49</v>
      </c>
      <c r="J67" s="21">
        <v>10.0</v>
      </c>
      <c r="K67" s="21">
        <v>529.0</v>
      </c>
      <c r="L67" s="35">
        <v>334.0</v>
      </c>
      <c r="M67" s="35">
        <v>153.0</v>
      </c>
      <c r="N67" s="21">
        <v>145.0</v>
      </c>
      <c r="O67" s="35">
        <v>20.83</v>
      </c>
      <c r="P67" s="21">
        <v>157.45</v>
      </c>
      <c r="Q67" s="35">
        <v>31.21</v>
      </c>
      <c r="R67" s="21">
        <v>136.09</v>
      </c>
      <c r="S67" s="35">
        <v>13.41</v>
      </c>
      <c r="T67" s="21">
        <v>232.54</v>
      </c>
      <c r="U67" s="21">
        <v>439.67</v>
      </c>
      <c r="V67" s="21">
        <v>364.54</v>
      </c>
      <c r="W67" s="21">
        <v>91.95</v>
      </c>
      <c r="X67" s="21">
        <v>104.45</v>
      </c>
      <c r="Y67" s="35">
        <v>11.0</v>
      </c>
      <c r="Z67" s="21">
        <v>23.59</v>
      </c>
      <c r="AA67" s="21">
        <v>19.91</v>
      </c>
      <c r="AB67" s="21">
        <v>0.53</v>
      </c>
      <c r="AC67" s="21">
        <v>11.89</v>
      </c>
      <c r="AD67" s="21">
        <v>21.38</v>
      </c>
      <c r="AE67" s="21">
        <v>5.12</v>
      </c>
      <c r="AF67" s="23">
        <v>1.257E7</v>
      </c>
      <c r="AG67" s="23">
        <v>6285000.0</v>
      </c>
      <c r="AH67" s="23">
        <v>1257000.0</v>
      </c>
      <c r="AI67" s="23">
        <v>628500.0</v>
      </c>
      <c r="AJ67" s="23">
        <v>4399500.0</v>
      </c>
      <c r="AK67" s="23">
        <v>3771000.0</v>
      </c>
      <c r="AL67" s="21">
        <v>28.0</v>
      </c>
      <c r="AM67" s="21">
        <v>22.09</v>
      </c>
      <c r="AN67" s="21">
        <v>23.95</v>
      </c>
      <c r="AO67" s="21">
        <v>17.63</v>
      </c>
      <c r="AP67" s="21">
        <v>30.01</v>
      </c>
      <c r="AQ67" s="23">
        <v>50.0</v>
      </c>
      <c r="AR67" s="23">
        <v>10.0</v>
      </c>
      <c r="AS67" s="23">
        <v>5.0</v>
      </c>
      <c r="AT67" s="23">
        <v>35.0</v>
      </c>
      <c r="AU67" s="23">
        <v>30.0</v>
      </c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  <c r="BK67" s="36"/>
      <c r="BL67" s="36"/>
      <c r="BM67" s="36"/>
      <c r="BN67" s="36"/>
      <c r="BO67" s="36"/>
      <c r="BP67" s="36"/>
      <c r="BQ67" s="36"/>
    </row>
    <row r="68">
      <c r="A68" s="31">
        <v>45551.0</v>
      </c>
      <c r="B68" s="31">
        <v>45559.0</v>
      </c>
      <c r="C68" s="32">
        <v>25962.05</v>
      </c>
      <c r="D68" s="33">
        <v>25930.15</v>
      </c>
      <c r="E68" s="32">
        <v>0.12</v>
      </c>
      <c r="F68" s="32" t="s">
        <v>70</v>
      </c>
      <c r="G68" s="34" t="s">
        <v>52</v>
      </c>
      <c r="H68" s="21" t="s">
        <v>148</v>
      </c>
      <c r="I68" s="35" t="s">
        <v>49</v>
      </c>
      <c r="J68" s="21">
        <v>10.0</v>
      </c>
      <c r="K68" s="21">
        <v>389.0</v>
      </c>
      <c r="L68" s="35">
        <v>1314.0</v>
      </c>
      <c r="M68" s="35">
        <v>394.0</v>
      </c>
      <c r="N68" s="21">
        <v>350.0</v>
      </c>
      <c r="O68" s="35">
        <v>33.08</v>
      </c>
      <c r="P68" s="21">
        <v>323.6</v>
      </c>
      <c r="Q68" s="35">
        <v>23.04</v>
      </c>
      <c r="R68" s="21">
        <v>234.84</v>
      </c>
      <c r="S68" s="35">
        <v>-10.71</v>
      </c>
      <c r="T68" s="21">
        <v>81.83</v>
      </c>
      <c r="U68" s="21">
        <v>69.27</v>
      </c>
      <c r="V68" s="21">
        <v>39.68</v>
      </c>
      <c r="W68" s="21">
        <v>9.07</v>
      </c>
      <c r="X68" s="21">
        <v>212.56</v>
      </c>
      <c r="Y68" s="35">
        <v>61.0</v>
      </c>
      <c r="Z68" s="21">
        <v>10.74</v>
      </c>
      <c r="AA68" s="21">
        <v>18.39</v>
      </c>
      <c r="AB68" s="21">
        <v>0.76</v>
      </c>
      <c r="AC68" s="21">
        <v>2.23</v>
      </c>
      <c r="AD68" s="21">
        <v>10.32</v>
      </c>
      <c r="AE68" s="21">
        <v>12.78</v>
      </c>
      <c r="AF68" s="23">
        <v>2.9597646E7</v>
      </c>
      <c r="AG68" s="23">
        <v>1.4503385E7</v>
      </c>
      <c r="AH68" s="23">
        <v>2900677.0</v>
      </c>
      <c r="AI68" s="23">
        <v>1450339.0</v>
      </c>
      <c r="AJ68" s="23">
        <v>1.0152371E7</v>
      </c>
      <c r="AK68" s="23">
        <v>8702031.0</v>
      </c>
      <c r="AL68" s="21">
        <v>38.0</v>
      </c>
      <c r="AM68" s="21">
        <v>3.1</v>
      </c>
      <c r="AN68" s="21">
        <v>125.54</v>
      </c>
      <c r="AO68" s="21">
        <v>2.94</v>
      </c>
      <c r="AP68" s="21">
        <v>132.28</v>
      </c>
      <c r="AQ68" s="23">
        <v>49.0</v>
      </c>
      <c r="AR68" s="23">
        <v>9.8</v>
      </c>
      <c r="AS68" s="23">
        <v>4.9</v>
      </c>
      <c r="AT68" s="23">
        <v>34.3</v>
      </c>
      <c r="AU68" s="23">
        <v>29.4</v>
      </c>
      <c r="AV68" s="36"/>
      <c r="AW68" s="36"/>
      <c r="AX68" s="36"/>
      <c r="AY68" s="36"/>
      <c r="AZ68" s="36"/>
      <c r="BA68" s="36"/>
      <c r="BB68" s="36"/>
      <c r="BC68" s="36"/>
      <c r="BD68" s="36"/>
      <c r="BE68" s="36"/>
      <c r="BF68" s="36"/>
      <c r="BG68" s="36"/>
      <c r="BH68" s="36"/>
      <c r="BI68" s="36"/>
      <c r="BJ68" s="36"/>
      <c r="BK68" s="36"/>
      <c r="BL68" s="36"/>
      <c r="BM68" s="36"/>
      <c r="BN68" s="36"/>
      <c r="BO68" s="36"/>
      <c r="BP68" s="36"/>
      <c r="BQ68" s="36"/>
    </row>
    <row r="69">
      <c r="A69" s="31">
        <v>45551.0</v>
      </c>
      <c r="B69" s="31">
        <v>45559.0</v>
      </c>
      <c r="C69" s="32">
        <v>25962.05</v>
      </c>
      <c r="D69" s="33">
        <v>25930.15</v>
      </c>
      <c r="E69" s="32">
        <v>0.12</v>
      </c>
      <c r="F69" s="32" t="s">
        <v>70</v>
      </c>
      <c r="G69" s="34" t="s">
        <v>83</v>
      </c>
      <c r="H69" s="21" t="s">
        <v>149</v>
      </c>
      <c r="I69" s="35" t="s">
        <v>49</v>
      </c>
      <c r="J69" s="21">
        <v>10.0</v>
      </c>
      <c r="K69" s="21">
        <v>334.0</v>
      </c>
      <c r="L69" s="35">
        <v>634.0</v>
      </c>
      <c r="M69" s="35">
        <v>191.0</v>
      </c>
      <c r="N69" s="21">
        <v>175.0</v>
      </c>
      <c r="O69" s="35">
        <v>36.72</v>
      </c>
      <c r="P69" s="21">
        <v>165.86</v>
      </c>
      <c r="Q69" s="35">
        <v>29.58</v>
      </c>
      <c r="R69" s="21">
        <v>190.17</v>
      </c>
      <c r="S69" s="35">
        <v>48.57</v>
      </c>
      <c r="T69" s="21">
        <v>136.85</v>
      </c>
      <c r="U69" s="21">
        <v>74.66</v>
      </c>
      <c r="V69" s="21">
        <v>64.19</v>
      </c>
      <c r="W69" s="21">
        <v>19.66</v>
      </c>
      <c r="X69" s="21">
        <v>177.41</v>
      </c>
      <c r="Y69" s="35">
        <v>26.7</v>
      </c>
      <c r="Z69" s="21">
        <v>42.75</v>
      </c>
      <c r="AA69" s="21">
        <v>42.88</v>
      </c>
      <c r="AB69" s="21">
        <v>0.12</v>
      </c>
      <c r="AC69" s="21">
        <v>11.0</v>
      </c>
      <c r="AD69" s="21">
        <v>42.75</v>
      </c>
      <c r="AE69" s="21">
        <v>11.3</v>
      </c>
      <c r="AF69" s="23">
        <v>3.2037601E7</v>
      </c>
      <c r="AG69" s="23">
        <v>1.59375E7</v>
      </c>
      <c r="AH69" s="23">
        <v>3187500.0</v>
      </c>
      <c r="AI69" s="23">
        <v>1593750.0</v>
      </c>
      <c r="AJ69" s="23">
        <v>1.115625E7</v>
      </c>
      <c r="AK69" s="23">
        <v>9562500.0</v>
      </c>
      <c r="AL69" s="21">
        <v>44.0</v>
      </c>
      <c r="AM69" s="21">
        <v>10.42</v>
      </c>
      <c r="AN69" s="21">
        <v>32.05</v>
      </c>
      <c r="AO69" s="21">
        <v>10.42</v>
      </c>
      <c r="AP69" s="21">
        <v>32.05</v>
      </c>
      <c r="AQ69" s="23">
        <v>49.75</v>
      </c>
      <c r="AR69" s="23">
        <v>9.95</v>
      </c>
      <c r="AS69" s="23">
        <v>4.97</v>
      </c>
      <c r="AT69" s="23">
        <v>34.82</v>
      </c>
      <c r="AU69" s="23">
        <v>29.85</v>
      </c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36"/>
      <c r="BL69" s="36"/>
      <c r="BM69" s="36"/>
      <c r="BN69" s="36"/>
      <c r="BO69" s="36"/>
      <c r="BP69" s="36"/>
      <c r="BQ69" s="36"/>
    </row>
    <row r="70">
      <c r="A70" s="31">
        <v>45548.0</v>
      </c>
      <c r="B70" s="31">
        <v>45559.0</v>
      </c>
      <c r="C70" s="32">
        <v>25962.05</v>
      </c>
      <c r="D70" s="33">
        <v>25930.15</v>
      </c>
      <c r="E70" s="32">
        <v>0.12</v>
      </c>
      <c r="F70" s="32" t="s">
        <v>70</v>
      </c>
      <c r="G70" s="34" t="s">
        <v>55</v>
      </c>
      <c r="H70" s="21" t="s">
        <v>150</v>
      </c>
      <c r="I70" s="35" t="s">
        <v>49</v>
      </c>
      <c r="J70" s="21">
        <v>5.0</v>
      </c>
      <c r="K70" s="21">
        <v>450.0</v>
      </c>
      <c r="L70" s="35">
        <v>162.0</v>
      </c>
      <c r="M70" s="35">
        <v>188.0</v>
      </c>
      <c r="N70" s="21">
        <v>171.0</v>
      </c>
      <c r="O70" s="35">
        <v>-0.58</v>
      </c>
      <c r="P70" s="21">
        <v>159.45</v>
      </c>
      <c r="Q70" s="35">
        <v>-7.3</v>
      </c>
      <c r="R70" s="21">
        <v>106.47</v>
      </c>
      <c r="S70" s="35">
        <v>-38.1</v>
      </c>
      <c r="T70" s="21">
        <v>212.42</v>
      </c>
      <c r="U70" s="21">
        <v>58.0</v>
      </c>
      <c r="V70" s="21">
        <v>36.96</v>
      </c>
      <c r="W70" s="21">
        <v>7.44</v>
      </c>
      <c r="X70" s="21">
        <v>26.96</v>
      </c>
      <c r="Y70" s="35">
        <v>9.0</v>
      </c>
      <c r="Z70" s="21">
        <v>43.73</v>
      </c>
      <c r="AA70" s="21">
        <v>25.65</v>
      </c>
      <c r="AB70" s="21">
        <v>1.86</v>
      </c>
      <c r="AC70" s="21">
        <v>7.3</v>
      </c>
      <c r="AD70" s="21">
        <v>37.46</v>
      </c>
      <c r="AE70" s="21">
        <v>30.76</v>
      </c>
      <c r="AF70" s="23">
        <v>2.8655813E7</v>
      </c>
      <c r="AG70" s="23">
        <v>1.4327906E7</v>
      </c>
      <c r="AH70" s="23">
        <v>2865581.0</v>
      </c>
      <c r="AI70" s="23">
        <v>1432791.0</v>
      </c>
      <c r="AJ70" s="23">
        <v>1.0029535E7</v>
      </c>
      <c r="AK70" s="23">
        <v>8596743.0</v>
      </c>
      <c r="AL70" s="21">
        <v>33.0</v>
      </c>
      <c r="AM70" s="21">
        <v>5.48</v>
      </c>
      <c r="AN70" s="21">
        <v>82.09</v>
      </c>
      <c r="AO70" s="21">
        <v>17.58</v>
      </c>
      <c r="AP70" s="21">
        <v>25.59</v>
      </c>
      <c r="AQ70" s="23">
        <v>50.0</v>
      </c>
      <c r="AR70" s="23">
        <v>10.0</v>
      </c>
      <c r="AS70" s="23">
        <v>5.0</v>
      </c>
      <c r="AT70" s="23">
        <v>35.0</v>
      </c>
      <c r="AU70" s="23">
        <v>30.0</v>
      </c>
      <c r="AV70" s="36"/>
      <c r="AW70" s="36"/>
      <c r="AX70" s="36"/>
      <c r="AY70" s="36"/>
      <c r="AZ70" s="36"/>
      <c r="BA70" s="36"/>
      <c r="BB70" s="36"/>
      <c r="BC70" s="36"/>
      <c r="BD70" s="36"/>
      <c r="BE70" s="36"/>
      <c r="BF70" s="36"/>
      <c r="BG70" s="36"/>
      <c r="BH70" s="36"/>
      <c r="BI70" s="36"/>
      <c r="BJ70" s="36"/>
      <c r="BK70" s="36"/>
      <c r="BL70" s="36"/>
      <c r="BM70" s="36"/>
      <c r="BN70" s="36"/>
      <c r="BO70" s="36"/>
      <c r="BP70" s="36"/>
      <c r="BQ70" s="36"/>
    </row>
    <row r="71">
      <c r="A71" s="31">
        <v>45545.0</v>
      </c>
      <c r="B71" s="31">
        <v>45552.0</v>
      </c>
      <c r="C71" s="32">
        <v>25360.25</v>
      </c>
      <c r="D71" s="33">
        <v>25377.2</v>
      </c>
      <c r="E71" s="32">
        <v>-0.07</v>
      </c>
      <c r="F71" s="32" t="s">
        <v>70</v>
      </c>
      <c r="G71" s="34" t="s">
        <v>71</v>
      </c>
      <c r="H71" s="21" t="s">
        <v>151</v>
      </c>
      <c r="I71" s="35" t="s">
        <v>69</v>
      </c>
      <c r="J71" s="21">
        <v>10.0</v>
      </c>
      <c r="K71" s="21">
        <v>206.0</v>
      </c>
      <c r="L71" s="35">
        <v>303.505</v>
      </c>
      <c r="M71" s="35">
        <v>783.5</v>
      </c>
      <c r="N71" s="21">
        <v>830.0</v>
      </c>
      <c r="O71" s="35">
        <v>72.92</v>
      </c>
      <c r="P71" s="21">
        <v>793.3</v>
      </c>
      <c r="Q71" s="35">
        <v>65.27</v>
      </c>
      <c r="R71" s="21">
        <v>584.0</v>
      </c>
      <c r="S71" s="35">
        <v>21.67</v>
      </c>
      <c r="T71" s="21">
        <v>188.79</v>
      </c>
      <c r="U71" s="21">
        <v>343.45</v>
      </c>
      <c r="V71" s="21">
        <v>243.2</v>
      </c>
      <c r="W71" s="21">
        <v>68.93</v>
      </c>
      <c r="X71" s="21">
        <v>175.31</v>
      </c>
      <c r="Y71" s="35">
        <v>4.54</v>
      </c>
      <c r="Z71" s="21">
        <v>27.26</v>
      </c>
      <c r="AA71" s="21">
        <v>28.42</v>
      </c>
      <c r="AB71" s="35">
        <v>74.0</v>
      </c>
      <c r="AC71" s="21">
        <v>6.87</v>
      </c>
      <c r="AD71" s="21">
        <v>23.64</v>
      </c>
      <c r="AE71" s="21">
        <v>4.21</v>
      </c>
      <c r="AF71" s="23">
        <v>2.2916666E7</v>
      </c>
      <c r="AG71" s="23">
        <v>1.1458332E7</v>
      </c>
      <c r="AH71" s="23">
        <v>2291667.0</v>
      </c>
      <c r="AI71" s="23">
        <v>1145833.0</v>
      </c>
      <c r="AJ71" s="23">
        <v>8020834.0</v>
      </c>
      <c r="AK71" s="23">
        <v>6874999.0</v>
      </c>
      <c r="AL71" s="21">
        <v>72.0</v>
      </c>
      <c r="AM71" s="21">
        <v>11.57</v>
      </c>
      <c r="AN71" s="21">
        <v>17.8</v>
      </c>
      <c r="AO71" s="21">
        <v>9.95</v>
      </c>
      <c r="AP71" s="21">
        <v>20.7</v>
      </c>
      <c r="AQ71" s="23">
        <v>50.0</v>
      </c>
      <c r="AR71" s="23">
        <v>10.0</v>
      </c>
      <c r="AS71" s="23">
        <v>5.0</v>
      </c>
      <c r="AT71" s="23">
        <v>35.0</v>
      </c>
      <c r="AU71" s="23">
        <v>30.0</v>
      </c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  <c r="BK71" s="36"/>
      <c r="BL71" s="36"/>
      <c r="BM71" s="36"/>
      <c r="BN71" s="36"/>
      <c r="BO71" s="36"/>
      <c r="BP71" s="36"/>
      <c r="BQ71" s="36"/>
    </row>
    <row r="72">
      <c r="A72" s="31">
        <v>45544.0</v>
      </c>
      <c r="B72" s="31">
        <v>45551.0</v>
      </c>
      <c r="C72" s="32">
        <v>25422.95</v>
      </c>
      <c r="D72" s="33">
        <v>25343.55</v>
      </c>
      <c r="E72" s="32">
        <v>0.31</v>
      </c>
      <c r="F72" s="32" t="s">
        <v>70</v>
      </c>
      <c r="G72" s="34" t="s">
        <v>55</v>
      </c>
      <c r="H72" s="21" t="s">
        <v>152</v>
      </c>
      <c r="I72" s="35" t="s">
        <v>49</v>
      </c>
      <c r="J72" s="21">
        <v>5.0</v>
      </c>
      <c r="K72" s="21">
        <v>900.0</v>
      </c>
      <c r="L72" s="35">
        <v>24.503</v>
      </c>
      <c r="M72" s="35">
        <v>264.5</v>
      </c>
      <c r="N72" s="21">
        <v>240.0</v>
      </c>
      <c r="O72" s="35">
        <v>0.0</v>
      </c>
      <c r="P72" s="21">
        <v>259.81</v>
      </c>
      <c r="Q72" s="35">
        <v>8.25</v>
      </c>
      <c r="R72" s="21">
        <v>175.55</v>
      </c>
      <c r="S72" s="35">
        <v>-26.85</v>
      </c>
      <c r="T72" s="21">
        <v>197.29</v>
      </c>
      <c r="U72" s="21">
        <v>148.31</v>
      </c>
      <c r="V72" s="21">
        <v>96.11</v>
      </c>
      <c r="W72" s="21">
        <v>19.46</v>
      </c>
      <c r="X72" s="21">
        <v>262.65</v>
      </c>
      <c r="Y72" s="35">
        <v>13.0</v>
      </c>
      <c r="Z72" s="21">
        <v>19.4</v>
      </c>
      <c r="AA72" s="21">
        <v>25.79</v>
      </c>
      <c r="AB72" s="21">
        <v>-0.11</v>
      </c>
      <c r="AC72" s="35">
        <v>7.22</v>
      </c>
      <c r="AD72" s="21">
        <v>22.26</v>
      </c>
      <c r="AE72" s="35">
        <v>2.7</v>
      </c>
      <c r="AF72" s="23">
        <v>2.0833332E7</v>
      </c>
      <c r="AG72" s="23">
        <v>1.0416665E7</v>
      </c>
      <c r="AH72" s="23">
        <v>2083334.0</v>
      </c>
      <c r="AI72" s="23">
        <v>1041666.0</v>
      </c>
      <c r="AJ72" s="23">
        <v>7291667.0</v>
      </c>
      <c r="AK72" s="23">
        <v>6249999.0</v>
      </c>
      <c r="AL72" s="21">
        <v>16.0</v>
      </c>
      <c r="AM72" s="21">
        <v>59.84</v>
      </c>
      <c r="AN72" s="21">
        <v>15.04</v>
      </c>
      <c r="AO72" s="21">
        <v>51.85</v>
      </c>
      <c r="AP72" s="21">
        <v>17.36</v>
      </c>
      <c r="AQ72" s="23">
        <v>50.0</v>
      </c>
      <c r="AR72" s="23">
        <v>10.0</v>
      </c>
      <c r="AS72" s="23">
        <v>5.0</v>
      </c>
      <c r="AT72" s="23">
        <v>35.0</v>
      </c>
      <c r="AU72" s="23">
        <v>30.0</v>
      </c>
      <c r="AV72" s="36"/>
      <c r="AW72" s="36"/>
      <c r="AX72" s="36"/>
      <c r="AY72" s="36"/>
      <c r="AZ72" s="36"/>
      <c r="BA72" s="36"/>
      <c r="BB72" s="36"/>
      <c r="BC72" s="36"/>
      <c r="BD72" s="36"/>
      <c r="BE72" s="36"/>
      <c r="BF72" s="36"/>
      <c r="BG72" s="36"/>
      <c r="BH72" s="36"/>
      <c r="BI72" s="36"/>
      <c r="BJ72" s="36"/>
      <c r="BK72" s="36"/>
      <c r="BL72" s="36"/>
      <c r="BM72" s="36"/>
      <c r="BN72" s="36"/>
      <c r="BO72" s="36"/>
      <c r="BP72" s="36"/>
      <c r="BQ72" s="36"/>
    </row>
    <row r="73">
      <c r="A73" s="31">
        <v>45544.0</v>
      </c>
      <c r="B73" s="31">
        <v>45551.0</v>
      </c>
      <c r="C73" s="32">
        <v>25422.95</v>
      </c>
      <c r="D73" s="33">
        <v>25343.55</v>
      </c>
      <c r="E73" s="32">
        <v>0.31</v>
      </c>
      <c r="F73" s="32" t="s">
        <v>70</v>
      </c>
      <c r="G73" s="34" t="s">
        <v>98</v>
      </c>
      <c r="H73" s="21" t="s">
        <v>153</v>
      </c>
      <c r="I73" s="35" t="s">
        <v>49</v>
      </c>
      <c r="J73" s="21">
        <v>5.0</v>
      </c>
      <c r="K73" s="21">
        <v>160.0</v>
      </c>
      <c r="L73" s="35">
        <v>303.0</v>
      </c>
      <c r="M73" s="35">
        <v>256.0</v>
      </c>
      <c r="N73" s="21">
        <v>228.0</v>
      </c>
      <c r="O73" s="35">
        <v>0.88</v>
      </c>
      <c r="P73" s="21">
        <v>239.4</v>
      </c>
      <c r="Q73" s="35">
        <v>5.93</v>
      </c>
      <c r="R73" s="21">
        <v>149.04</v>
      </c>
      <c r="S73" s="35">
        <v>-34.05</v>
      </c>
      <c r="T73" s="21">
        <v>64.12</v>
      </c>
      <c r="U73" s="21">
        <v>389.28</v>
      </c>
      <c r="V73" s="21">
        <v>296.85</v>
      </c>
      <c r="W73" s="21">
        <v>61.59</v>
      </c>
      <c r="X73" s="21">
        <v>64.91</v>
      </c>
      <c r="Y73" s="35">
        <v>20.41</v>
      </c>
      <c r="Z73" s="21">
        <v>58.88</v>
      </c>
      <c r="AA73" s="21">
        <v>64.46</v>
      </c>
      <c r="AB73" s="21">
        <v>0.67</v>
      </c>
      <c r="AC73" s="21">
        <v>4.83</v>
      </c>
      <c r="AD73" s="21">
        <v>45.49</v>
      </c>
      <c r="AE73" s="21">
        <v>8.16</v>
      </c>
      <c r="AF73" s="23">
        <v>1.0176991E7</v>
      </c>
      <c r="AG73" s="23">
        <v>5088495.0</v>
      </c>
      <c r="AH73" s="23">
        <v>1017699.0</v>
      </c>
      <c r="AI73" s="23">
        <v>508850.0</v>
      </c>
      <c r="AJ73" s="23">
        <v>3561947.0</v>
      </c>
      <c r="AK73" s="23">
        <v>3053097.0</v>
      </c>
      <c r="AL73" s="21">
        <v>90.0</v>
      </c>
      <c r="AM73" s="21">
        <v>8.92</v>
      </c>
      <c r="AN73" s="21">
        <v>17.94</v>
      </c>
      <c r="AO73" s="21">
        <v>7.46</v>
      </c>
      <c r="AP73" s="21">
        <v>21.46</v>
      </c>
      <c r="AQ73" s="23">
        <v>50.0</v>
      </c>
      <c r="AR73" s="23">
        <v>10.0</v>
      </c>
      <c r="AS73" s="23">
        <v>5.0</v>
      </c>
      <c r="AT73" s="23">
        <v>35.0</v>
      </c>
      <c r="AU73" s="23">
        <v>30.0</v>
      </c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6"/>
      <c r="BL73" s="36"/>
      <c r="BM73" s="36"/>
      <c r="BN73" s="36"/>
      <c r="BO73" s="36"/>
      <c r="BP73" s="36"/>
      <c r="BQ73" s="36"/>
    </row>
    <row r="74">
      <c r="A74" s="31">
        <v>45544.0</v>
      </c>
      <c r="B74" s="31">
        <v>45551.0</v>
      </c>
      <c r="C74" s="32">
        <v>25422.95</v>
      </c>
      <c r="D74" s="33">
        <v>25343.55</v>
      </c>
      <c r="E74" s="32">
        <v>0.31</v>
      </c>
      <c r="F74" s="32" t="s">
        <v>70</v>
      </c>
      <c r="G74" s="34" t="s">
        <v>52</v>
      </c>
      <c r="H74" s="21" t="s">
        <v>154</v>
      </c>
      <c r="I74" s="35" t="s">
        <v>69</v>
      </c>
      <c r="J74" s="21">
        <v>10.0</v>
      </c>
      <c r="K74" s="21">
        <v>108.0</v>
      </c>
      <c r="L74" s="35">
        <v>725.0</v>
      </c>
      <c r="M74" s="35">
        <v>142.0</v>
      </c>
      <c r="N74" s="21">
        <v>150.0</v>
      </c>
      <c r="O74" s="35">
        <v>114.29</v>
      </c>
      <c r="P74" s="21">
        <v>165.0</v>
      </c>
      <c r="Q74" s="35">
        <v>135.71</v>
      </c>
      <c r="R74" s="21">
        <v>113.87</v>
      </c>
      <c r="S74" s="35">
        <v>62.67</v>
      </c>
      <c r="T74" s="21">
        <v>138.75</v>
      </c>
      <c r="U74" s="21">
        <v>266.49</v>
      </c>
      <c r="V74" s="21">
        <v>224.38</v>
      </c>
      <c r="W74" s="21">
        <v>130.99</v>
      </c>
      <c r="X74" s="21">
        <v>68.91</v>
      </c>
      <c r="Y74" s="35">
        <v>22.6</v>
      </c>
      <c r="Z74" s="21">
        <v>17.36</v>
      </c>
      <c r="AA74" s="21">
        <v>25.93</v>
      </c>
      <c r="AB74" s="35">
        <v>5.65</v>
      </c>
      <c r="AC74" s="35">
        <v>22.6</v>
      </c>
      <c r="AD74" s="21">
        <v>18.98</v>
      </c>
      <c r="AE74" s="21">
        <v>15.81</v>
      </c>
      <c r="AF74" s="28">
        <v>9.37E8</v>
      </c>
      <c r="AG74" s="28">
        <v>4.19E8</v>
      </c>
      <c r="AH74" s="23">
        <v>8.3714286E7</v>
      </c>
      <c r="AI74" s="23">
        <v>4.1857143E7</v>
      </c>
      <c r="AJ74" s="28">
        <v>2.93E8</v>
      </c>
      <c r="AK74" s="28">
        <v>2.51E8</v>
      </c>
      <c r="AL74" s="21">
        <v>138.0</v>
      </c>
      <c r="AM74" s="21">
        <v>1.28</v>
      </c>
      <c r="AN74" s="21">
        <v>84.59</v>
      </c>
      <c r="AO74" s="21">
        <v>1.28</v>
      </c>
      <c r="AP74" s="21">
        <v>84.59</v>
      </c>
      <c r="AQ74" s="23">
        <v>44.66</v>
      </c>
      <c r="AR74" s="23">
        <v>8.93</v>
      </c>
      <c r="AS74" s="23">
        <v>4.47</v>
      </c>
      <c r="AT74" s="23">
        <v>31.27</v>
      </c>
      <c r="AU74" s="23">
        <v>26.8</v>
      </c>
      <c r="AV74" s="36"/>
      <c r="AW74" s="36"/>
      <c r="AX74" s="36"/>
      <c r="AY74" s="36"/>
      <c r="AZ74" s="36"/>
      <c r="BA74" s="36"/>
      <c r="BB74" s="36"/>
      <c r="BC74" s="36"/>
      <c r="BD74" s="36"/>
      <c r="BE74" s="36"/>
      <c r="BF74" s="36"/>
      <c r="BG74" s="36"/>
      <c r="BH74" s="36"/>
      <c r="BI74" s="36"/>
      <c r="BJ74" s="36"/>
      <c r="BK74" s="36"/>
      <c r="BL74" s="36"/>
      <c r="BM74" s="36"/>
      <c r="BN74" s="36"/>
      <c r="BO74" s="36"/>
      <c r="BP74" s="36"/>
      <c r="BQ74" s="36"/>
    </row>
    <row r="75">
      <c r="A75" s="31">
        <v>45540.0</v>
      </c>
      <c r="B75" s="31">
        <v>45547.0</v>
      </c>
      <c r="C75" s="32">
        <v>24995.7</v>
      </c>
      <c r="D75" s="33">
        <v>24951.8</v>
      </c>
      <c r="E75" s="32">
        <v>0.18</v>
      </c>
      <c r="F75" s="32" t="s">
        <v>70</v>
      </c>
      <c r="G75" s="34" t="s">
        <v>47</v>
      </c>
      <c r="H75" s="21" t="s">
        <v>155</v>
      </c>
      <c r="I75" s="35" t="s">
        <v>49</v>
      </c>
      <c r="J75" s="21">
        <v>10.0</v>
      </c>
      <c r="K75" s="21">
        <v>465.0</v>
      </c>
      <c r="L75" s="35">
        <v>274.0</v>
      </c>
      <c r="M75" s="35">
        <v>110.0</v>
      </c>
      <c r="N75" s="21">
        <v>90.0</v>
      </c>
      <c r="O75" s="35">
        <v>8.43</v>
      </c>
      <c r="P75" s="21">
        <v>97.54</v>
      </c>
      <c r="Q75" s="35">
        <v>17.52</v>
      </c>
      <c r="R75" s="21">
        <v>53.16</v>
      </c>
      <c r="S75" s="35">
        <v>-35.95</v>
      </c>
      <c r="T75" s="21">
        <v>19.3</v>
      </c>
      <c r="U75" s="21">
        <v>5.32</v>
      </c>
      <c r="V75" s="21">
        <v>3.39</v>
      </c>
      <c r="W75" s="21">
        <v>2.31</v>
      </c>
      <c r="X75" s="21">
        <v>3170.74</v>
      </c>
      <c r="Y75" s="35">
        <v>11.5</v>
      </c>
      <c r="Z75" s="35">
        <v>20.8</v>
      </c>
      <c r="AA75" s="35">
        <v>16.3</v>
      </c>
      <c r="AB75" s="35">
        <v>1.4</v>
      </c>
      <c r="AC75" s="35">
        <v>6.7</v>
      </c>
      <c r="AD75" s="21">
        <v>-8.65</v>
      </c>
      <c r="AE75" s="21">
        <v>6.49</v>
      </c>
      <c r="AF75" s="23">
        <v>2.044E7</v>
      </c>
      <c r="AG75" s="23">
        <v>1.022E7</v>
      </c>
      <c r="AH75" s="23">
        <v>2044000.0</v>
      </c>
      <c r="AI75" s="23">
        <v>1022000.0</v>
      </c>
      <c r="AJ75" s="23">
        <v>7154000.0</v>
      </c>
      <c r="AK75" s="23">
        <v>6132000.0</v>
      </c>
      <c r="AL75" s="21">
        <v>32.0</v>
      </c>
      <c r="AM75" s="21">
        <v>-6.65</v>
      </c>
      <c r="AN75" s="21">
        <v>-69.91</v>
      </c>
      <c r="AO75" s="21">
        <v>-6.19</v>
      </c>
      <c r="AP75" s="21">
        <v>-75.09</v>
      </c>
      <c r="AQ75" s="23">
        <v>50.0</v>
      </c>
      <c r="AR75" s="23">
        <v>10.0</v>
      </c>
      <c r="AS75" s="23">
        <v>5.0</v>
      </c>
      <c r="AT75" s="23">
        <v>35.0</v>
      </c>
      <c r="AU75" s="23">
        <v>30.0</v>
      </c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36"/>
      <c r="BH75" s="36"/>
      <c r="BI75" s="36"/>
      <c r="BJ75" s="36"/>
      <c r="BK75" s="36"/>
      <c r="BL75" s="36"/>
      <c r="BM75" s="36"/>
      <c r="BN75" s="36"/>
      <c r="BO75" s="36"/>
      <c r="BP75" s="36"/>
      <c r="BQ75" s="36"/>
    </row>
    <row r="76">
      <c r="A76" s="31">
        <v>45537.0</v>
      </c>
      <c r="B76" s="31">
        <v>45544.0</v>
      </c>
      <c r="C76" s="32">
        <v>24833.5</v>
      </c>
      <c r="D76" s="33">
        <v>24868.5</v>
      </c>
      <c r="E76" s="32">
        <v>-0.14</v>
      </c>
      <c r="F76" s="32" t="s">
        <v>61</v>
      </c>
      <c r="G76" s="34" t="s">
        <v>47</v>
      </c>
      <c r="H76" s="21" t="s">
        <v>156</v>
      </c>
      <c r="I76" s="35" t="s">
        <v>49</v>
      </c>
      <c r="J76" s="21">
        <v>10.0</v>
      </c>
      <c r="K76" s="21">
        <v>76.0</v>
      </c>
      <c r="L76" s="35">
        <v>2454.0</v>
      </c>
      <c r="M76" s="35">
        <v>774.0</v>
      </c>
      <c r="N76" s="21">
        <v>721.1</v>
      </c>
      <c r="O76" s="35">
        <v>36.31</v>
      </c>
      <c r="P76" s="21">
        <v>787.05</v>
      </c>
      <c r="Q76" s="35">
        <v>48.78</v>
      </c>
      <c r="R76" s="21">
        <v>825.35</v>
      </c>
      <c r="S76" s="35">
        <v>56.02</v>
      </c>
      <c r="T76" s="21">
        <v>5.53</v>
      </c>
      <c r="U76" s="21">
        <v>2.75</v>
      </c>
      <c r="V76" s="21">
        <v>2.03</v>
      </c>
      <c r="W76" s="21">
        <v>4.05</v>
      </c>
      <c r="X76" s="21">
        <v>2019.34</v>
      </c>
      <c r="Y76" s="35">
        <v>19.9</v>
      </c>
      <c r="Z76" s="35">
        <v>23.3</v>
      </c>
      <c r="AA76" s="35">
        <v>21.2</v>
      </c>
      <c r="AB76" s="35">
        <v>0.53</v>
      </c>
      <c r="AC76" s="35">
        <v>11.0</v>
      </c>
      <c r="AD76" s="21">
        <v>-78.46</v>
      </c>
      <c r="AE76" s="21">
        <v>13.72</v>
      </c>
      <c r="AF76" s="23">
        <v>3174416.0</v>
      </c>
      <c r="AG76" s="23">
        <v>1584310.0</v>
      </c>
      <c r="AH76" s="23">
        <v>316862.0</v>
      </c>
      <c r="AI76" s="23">
        <v>158431.0</v>
      </c>
      <c r="AJ76" s="23">
        <v>1109017.0</v>
      </c>
      <c r="AK76" s="23">
        <v>950586.0</v>
      </c>
      <c r="AL76" s="21">
        <v>195.0</v>
      </c>
      <c r="AM76" s="21">
        <v>-4.3</v>
      </c>
      <c r="AN76" s="21">
        <v>-17.69</v>
      </c>
      <c r="AO76" s="21">
        <v>-3.59</v>
      </c>
      <c r="AP76" s="21">
        <v>-21.16</v>
      </c>
      <c r="AQ76" s="23">
        <v>49.91</v>
      </c>
      <c r="AR76" s="23">
        <v>9.98</v>
      </c>
      <c r="AS76" s="23">
        <v>4.99</v>
      </c>
      <c r="AT76" s="23">
        <v>34.94</v>
      </c>
      <c r="AU76" s="23">
        <v>29.95</v>
      </c>
      <c r="AV76" s="36"/>
      <c r="AW76" s="36"/>
      <c r="AX76" s="36"/>
      <c r="AY76" s="36"/>
      <c r="AZ76" s="36"/>
      <c r="BA76" s="36"/>
      <c r="BB76" s="36"/>
      <c r="BC76" s="36"/>
      <c r="BD76" s="36"/>
      <c r="BE76" s="36"/>
      <c r="BF76" s="36"/>
      <c r="BG76" s="36"/>
      <c r="BH76" s="36"/>
      <c r="BI76" s="36"/>
      <c r="BJ76" s="36"/>
      <c r="BK76" s="36"/>
      <c r="BL76" s="36"/>
      <c r="BM76" s="36"/>
      <c r="BN76" s="36"/>
      <c r="BO76" s="36"/>
      <c r="BP76" s="36"/>
      <c r="BQ76" s="36"/>
    </row>
    <row r="77">
      <c r="A77" s="40">
        <v>45538.0</v>
      </c>
      <c r="B77" s="31">
        <v>45541.0</v>
      </c>
      <c r="C77" s="32">
        <v>24976.7</v>
      </c>
      <c r="D77" s="33">
        <v>25144.8</v>
      </c>
      <c r="E77" s="32">
        <v>-0.67</v>
      </c>
      <c r="F77" s="32" t="s">
        <v>70</v>
      </c>
      <c r="G77" s="34" t="s">
        <v>55</v>
      </c>
      <c r="H77" s="21" t="s">
        <v>157</v>
      </c>
      <c r="I77" s="35" t="s">
        <v>49</v>
      </c>
      <c r="J77" s="21">
        <v>5.0</v>
      </c>
      <c r="K77" s="21">
        <v>401.0</v>
      </c>
      <c r="L77" s="35">
        <v>332.0</v>
      </c>
      <c r="M77" s="35">
        <v>422.0</v>
      </c>
      <c r="N77" s="21">
        <v>389.0</v>
      </c>
      <c r="O77" s="35">
        <v>0.0</v>
      </c>
      <c r="P77" s="21">
        <v>400.0</v>
      </c>
      <c r="Q77" s="35">
        <v>2.83</v>
      </c>
      <c r="R77" s="21">
        <v>276.6</v>
      </c>
      <c r="S77" s="35">
        <v>-28.89</v>
      </c>
      <c r="T77" s="21">
        <v>31.26</v>
      </c>
      <c r="U77" s="21">
        <v>16.28</v>
      </c>
      <c r="V77" s="21">
        <v>11.92</v>
      </c>
      <c r="W77" s="21">
        <v>3.82</v>
      </c>
      <c r="X77" s="21">
        <v>906.41</v>
      </c>
      <c r="Y77" s="35">
        <v>14.6</v>
      </c>
      <c r="Z77" s="21">
        <v>33.57</v>
      </c>
      <c r="AA77" s="21">
        <v>31.98</v>
      </c>
      <c r="AB77" s="21">
        <v>1.17</v>
      </c>
      <c r="AC77" s="21">
        <v>10.05</v>
      </c>
      <c r="AD77" s="21">
        <v>33.57</v>
      </c>
      <c r="AE77" s="21">
        <v>6.95</v>
      </c>
      <c r="AF77" s="23">
        <v>2.1459488E7</v>
      </c>
      <c r="AG77" s="23">
        <v>1.071562E7</v>
      </c>
      <c r="AH77" s="23">
        <v>2143124.0</v>
      </c>
      <c r="AI77" s="23">
        <v>1071562.0</v>
      </c>
      <c r="AJ77" s="23">
        <v>7500934.0</v>
      </c>
      <c r="AK77" s="23">
        <v>6429372.0</v>
      </c>
      <c r="AL77" s="21">
        <v>37.0</v>
      </c>
      <c r="AM77" s="21">
        <v>19.4</v>
      </c>
      <c r="AN77" s="21">
        <v>20.67</v>
      </c>
      <c r="AO77" s="21">
        <v>17.5</v>
      </c>
      <c r="AP77" s="21">
        <v>22.91</v>
      </c>
      <c r="AQ77" s="23">
        <v>49.93</v>
      </c>
      <c r="AR77" s="23">
        <v>9.99</v>
      </c>
      <c r="AS77" s="23">
        <v>4.99</v>
      </c>
      <c r="AT77" s="23">
        <v>34.95</v>
      </c>
      <c r="AU77" s="23">
        <v>29.96</v>
      </c>
      <c r="AV77" s="36"/>
      <c r="AW77" s="36"/>
      <c r="AX77" s="36"/>
      <c r="AY77" s="36"/>
      <c r="AZ77" s="36"/>
      <c r="BA77" s="36"/>
      <c r="BB77" s="36"/>
      <c r="BC77" s="36"/>
      <c r="BD77" s="36"/>
      <c r="BE77" s="36"/>
      <c r="BF77" s="36"/>
      <c r="BG77" s="36"/>
      <c r="BH77" s="36"/>
      <c r="BI77" s="36"/>
      <c r="BJ77" s="36"/>
      <c r="BK77" s="36"/>
      <c r="BL77" s="36"/>
      <c r="BM77" s="36"/>
      <c r="BN77" s="36"/>
      <c r="BO77" s="36"/>
      <c r="BP77" s="36"/>
      <c r="BQ77" s="36"/>
    </row>
    <row r="78">
      <c r="A78" s="31">
        <v>45532.0</v>
      </c>
      <c r="B78" s="31">
        <v>45539.0</v>
      </c>
      <c r="C78" s="32">
        <v>25118.8</v>
      </c>
      <c r="D78" s="33">
        <v>25268.85</v>
      </c>
      <c r="E78" s="32">
        <v>-0.59</v>
      </c>
      <c r="F78" s="32" t="s">
        <v>70</v>
      </c>
      <c r="G78" s="34" t="s">
        <v>55</v>
      </c>
      <c r="H78" s="21" t="s">
        <v>158</v>
      </c>
      <c r="I78" s="35" t="s">
        <v>49</v>
      </c>
      <c r="J78" s="21">
        <v>2.0</v>
      </c>
      <c r="K78" s="21">
        <v>679.0</v>
      </c>
      <c r="L78" s="35">
        <v>1264.0</v>
      </c>
      <c r="M78" s="35">
        <v>460.0</v>
      </c>
      <c r="N78" s="21">
        <v>390.0</v>
      </c>
      <c r="O78" s="35">
        <v>16.77</v>
      </c>
      <c r="P78" s="21">
        <v>443.15</v>
      </c>
      <c r="Q78" s="35">
        <v>32.68</v>
      </c>
      <c r="R78" s="21">
        <v>308.3</v>
      </c>
      <c r="S78" s="35">
        <v>-7.69</v>
      </c>
      <c r="T78" s="21">
        <v>90.09</v>
      </c>
      <c r="U78" s="21">
        <v>47.43</v>
      </c>
      <c r="V78" s="21">
        <v>31.45</v>
      </c>
      <c r="W78" s="21">
        <v>20.8</v>
      </c>
      <c r="X78" s="21">
        <v>709.5</v>
      </c>
      <c r="Y78" s="35">
        <v>16.23</v>
      </c>
      <c r="Z78" s="21">
        <v>0.11</v>
      </c>
      <c r="AA78" s="21">
        <v>3.37</v>
      </c>
      <c r="AB78" s="21">
        <v>0.69</v>
      </c>
      <c r="AC78" s="21">
        <v>0.02</v>
      </c>
      <c r="AD78" s="21">
        <v>-0.57</v>
      </c>
      <c r="AE78" s="21">
        <v>13.69</v>
      </c>
      <c r="AF78" s="23">
        <v>1.8E7</v>
      </c>
      <c r="AG78" s="23">
        <v>9000000.0</v>
      </c>
      <c r="AH78" s="23">
        <v>1800000.0</v>
      </c>
      <c r="AI78" s="23">
        <v>900000.0</v>
      </c>
      <c r="AJ78" s="23">
        <v>6300000.0</v>
      </c>
      <c r="AK78" s="23">
        <v>5400000.0</v>
      </c>
      <c r="AL78" s="21">
        <v>22.0</v>
      </c>
      <c r="AM78" s="35">
        <v>10.42</v>
      </c>
      <c r="AN78" s="21">
        <v>29.79</v>
      </c>
      <c r="AO78" s="35">
        <v>6.93</v>
      </c>
      <c r="AP78" s="35">
        <v>25.0</v>
      </c>
      <c r="AQ78" s="23">
        <v>50.0</v>
      </c>
      <c r="AR78" s="23">
        <v>10.0</v>
      </c>
      <c r="AS78" s="23">
        <v>5.0</v>
      </c>
      <c r="AT78" s="23">
        <v>35.0</v>
      </c>
      <c r="AU78" s="23">
        <v>30.0</v>
      </c>
      <c r="AV78" s="36"/>
      <c r="AW78" s="36"/>
      <c r="AX78" s="36"/>
      <c r="AY78" s="36"/>
      <c r="AZ78" s="36"/>
      <c r="BA78" s="36"/>
      <c r="BB78" s="36"/>
      <c r="BC78" s="36"/>
      <c r="BD78" s="36"/>
      <c r="BE78" s="36"/>
      <c r="BF78" s="36"/>
      <c r="BG78" s="36"/>
      <c r="BH78" s="36"/>
      <c r="BI78" s="36"/>
      <c r="BJ78" s="36"/>
      <c r="BK78" s="36"/>
      <c r="BL78" s="36"/>
      <c r="BM78" s="36"/>
      <c r="BN78" s="36"/>
      <c r="BO78" s="36"/>
      <c r="BP78" s="36"/>
      <c r="BQ78" s="36"/>
    </row>
    <row r="79">
      <c r="A79" s="31">
        <v>45531.0</v>
      </c>
      <c r="B79" s="31">
        <v>45538.0</v>
      </c>
      <c r="C79" s="32">
        <v>25254.9</v>
      </c>
      <c r="D79" s="33">
        <v>25273.9</v>
      </c>
      <c r="E79" s="32">
        <v>-0.08</v>
      </c>
      <c r="F79" s="32" t="s">
        <v>70</v>
      </c>
      <c r="G79" s="34" t="s">
        <v>94</v>
      </c>
      <c r="H79" s="21" t="s">
        <v>159</v>
      </c>
      <c r="I79" s="35" t="s">
        <v>49</v>
      </c>
      <c r="J79" s="21">
        <v>1.0</v>
      </c>
      <c r="K79" s="21">
        <v>256.0</v>
      </c>
      <c r="L79" s="35">
        <v>4875.0</v>
      </c>
      <c r="M79" s="35">
        <v>937.0</v>
      </c>
      <c r="N79" s="21">
        <v>990.0</v>
      </c>
      <c r="O79" s="35">
        <v>120.0</v>
      </c>
      <c r="P79" s="21">
        <v>839.9</v>
      </c>
      <c r="Q79" s="35">
        <v>86.64</v>
      </c>
      <c r="R79" s="21">
        <v>1032.1</v>
      </c>
      <c r="S79" s="35">
        <v>129.36</v>
      </c>
      <c r="T79" s="21">
        <v>153.86</v>
      </c>
      <c r="U79" s="21">
        <v>55.27</v>
      </c>
      <c r="V79" s="21">
        <v>52.11</v>
      </c>
      <c r="W79" s="21">
        <v>14.37</v>
      </c>
      <c r="X79" s="21">
        <v>422.37</v>
      </c>
      <c r="Y79" s="35">
        <v>16.07</v>
      </c>
      <c r="Z79" s="21">
        <v>21.19</v>
      </c>
      <c r="AA79" s="21">
        <v>18.46</v>
      </c>
      <c r="AB79" s="21">
        <v>1.48</v>
      </c>
      <c r="AC79" s="21">
        <v>3.19</v>
      </c>
      <c r="AD79" s="21">
        <v>18.27</v>
      </c>
      <c r="AE79" s="21">
        <v>7.72</v>
      </c>
      <c r="AF79" s="23">
        <v>6.29092E7</v>
      </c>
      <c r="AG79" s="23">
        <v>3.1337777E7</v>
      </c>
      <c r="AH79" s="23">
        <v>6267556.0</v>
      </c>
      <c r="AI79" s="23">
        <v>3133778.0</v>
      </c>
      <c r="AJ79" s="23">
        <v>2.1936445E7</v>
      </c>
      <c r="AK79" s="23">
        <v>1.8802666E7</v>
      </c>
      <c r="AL79" s="21">
        <v>58.0</v>
      </c>
      <c r="AM79" s="21">
        <v>6.18</v>
      </c>
      <c r="AN79" s="21">
        <v>41.41</v>
      </c>
      <c r="AO79" s="21">
        <v>5.03</v>
      </c>
      <c r="AP79" s="21">
        <v>50.86</v>
      </c>
      <c r="AQ79" s="23">
        <v>49.81</v>
      </c>
      <c r="AR79" s="23">
        <v>9.96</v>
      </c>
      <c r="AS79" s="23">
        <v>4.98</v>
      </c>
      <c r="AT79" s="23">
        <v>34.87</v>
      </c>
      <c r="AU79" s="23">
        <v>29.89</v>
      </c>
      <c r="AV79" s="36"/>
      <c r="AW79" s="36"/>
      <c r="AX79" s="36"/>
      <c r="AY79" s="36"/>
      <c r="AZ79" s="36"/>
      <c r="BA79" s="36"/>
      <c r="BB79" s="36"/>
      <c r="BC79" s="36"/>
      <c r="BD79" s="36"/>
      <c r="BE79" s="36"/>
      <c r="BF79" s="36"/>
      <c r="BG79" s="36"/>
      <c r="BH79" s="36"/>
      <c r="BI79" s="36"/>
      <c r="BJ79" s="36"/>
      <c r="BK79" s="36"/>
      <c r="BL79" s="36"/>
      <c r="BM79" s="36"/>
      <c r="BN79" s="36"/>
      <c r="BO79" s="36"/>
      <c r="BP79" s="36"/>
      <c r="BQ79" s="36"/>
    </row>
    <row r="80">
      <c r="A80" s="31">
        <v>45525.0</v>
      </c>
      <c r="B80" s="31">
        <v>45532.0</v>
      </c>
      <c r="C80" s="32">
        <v>25023.55</v>
      </c>
      <c r="D80" s="33">
        <v>24997.05</v>
      </c>
      <c r="E80" s="32">
        <v>0.11</v>
      </c>
      <c r="F80" s="32" t="s">
        <v>70</v>
      </c>
      <c r="G80" s="34" t="s">
        <v>50</v>
      </c>
      <c r="H80" s="21" t="s">
        <v>160</v>
      </c>
      <c r="I80" s="35" t="s">
        <v>49</v>
      </c>
      <c r="J80" s="21">
        <v>10.0</v>
      </c>
      <c r="K80" s="21">
        <v>95.0</v>
      </c>
      <c r="L80" s="35">
        <v>954.0</v>
      </c>
      <c r="M80" s="35">
        <v>301.0</v>
      </c>
      <c r="N80" s="21">
        <v>288.0</v>
      </c>
      <c r="O80" s="35">
        <v>39.81</v>
      </c>
      <c r="P80" s="21">
        <v>304.45</v>
      </c>
      <c r="Q80" s="35">
        <v>47.79</v>
      </c>
      <c r="R80" s="21">
        <v>317.0</v>
      </c>
      <c r="S80" s="35">
        <v>53.88</v>
      </c>
      <c r="T80" s="21">
        <v>145.68</v>
      </c>
      <c r="U80" s="21">
        <v>149.44</v>
      </c>
      <c r="V80" s="21">
        <v>110.61</v>
      </c>
      <c r="W80" s="21">
        <v>24.23</v>
      </c>
      <c r="X80" s="21">
        <v>215.91</v>
      </c>
      <c r="Y80" s="35">
        <v>9.3</v>
      </c>
      <c r="Z80" s="21">
        <v>30.92</v>
      </c>
      <c r="AA80" s="21">
        <v>24.43</v>
      </c>
      <c r="AB80" s="21">
        <v>0.5</v>
      </c>
      <c r="AC80" s="21">
        <v>6.17</v>
      </c>
      <c r="AD80" s="21">
        <v>30.92</v>
      </c>
      <c r="AE80" s="21">
        <v>6.18</v>
      </c>
      <c r="AF80" s="23">
        <v>1.0425242E7</v>
      </c>
      <c r="AG80" s="23">
        <v>5212620.0</v>
      </c>
      <c r="AH80" s="23">
        <v>1042525.0</v>
      </c>
      <c r="AI80" s="23">
        <v>521262.0</v>
      </c>
      <c r="AJ80" s="23">
        <v>3648835.0</v>
      </c>
      <c r="AK80" s="23">
        <v>3127572.0</v>
      </c>
      <c r="AL80" s="21">
        <v>150.0</v>
      </c>
      <c r="AM80" s="21">
        <v>4.75</v>
      </c>
      <c r="AN80" s="21">
        <v>19.98</v>
      </c>
      <c r="AO80" s="21">
        <v>3.66</v>
      </c>
      <c r="AP80" s="21">
        <v>25.93</v>
      </c>
      <c r="AQ80" s="23">
        <v>50.0</v>
      </c>
      <c r="AR80" s="23">
        <v>10.0</v>
      </c>
      <c r="AS80" s="23">
        <v>5.0</v>
      </c>
      <c r="AT80" s="23">
        <v>35.0</v>
      </c>
      <c r="AU80" s="23">
        <v>30.0</v>
      </c>
      <c r="AV80" s="36"/>
      <c r="AW80" s="36"/>
      <c r="AX80" s="36"/>
      <c r="AY80" s="36"/>
      <c r="AZ80" s="36"/>
      <c r="BA80" s="36"/>
      <c r="BB80" s="36"/>
      <c r="BC80" s="36"/>
      <c r="BD80" s="36"/>
      <c r="BE80" s="36"/>
      <c r="BF80" s="36"/>
      <c r="BG80" s="36"/>
      <c r="BH80" s="36"/>
      <c r="BI80" s="36"/>
      <c r="BJ80" s="36"/>
      <c r="BK80" s="36"/>
      <c r="BL80" s="36"/>
      <c r="BM80" s="36"/>
      <c r="BN80" s="36"/>
      <c r="BO80" s="36"/>
      <c r="BP80" s="36"/>
      <c r="BQ80" s="36"/>
    </row>
    <row r="81">
      <c r="A81" s="31">
        <v>45523.0</v>
      </c>
      <c r="B81" s="31">
        <v>45530.0</v>
      </c>
      <c r="C81" s="32">
        <v>24976.75</v>
      </c>
      <c r="D81" s="33">
        <v>24831.85</v>
      </c>
      <c r="E81" s="32">
        <v>0.58</v>
      </c>
      <c r="F81" s="32" t="s">
        <v>70</v>
      </c>
      <c r="G81" s="34" t="s">
        <v>55</v>
      </c>
      <c r="H81" s="21" t="s">
        <v>161</v>
      </c>
      <c r="I81" s="35" t="s">
        <v>49</v>
      </c>
      <c r="J81" s="21">
        <v>10.0</v>
      </c>
      <c r="K81" s="21">
        <v>1008.0</v>
      </c>
      <c r="L81" s="35">
        <v>3364.0</v>
      </c>
      <c r="M81" s="35">
        <v>1236.0</v>
      </c>
      <c r="N81" s="21">
        <v>1299.0</v>
      </c>
      <c r="O81" s="35">
        <v>44.33</v>
      </c>
      <c r="P81" s="21">
        <v>1196.45</v>
      </c>
      <c r="Q81" s="35">
        <v>32.94</v>
      </c>
      <c r="R81" s="21">
        <v>2190.6</v>
      </c>
      <c r="S81" s="35">
        <v>143.4</v>
      </c>
      <c r="T81" s="21">
        <v>191.24</v>
      </c>
      <c r="U81" s="21">
        <v>54.9</v>
      </c>
      <c r="V81" s="21">
        <v>38.16</v>
      </c>
      <c r="W81" s="21">
        <v>7.36</v>
      </c>
      <c r="X81" s="21">
        <v>2952.28</v>
      </c>
      <c r="Y81" s="35">
        <v>9.65</v>
      </c>
      <c r="Z81" s="21">
        <v>16.9</v>
      </c>
      <c r="AA81" s="21">
        <v>19.37</v>
      </c>
      <c r="AB81" s="21">
        <v>0.67</v>
      </c>
      <c r="AC81" s="35">
        <v>6.67</v>
      </c>
      <c r="AD81" s="21">
        <v>16.87</v>
      </c>
      <c r="AE81" s="21">
        <v>6.18</v>
      </c>
      <c r="AF81" s="23">
        <v>6672169.0</v>
      </c>
      <c r="AG81" s="23">
        <v>3323814.0</v>
      </c>
      <c r="AH81" s="23">
        <v>664764.0</v>
      </c>
      <c r="AI81" s="23">
        <v>332381.0</v>
      </c>
      <c r="AJ81" s="23">
        <v>2326671.0</v>
      </c>
      <c r="AK81" s="23">
        <v>1994288.0</v>
      </c>
      <c r="AL81" s="21">
        <v>14.0</v>
      </c>
      <c r="AM81" s="21">
        <v>29.17</v>
      </c>
      <c r="AN81" s="21">
        <v>34.55</v>
      </c>
      <c r="AO81" s="21">
        <v>27.95</v>
      </c>
      <c r="AP81" s="21">
        <v>36.07</v>
      </c>
      <c r="AQ81" s="23">
        <v>49.82</v>
      </c>
      <c r="AR81" s="23">
        <v>9.96</v>
      </c>
      <c r="AS81" s="23">
        <v>4.98</v>
      </c>
      <c r="AT81" s="23">
        <v>34.87</v>
      </c>
      <c r="AU81" s="23">
        <v>29.89</v>
      </c>
      <c r="AV81" s="36"/>
      <c r="AW81" s="36"/>
      <c r="AX81" s="36"/>
      <c r="AY81" s="36"/>
      <c r="AZ81" s="36"/>
      <c r="BA81" s="36"/>
      <c r="BB81" s="36"/>
      <c r="BC81" s="36"/>
      <c r="BD81" s="36"/>
      <c r="BE81" s="36"/>
      <c r="BF81" s="36"/>
      <c r="BG81" s="36"/>
      <c r="BH81" s="36"/>
      <c r="BI81" s="36"/>
      <c r="BJ81" s="36"/>
      <c r="BK81" s="36"/>
      <c r="BL81" s="36"/>
      <c r="BM81" s="36"/>
      <c r="BN81" s="36"/>
      <c r="BO81" s="36"/>
      <c r="BP81" s="36"/>
      <c r="BQ81" s="36"/>
    </row>
    <row r="82">
      <c r="A82" s="31">
        <v>45516.0</v>
      </c>
      <c r="B82" s="31">
        <v>45524.0</v>
      </c>
      <c r="C82" s="32">
        <v>24702.7</v>
      </c>
      <c r="D82" s="33">
        <v>24579.0</v>
      </c>
      <c r="E82" s="32">
        <v>0.5</v>
      </c>
      <c r="F82" s="32" t="s">
        <v>70</v>
      </c>
      <c r="G82" s="34" t="s">
        <v>55</v>
      </c>
      <c r="H82" s="21" t="s">
        <v>162</v>
      </c>
      <c r="I82" s="35" t="s">
        <v>49</v>
      </c>
      <c r="J82" s="21">
        <v>10.0</v>
      </c>
      <c r="K82" s="21">
        <v>207.0</v>
      </c>
      <c r="L82" s="35">
        <v>404.0</v>
      </c>
      <c r="M82" s="35">
        <v>200.0</v>
      </c>
      <c r="N82" s="21">
        <v>194.0</v>
      </c>
      <c r="O82" s="35">
        <v>21.25</v>
      </c>
      <c r="P82" s="21">
        <v>209.95</v>
      </c>
      <c r="Q82" s="35">
        <v>31.22</v>
      </c>
      <c r="R82" s="21">
        <v>93.1</v>
      </c>
      <c r="S82" s="35">
        <v>-41.81</v>
      </c>
      <c r="T82" s="21">
        <v>173.99</v>
      </c>
      <c r="U82" s="21">
        <v>217.5</v>
      </c>
      <c r="V82" s="21">
        <v>229.99</v>
      </c>
      <c r="W82" s="21">
        <v>58.31</v>
      </c>
      <c r="X82" s="21">
        <v>187.5</v>
      </c>
      <c r="Y82" s="35">
        <v>6.73</v>
      </c>
      <c r="Z82" s="21">
        <v>23.78</v>
      </c>
      <c r="AA82" s="21">
        <v>25.34</v>
      </c>
      <c r="AB82" s="21">
        <v>0.27</v>
      </c>
      <c r="AC82" s="21">
        <v>3.61</v>
      </c>
      <c r="AD82" s="21">
        <v>23.78</v>
      </c>
      <c r="AE82" s="21">
        <v>2.73</v>
      </c>
      <c r="AF82" s="23">
        <v>1.00008E7</v>
      </c>
      <c r="AG82" s="23">
        <v>5000400.0</v>
      </c>
      <c r="AH82" s="23">
        <v>1000080.0</v>
      </c>
      <c r="AI82" s="23">
        <v>500040.0</v>
      </c>
      <c r="AJ82" s="23">
        <v>3500280.0</v>
      </c>
      <c r="AK82" s="41"/>
      <c r="AL82" s="21">
        <v>72.0</v>
      </c>
      <c r="AM82" s="21">
        <v>21.84</v>
      </c>
      <c r="AN82" s="21">
        <v>9.48</v>
      </c>
      <c r="AO82" s="21">
        <v>18.02</v>
      </c>
      <c r="AP82" s="21">
        <v>11.49</v>
      </c>
      <c r="AQ82" s="23">
        <v>50.0</v>
      </c>
      <c r="AR82" s="23">
        <v>10.0</v>
      </c>
      <c r="AS82" s="23">
        <v>5.0</v>
      </c>
      <c r="AT82" s="23">
        <v>35.0</v>
      </c>
      <c r="AU82" s="41"/>
      <c r="AV82" s="36"/>
      <c r="AW82" s="36"/>
      <c r="AX82" s="36"/>
      <c r="AY82" s="36"/>
      <c r="AZ82" s="36"/>
      <c r="BA82" s="36"/>
      <c r="BB82" s="36"/>
      <c r="BC82" s="36"/>
      <c r="BD82" s="36"/>
      <c r="BE82" s="36"/>
      <c r="BF82" s="36"/>
      <c r="BG82" s="36"/>
      <c r="BH82" s="36"/>
      <c r="BI82" s="36"/>
      <c r="BJ82" s="36"/>
      <c r="BK82" s="36"/>
      <c r="BL82" s="36"/>
      <c r="BM82" s="36"/>
      <c r="BN82" s="36"/>
      <c r="BO82" s="36"/>
      <c r="BP82" s="36"/>
      <c r="BQ82" s="36"/>
    </row>
    <row r="83">
      <c r="A83" s="31">
        <v>45510.0</v>
      </c>
      <c r="B83" s="31">
        <v>45517.0</v>
      </c>
      <c r="C83" s="32">
        <v>24325.3</v>
      </c>
      <c r="D83" s="33">
        <v>24348.8</v>
      </c>
      <c r="E83" s="32">
        <v>-0.1</v>
      </c>
      <c r="F83" s="32" t="s">
        <v>61</v>
      </c>
      <c r="G83" s="34" t="s">
        <v>50</v>
      </c>
      <c r="H83" s="21" t="s">
        <v>163</v>
      </c>
      <c r="I83" s="35" t="s">
        <v>49</v>
      </c>
      <c r="J83" s="21">
        <v>1.0</v>
      </c>
      <c r="K83" s="21">
        <v>281.0</v>
      </c>
      <c r="L83" s="35">
        <v>695.0</v>
      </c>
      <c r="M83" s="35">
        <v>177.0</v>
      </c>
      <c r="N83" s="21">
        <v>235.0</v>
      </c>
      <c r="O83" s="35">
        <v>117.59</v>
      </c>
      <c r="P83" s="21">
        <v>210.08</v>
      </c>
      <c r="Q83" s="35">
        <v>94.52</v>
      </c>
      <c r="R83" s="21">
        <v>119.74</v>
      </c>
      <c r="S83" s="35">
        <v>10.87</v>
      </c>
      <c r="T83" s="21">
        <v>53.01</v>
      </c>
      <c r="U83" s="21">
        <v>39.76</v>
      </c>
      <c r="V83" s="21">
        <v>22.75</v>
      </c>
      <c r="W83" s="21">
        <v>4.73</v>
      </c>
      <c r="X83" s="21">
        <v>409.26</v>
      </c>
      <c r="Y83" s="35">
        <v>13.9</v>
      </c>
      <c r="Z83" s="21">
        <v>1.03</v>
      </c>
      <c r="AA83" s="21">
        <v>24.35</v>
      </c>
      <c r="AB83" s="21">
        <v>1.88</v>
      </c>
      <c r="AC83" s="21">
        <v>0.17</v>
      </c>
      <c r="AD83" s="21">
        <v>1.03</v>
      </c>
      <c r="AE83" s="21">
        <v>16.77</v>
      </c>
      <c r="AF83" s="23">
        <v>2.5608512E7</v>
      </c>
      <c r="AG83" s="23">
        <v>1.9206385E7</v>
      </c>
      <c r="AH83" s="23">
        <v>2560850.0</v>
      </c>
      <c r="AI83" s="23">
        <v>1280426.0</v>
      </c>
      <c r="AJ83" s="23">
        <v>2560851.0</v>
      </c>
      <c r="AK83" s="23">
        <v>1.1523831E7</v>
      </c>
      <c r="AL83" s="21">
        <v>53.0</v>
      </c>
      <c r="AM83" s="21">
        <v>0.07</v>
      </c>
      <c r="AN83" s="21">
        <v>4284.57</v>
      </c>
      <c r="AO83" s="21">
        <v>0.2</v>
      </c>
      <c r="AP83" s="21">
        <v>1393.87</v>
      </c>
      <c r="AQ83" s="23">
        <v>75.0</v>
      </c>
      <c r="AR83" s="23">
        <v>10.0</v>
      </c>
      <c r="AS83" s="23">
        <v>5.0</v>
      </c>
      <c r="AT83" s="23">
        <v>10.0</v>
      </c>
      <c r="AU83" s="23">
        <v>45.0</v>
      </c>
      <c r="AV83" s="36"/>
      <c r="AW83" s="36"/>
      <c r="AX83" s="36"/>
      <c r="AY83" s="36"/>
      <c r="AZ83" s="36"/>
      <c r="BA83" s="36"/>
      <c r="BB83" s="36"/>
      <c r="BC83" s="36"/>
      <c r="BD83" s="36"/>
      <c r="BE83" s="36"/>
      <c r="BF83" s="36"/>
      <c r="BG83" s="36"/>
      <c r="BH83" s="36"/>
      <c r="BI83" s="36"/>
      <c r="BJ83" s="36"/>
      <c r="BK83" s="36"/>
      <c r="BL83" s="36"/>
      <c r="BM83" s="36"/>
      <c r="BN83" s="36"/>
      <c r="BO83" s="36"/>
      <c r="BP83" s="36"/>
      <c r="BQ83" s="36"/>
    </row>
    <row r="84">
      <c r="A84" s="31">
        <v>45510.0</v>
      </c>
      <c r="B84" s="31">
        <v>45517.0</v>
      </c>
      <c r="C84" s="32">
        <v>24325.3</v>
      </c>
      <c r="D84" s="33">
        <v>24348.8</v>
      </c>
      <c r="E84" s="32">
        <v>-0.1</v>
      </c>
      <c r="F84" s="32" t="s">
        <v>61</v>
      </c>
      <c r="G84" s="34" t="s">
        <v>50</v>
      </c>
      <c r="H84" s="21" t="s">
        <v>164</v>
      </c>
      <c r="I84" s="35" t="s">
        <v>49</v>
      </c>
      <c r="J84" s="21">
        <v>2.0</v>
      </c>
      <c r="K84" s="21">
        <v>369.0</v>
      </c>
      <c r="L84" s="35">
        <v>873.0</v>
      </c>
      <c r="M84" s="35">
        <v>552.0</v>
      </c>
      <c r="N84" s="21">
        <v>651.0</v>
      </c>
      <c r="O84" s="35">
        <v>40.0</v>
      </c>
      <c r="P84" s="21">
        <v>679.1</v>
      </c>
      <c r="Q84" s="35">
        <v>46.04</v>
      </c>
      <c r="R84" s="21">
        <v>343.35</v>
      </c>
      <c r="S84" s="35">
        <v>-26.16</v>
      </c>
      <c r="T84" s="21">
        <v>215.62</v>
      </c>
      <c r="U84" s="21">
        <v>136.75</v>
      </c>
      <c r="V84" s="21">
        <v>90.76</v>
      </c>
      <c r="W84" s="21">
        <v>19.08</v>
      </c>
      <c r="X84" s="21">
        <v>237.21</v>
      </c>
      <c r="Y84" s="35">
        <v>17.5</v>
      </c>
      <c r="Z84" s="21">
        <v>7.92</v>
      </c>
      <c r="AA84" s="21">
        <v>8.63</v>
      </c>
      <c r="AB84" s="21">
        <v>0.86</v>
      </c>
      <c r="AC84" s="21">
        <v>5.97</v>
      </c>
      <c r="AD84" s="21">
        <v>8.34</v>
      </c>
      <c r="AE84" s="21">
        <v>8.03</v>
      </c>
      <c r="AF84" s="23">
        <v>9.0194432E7</v>
      </c>
      <c r="AG84" s="23">
        <v>6.7592381E7</v>
      </c>
      <c r="AH84" s="23">
        <v>9012318.0</v>
      </c>
      <c r="AI84" s="23">
        <v>4506158.0</v>
      </c>
      <c r="AJ84" s="23">
        <v>9012317.0</v>
      </c>
      <c r="AK84" s="23">
        <v>4.0555428E7</v>
      </c>
      <c r="AL84" s="21">
        <v>40.0</v>
      </c>
      <c r="AM84" s="21">
        <v>6.78</v>
      </c>
      <c r="AN84" s="21">
        <v>54.43</v>
      </c>
      <c r="AO84" s="21">
        <v>4.37</v>
      </c>
      <c r="AP84" s="21">
        <v>84.4</v>
      </c>
      <c r="AQ84" s="23">
        <v>74.94</v>
      </c>
      <c r="AR84" s="23">
        <v>9.99</v>
      </c>
      <c r="AS84" s="23">
        <v>5.0</v>
      </c>
      <c r="AT84" s="23">
        <v>9.99</v>
      </c>
      <c r="AU84" s="23">
        <v>44.96</v>
      </c>
      <c r="AV84" s="36"/>
      <c r="AW84" s="36"/>
      <c r="AX84" s="36"/>
      <c r="AY84" s="36"/>
      <c r="AZ84" s="36"/>
      <c r="BA84" s="36"/>
      <c r="BB84" s="36"/>
      <c r="BC84" s="36"/>
      <c r="BD84" s="36"/>
      <c r="BE84" s="36"/>
      <c r="BF84" s="36"/>
      <c r="BG84" s="36"/>
      <c r="BH84" s="36"/>
      <c r="BI84" s="36"/>
      <c r="BJ84" s="36"/>
      <c r="BK84" s="36"/>
      <c r="BL84" s="36"/>
      <c r="BM84" s="36"/>
      <c r="BN84" s="36"/>
      <c r="BO84" s="36"/>
      <c r="BP84" s="36"/>
      <c r="BQ84" s="36"/>
    </row>
    <row r="85">
      <c r="A85" s="31">
        <v>45506.0</v>
      </c>
      <c r="B85" s="31">
        <v>45513.0</v>
      </c>
      <c r="C85" s="32">
        <v>24373.85</v>
      </c>
      <c r="D85" s="33">
        <v>24098.7</v>
      </c>
      <c r="E85" s="32">
        <v>1.14</v>
      </c>
      <c r="F85" s="32" t="s">
        <v>61</v>
      </c>
      <c r="G85" s="34" t="s">
        <v>98</v>
      </c>
      <c r="H85" s="21" t="s">
        <v>165</v>
      </c>
      <c r="I85" s="35" t="s">
        <v>69</v>
      </c>
      <c r="J85" s="21">
        <v>10.0</v>
      </c>
      <c r="K85" s="21">
        <v>203.0</v>
      </c>
      <c r="L85" s="35">
        <v>-31.0</v>
      </c>
      <c r="M85" s="35">
        <v>73.0</v>
      </c>
      <c r="N85" s="21">
        <v>76.0</v>
      </c>
      <c r="O85" s="35">
        <v>0.0</v>
      </c>
      <c r="P85" s="21">
        <v>91.2</v>
      </c>
      <c r="Q85" s="35">
        <v>20.0</v>
      </c>
      <c r="R85" s="21">
        <v>41.31</v>
      </c>
      <c r="S85" s="35">
        <v>-45.64</v>
      </c>
      <c r="T85" s="21">
        <v>206.54</v>
      </c>
      <c r="U85" s="21">
        <v>165.71</v>
      </c>
      <c r="V85" s="21">
        <v>116.73</v>
      </c>
      <c r="W85" s="21">
        <v>23.66</v>
      </c>
      <c r="X85" s="21">
        <v>428.19</v>
      </c>
      <c r="Y85" s="35">
        <v>-43.0</v>
      </c>
      <c r="Z85" s="35">
        <v>-89.8</v>
      </c>
      <c r="AA85" s="35">
        <v>-43.0</v>
      </c>
      <c r="AB85" s="21">
        <v>0.85</v>
      </c>
      <c r="AC85" s="35">
        <v>-52.9</v>
      </c>
      <c r="AD85" s="35">
        <v>-78.0</v>
      </c>
      <c r="AE85" s="21">
        <v>2.46</v>
      </c>
      <c r="AF85" s="28">
        <v>8.09E8</v>
      </c>
      <c r="AG85" s="28">
        <v>6.06E8</v>
      </c>
      <c r="AH85" s="23">
        <v>8.0790252E7</v>
      </c>
      <c r="AI85" s="23">
        <v>4.0395126E7</v>
      </c>
      <c r="AJ85" s="23">
        <v>8.0790252E7</v>
      </c>
      <c r="AK85" s="28">
        <v>3.64E8</v>
      </c>
      <c r="AL85" s="21">
        <v>73.0</v>
      </c>
      <c r="AM85" s="21">
        <v>2.45</v>
      </c>
      <c r="AN85" s="21">
        <v>83.0</v>
      </c>
      <c r="AO85" s="21">
        <v>2.77</v>
      </c>
      <c r="AP85" s="21">
        <v>73.33</v>
      </c>
      <c r="AQ85" s="23">
        <v>74.93</v>
      </c>
      <c r="AR85" s="23">
        <v>9.99</v>
      </c>
      <c r="AS85" s="23">
        <v>5.0</v>
      </c>
      <c r="AT85" s="23">
        <v>9.99</v>
      </c>
      <c r="AU85" s="23">
        <v>44.96</v>
      </c>
      <c r="AV85" s="36"/>
      <c r="AW85" s="36"/>
      <c r="AX85" s="36"/>
      <c r="AY85" s="36"/>
      <c r="AZ85" s="36"/>
      <c r="BA85" s="36"/>
      <c r="BB85" s="36"/>
      <c r="BC85" s="36"/>
      <c r="BD85" s="36"/>
      <c r="BE85" s="36"/>
      <c r="BF85" s="36"/>
      <c r="BG85" s="36"/>
      <c r="BH85" s="36"/>
      <c r="BI85" s="36"/>
      <c r="BJ85" s="36"/>
      <c r="BK85" s="36"/>
      <c r="BL85" s="36"/>
      <c r="BM85" s="36"/>
      <c r="BN85" s="36"/>
      <c r="BO85" s="36"/>
      <c r="BP85" s="36"/>
      <c r="BQ85" s="36"/>
    </row>
    <row r="86">
      <c r="A86" s="31">
        <v>45505.0</v>
      </c>
      <c r="B86" s="31">
        <v>45512.0</v>
      </c>
      <c r="C86" s="32">
        <v>24204.6</v>
      </c>
      <c r="D86" s="33">
        <v>24315.25</v>
      </c>
      <c r="E86" s="32">
        <v>-0.46</v>
      </c>
      <c r="F86" s="32" t="s">
        <v>54</v>
      </c>
      <c r="G86" s="34" t="s">
        <v>78</v>
      </c>
      <c r="H86" s="21" t="s">
        <v>166</v>
      </c>
      <c r="I86" s="35" t="s">
        <v>49</v>
      </c>
      <c r="J86" s="21">
        <v>5.0</v>
      </c>
      <c r="K86" s="21">
        <v>120.0</v>
      </c>
      <c r="L86" s="35">
        <v>17.501</v>
      </c>
      <c r="M86" s="35">
        <v>418.5</v>
      </c>
      <c r="N86" s="21">
        <v>419.0</v>
      </c>
      <c r="O86" s="35">
        <v>4.49</v>
      </c>
      <c r="P86" s="21">
        <v>386.75</v>
      </c>
      <c r="Q86" s="35">
        <v>-3.55</v>
      </c>
      <c r="R86" s="21">
        <v>249.7</v>
      </c>
      <c r="S86" s="35">
        <v>-37.73</v>
      </c>
      <c r="T86" s="21">
        <v>28.12</v>
      </c>
      <c r="U86" s="21">
        <v>121.56</v>
      </c>
      <c r="V86" s="21">
        <v>146.83</v>
      </c>
      <c r="W86" s="21">
        <v>44.58</v>
      </c>
      <c r="X86" s="21">
        <v>217.01</v>
      </c>
      <c r="Y86" s="35">
        <v>14.0</v>
      </c>
      <c r="Z86" s="35">
        <v>28.2</v>
      </c>
      <c r="AA86" s="35">
        <v>27.3</v>
      </c>
      <c r="AB86" s="35">
        <v>1.18</v>
      </c>
      <c r="AC86" s="21">
        <v>22.93</v>
      </c>
      <c r="AD86" s="21">
        <v>5.81</v>
      </c>
      <c r="AE86" s="35">
        <v>2.49</v>
      </c>
      <c r="AF86" s="23">
        <v>3.1243701E7</v>
      </c>
      <c r="AG86" s="23">
        <v>1.5594302E7</v>
      </c>
      <c r="AH86" s="23">
        <v>3118861.0</v>
      </c>
      <c r="AI86" s="23">
        <v>1559430.0</v>
      </c>
      <c r="AJ86" s="23">
        <v>1.0916012E7</v>
      </c>
      <c r="AK86" s="23">
        <v>9356581.0</v>
      </c>
      <c r="AL86" s="21">
        <v>125.0</v>
      </c>
      <c r="AM86" s="35">
        <v>21.9</v>
      </c>
      <c r="AN86" s="35">
        <v>20.7</v>
      </c>
      <c r="AO86" s="35">
        <v>21.9</v>
      </c>
      <c r="AP86" s="35">
        <v>20.7</v>
      </c>
      <c r="AQ86" s="23">
        <v>49.91</v>
      </c>
      <c r="AR86" s="23">
        <v>9.98</v>
      </c>
      <c r="AS86" s="23">
        <v>4.99</v>
      </c>
      <c r="AT86" s="23">
        <v>34.94</v>
      </c>
      <c r="AU86" s="23">
        <v>29.95</v>
      </c>
      <c r="AV86" s="36"/>
      <c r="AW86" s="36"/>
      <c r="AX86" s="36"/>
      <c r="AY86" s="36"/>
      <c r="AZ86" s="36"/>
      <c r="BA86" s="36"/>
      <c r="BB86" s="36"/>
      <c r="BC86" s="36"/>
      <c r="BD86" s="36"/>
      <c r="BE86" s="36"/>
      <c r="BF86" s="36"/>
      <c r="BG86" s="36"/>
      <c r="BH86" s="36"/>
      <c r="BI86" s="36"/>
      <c r="BJ86" s="36"/>
      <c r="BK86" s="36"/>
      <c r="BL86" s="36"/>
      <c r="BM86" s="36"/>
      <c r="BN86" s="36"/>
      <c r="BO86" s="36"/>
      <c r="BP86" s="36"/>
      <c r="BQ86" s="36"/>
    </row>
    <row r="87">
      <c r="A87" s="40">
        <v>45505.0</v>
      </c>
      <c r="B87" s="31">
        <v>45510.0</v>
      </c>
      <c r="C87" s="32">
        <v>24345.15</v>
      </c>
      <c r="D87" s="33">
        <v>24051.8</v>
      </c>
      <c r="E87" s="32">
        <v>1.22</v>
      </c>
      <c r="F87" s="32" t="s">
        <v>61</v>
      </c>
      <c r="G87" s="34" t="s">
        <v>62</v>
      </c>
      <c r="H87" s="21" t="s">
        <v>167</v>
      </c>
      <c r="I87" s="34" t="s">
        <v>69</v>
      </c>
      <c r="J87" s="21">
        <v>2.0</v>
      </c>
      <c r="K87" s="21">
        <v>93.0</v>
      </c>
      <c r="L87" s="35">
        <v>432.0</v>
      </c>
      <c r="M87" s="35">
        <v>722.0</v>
      </c>
      <c r="N87" s="21">
        <v>725.0</v>
      </c>
      <c r="O87" s="35">
        <v>6.77</v>
      </c>
      <c r="P87" s="21">
        <v>796.35</v>
      </c>
      <c r="Q87" s="35">
        <v>17.28</v>
      </c>
      <c r="R87" s="21">
        <v>519.25</v>
      </c>
      <c r="S87" s="35">
        <v>-23.53</v>
      </c>
      <c r="T87" s="21">
        <v>106.73</v>
      </c>
      <c r="U87" s="21">
        <v>117.4</v>
      </c>
      <c r="V87" s="21">
        <v>95.95</v>
      </c>
      <c r="W87" s="21">
        <v>53.95</v>
      </c>
      <c r="X87" s="21">
        <v>437.13</v>
      </c>
      <c r="Y87" s="35">
        <v>10.38</v>
      </c>
      <c r="Z87" s="35">
        <v>13.52</v>
      </c>
      <c r="AA87" s="35">
        <v>24.0</v>
      </c>
      <c r="AB87" s="35">
        <v>0.75</v>
      </c>
      <c r="AC87" s="35">
        <v>2.64</v>
      </c>
      <c r="AD87" s="21">
        <v>15.26</v>
      </c>
      <c r="AE87" s="21">
        <v>8.14</v>
      </c>
      <c r="AF87" s="23">
        <v>2.7368151E7</v>
      </c>
      <c r="AG87" s="23">
        <v>2.0343188E7</v>
      </c>
      <c r="AH87" s="23">
        <v>2712425.0</v>
      </c>
      <c r="AI87" s="23">
        <v>1356212.0</v>
      </c>
      <c r="AJ87" s="23">
        <v>2712424.0</v>
      </c>
      <c r="AK87" s="23">
        <v>1.2205912E7</v>
      </c>
      <c r="AL87" s="21">
        <v>161.0</v>
      </c>
      <c r="AM87" s="21">
        <v>0.62</v>
      </c>
      <c r="AN87" s="21">
        <v>148.87</v>
      </c>
      <c r="AO87" s="21">
        <v>2.26</v>
      </c>
      <c r="AP87" s="21">
        <v>41.12</v>
      </c>
      <c r="AQ87" s="23">
        <v>74.33</v>
      </c>
      <c r="AR87" s="23">
        <v>9.91</v>
      </c>
      <c r="AS87" s="23">
        <v>4.96</v>
      </c>
      <c r="AT87" s="23">
        <v>9.91</v>
      </c>
      <c r="AU87" s="23">
        <v>44.6</v>
      </c>
      <c r="AV87" s="36"/>
      <c r="AW87" s="36"/>
      <c r="AX87" s="36"/>
      <c r="AY87" s="36"/>
      <c r="AZ87" s="36"/>
      <c r="BA87" s="36"/>
      <c r="BB87" s="36"/>
      <c r="BC87" s="36"/>
      <c r="BD87" s="36"/>
      <c r="BE87" s="36"/>
      <c r="BF87" s="36"/>
      <c r="BG87" s="36"/>
      <c r="BH87" s="36"/>
      <c r="BI87" s="36"/>
      <c r="BJ87" s="36"/>
      <c r="BK87" s="36"/>
      <c r="BL87" s="36"/>
      <c r="BM87" s="36"/>
      <c r="BN87" s="36"/>
      <c r="BO87" s="36"/>
      <c r="BP87" s="36"/>
      <c r="BQ87" s="36"/>
    </row>
    <row r="88">
      <c r="A88" s="31">
        <v>45476.0</v>
      </c>
      <c r="B88" s="31">
        <v>45483.0</v>
      </c>
      <c r="C88" s="32">
        <v>24359.05</v>
      </c>
      <c r="D88" s="33">
        <v>24417.25</v>
      </c>
      <c r="E88" s="32">
        <v>-0.24</v>
      </c>
      <c r="F88" s="32" t="s">
        <v>70</v>
      </c>
      <c r="G88" s="34" t="s">
        <v>81</v>
      </c>
      <c r="H88" s="21" t="s">
        <v>168</v>
      </c>
      <c r="I88" s="34" t="s">
        <v>69</v>
      </c>
      <c r="J88" s="21">
        <v>5.0</v>
      </c>
      <c r="K88" s="37">
        <v>256.0</v>
      </c>
      <c r="L88" s="35">
        <v>704.0</v>
      </c>
      <c r="M88" s="35">
        <v>326.0</v>
      </c>
      <c r="N88" s="21">
        <v>356.0</v>
      </c>
      <c r="O88" s="35">
        <v>39.06</v>
      </c>
      <c r="P88" s="21">
        <v>350.35</v>
      </c>
      <c r="Q88" s="35">
        <v>36.86</v>
      </c>
      <c r="R88" s="21">
        <v>396.7</v>
      </c>
      <c r="S88" s="35">
        <v>54.96</v>
      </c>
      <c r="T88" s="42">
        <v>153.86</v>
      </c>
      <c r="U88" s="42">
        <v>55.27</v>
      </c>
      <c r="V88" s="42">
        <v>52.11</v>
      </c>
      <c r="W88" s="42">
        <v>14.37</v>
      </c>
      <c r="X88" s="42">
        <v>422.37</v>
      </c>
      <c r="Y88" s="42">
        <v>6.05</v>
      </c>
      <c r="Z88" s="42">
        <v>21.19</v>
      </c>
      <c r="AA88" s="42">
        <v>18.46</v>
      </c>
      <c r="AB88" s="42">
        <v>1.48</v>
      </c>
      <c r="AC88" s="42">
        <v>3.19</v>
      </c>
      <c r="AD88" s="42">
        <v>18.27</v>
      </c>
      <c r="AE88" s="42">
        <v>7.72</v>
      </c>
      <c r="AF88" s="23">
        <v>2.9101562E7</v>
      </c>
      <c r="AG88" s="23">
        <v>1.455078E7</v>
      </c>
      <c r="AH88" s="23">
        <v>2910157.0</v>
      </c>
      <c r="AI88" s="23">
        <v>1455078.0</v>
      </c>
      <c r="AJ88" s="23">
        <v>1.0185547E7</v>
      </c>
      <c r="AK88" s="23">
        <v>8730468.0</v>
      </c>
      <c r="AL88" s="42">
        <v>58.0</v>
      </c>
      <c r="AM88" s="42">
        <v>6.18</v>
      </c>
      <c r="AN88" s="42">
        <v>41.41</v>
      </c>
      <c r="AO88" s="42">
        <v>5.03</v>
      </c>
      <c r="AP88" s="42">
        <v>50.86</v>
      </c>
      <c r="AQ88" s="23">
        <v>50.0</v>
      </c>
      <c r="AR88" s="23">
        <v>10.0</v>
      </c>
      <c r="AS88" s="23">
        <v>5.0</v>
      </c>
      <c r="AT88" s="23">
        <v>35.0</v>
      </c>
      <c r="AU88" s="23">
        <v>30.0</v>
      </c>
      <c r="AV88" s="36"/>
      <c r="AW88" s="36"/>
      <c r="AX88" s="36"/>
      <c r="AY88" s="36"/>
      <c r="AZ88" s="36"/>
      <c r="BA88" s="36"/>
      <c r="BB88" s="36"/>
      <c r="BC88" s="36"/>
      <c r="BD88" s="36"/>
      <c r="BE88" s="36"/>
      <c r="BF88" s="36"/>
      <c r="BG88" s="36"/>
      <c r="BH88" s="36"/>
      <c r="BI88" s="36"/>
      <c r="BJ88" s="36"/>
      <c r="BK88" s="36"/>
      <c r="BL88" s="36"/>
      <c r="BM88" s="36"/>
      <c r="BN88" s="36"/>
      <c r="BO88" s="36"/>
      <c r="BP88" s="36"/>
      <c r="BQ88" s="36"/>
    </row>
    <row r="89">
      <c r="A89" s="31">
        <v>45492.0</v>
      </c>
      <c r="B89" s="31">
        <v>45499.0</v>
      </c>
      <c r="C89" s="32">
        <v>24579.3</v>
      </c>
      <c r="D89" s="33">
        <v>24415.0</v>
      </c>
      <c r="E89" s="32">
        <v>0.67</v>
      </c>
      <c r="F89" s="32" t="s">
        <v>70</v>
      </c>
      <c r="G89" s="34" t="s">
        <v>47</v>
      </c>
      <c r="H89" s="21" t="s">
        <v>169</v>
      </c>
      <c r="I89" s="35" t="s">
        <v>49</v>
      </c>
      <c r="J89" s="21">
        <v>2.0</v>
      </c>
      <c r="K89" s="35">
        <v>95.0</v>
      </c>
      <c r="L89" s="35">
        <v>254.0</v>
      </c>
      <c r="M89" s="35">
        <v>120.0</v>
      </c>
      <c r="N89" s="21">
        <v>109.0</v>
      </c>
      <c r="O89" s="35">
        <v>14.74</v>
      </c>
      <c r="P89" s="21">
        <v>115.09</v>
      </c>
      <c r="Q89" s="35">
        <v>21.15</v>
      </c>
      <c r="R89" s="21">
        <v>90.01</v>
      </c>
      <c r="S89" s="35">
        <v>-5.25</v>
      </c>
      <c r="T89" s="35">
        <v>145.0</v>
      </c>
      <c r="U89" s="35">
        <v>149.0</v>
      </c>
      <c r="V89" s="35">
        <v>110.0</v>
      </c>
      <c r="W89" s="35">
        <v>24.23</v>
      </c>
      <c r="X89" s="35">
        <v>215.91</v>
      </c>
      <c r="Y89" s="35">
        <v>6.01</v>
      </c>
      <c r="Z89" s="35">
        <v>30.92</v>
      </c>
      <c r="AA89" s="35">
        <v>24.43</v>
      </c>
      <c r="AB89" s="35">
        <v>0.5</v>
      </c>
      <c r="AC89" s="35">
        <v>6.17</v>
      </c>
      <c r="AD89" s="35">
        <v>30.92</v>
      </c>
      <c r="AE89" s="35">
        <v>6.18</v>
      </c>
      <c r="AF89" s="23">
        <v>5.37E7</v>
      </c>
      <c r="AG89" s="23">
        <v>2.685E7</v>
      </c>
      <c r="AH89" s="23">
        <v>5370000.0</v>
      </c>
      <c r="AI89" s="23">
        <v>2685000.0</v>
      </c>
      <c r="AJ89" s="23">
        <v>1.8795E7</v>
      </c>
      <c r="AK89" s="23">
        <v>1.611E7</v>
      </c>
      <c r="AL89" s="35">
        <v>150.0</v>
      </c>
      <c r="AM89" s="35">
        <v>4.75</v>
      </c>
      <c r="AN89" s="35">
        <v>19.98</v>
      </c>
      <c r="AO89" s="35">
        <v>3.66</v>
      </c>
      <c r="AP89" s="35">
        <v>25.93</v>
      </c>
      <c r="AQ89" s="23">
        <v>50.0</v>
      </c>
      <c r="AR89" s="23">
        <v>10.0</v>
      </c>
      <c r="AS89" s="23">
        <v>5.0</v>
      </c>
      <c r="AT89" s="23">
        <v>35.0</v>
      </c>
      <c r="AU89" s="23">
        <v>30.0</v>
      </c>
      <c r="AV89" s="36"/>
      <c r="AW89" s="36"/>
      <c r="AX89" s="36"/>
      <c r="AY89" s="36"/>
      <c r="AZ89" s="36"/>
      <c r="BA89" s="36"/>
      <c r="BB89" s="36"/>
      <c r="BC89" s="36"/>
      <c r="BD89" s="36"/>
      <c r="BE89" s="36"/>
      <c r="BF89" s="36"/>
      <c r="BG89" s="36"/>
      <c r="BH89" s="36"/>
      <c r="BI89" s="36"/>
      <c r="BJ89" s="36"/>
      <c r="BK89" s="36"/>
      <c r="BL89" s="36"/>
      <c r="BM89" s="36"/>
      <c r="BN89" s="36"/>
      <c r="BO89" s="36"/>
      <c r="BP89" s="36"/>
      <c r="BQ89" s="36"/>
    </row>
    <row r="90">
      <c r="A90" s="31">
        <v>45476.0</v>
      </c>
      <c r="B90" s="31">
        <v>45483.0</v>
      </c>
      <c r="C90" s="32">
        <v>24359.05</v>
      </c>
      <c r="D90" s="33">
        <v>24417.25</v>
      </c>
      <c r="E90" s="32">
        <v>-0.24</v>
      </c>
      <c r="F90" s="32" t="s">
        <v>70</v>
      </c>
      <c r="G90" s="34" t="s">
        <v>62</v>
      </c>
      <c r="H90" s="21" t="s">
        <v>170</v>
      </c>
      <c r="I90" s="34" t="s">
        <v>69</v>
      </c>
      <c r="J90" s="21">
        <v>10.0</v>
      </c>
      <c r="K90" s="43">
        <v>1008.0</v>
      </c>
      <c r="L90" s="35">
        <v>3004.0</v>
      </c>
      <c r="M90" s="35">
        <v>1308.0</v>
      </c>
      <c r="N90" s="21">
        <v>1325.05</v>
      </c>
      <c r="O90" s="35">
        <v>31.45</v>
      </c>
      <c r="P90" s="21">
        <v>1359.15</v>
      </c>
      <c r="Q90" s="35">
        <v>34.84</v>
      </c>
      <c r="R90" s="21">
        <v>1409.6</v>
      </c>
      <c r="S90" s="35">
        <v>39.84</v>
      </c>
      <c r="T90" s="42">
        <v>191.24</v>
      </c>
      <c r="U90" s="42">
        <v>54.9</v>
      </c>
      <c r="V90" s="42">
        <v>38.16</v>
      </c>
      <c r="W90" s="42">
        <v>7.36</v>
      </c>
      <c r="X90" s="42">
        <v>2952.28</v>
      </c>
      <c r="Y90" s="42">
        <v>12.4</v>
      </c>
      <c r="Z90" s="42">
        <v>16.9</v>
      </c>
      <c r="AA90" s="42">
        <v>19.37</v>
      </c>
      <c r="AB90" s="42">
        <v>0.67</v>
      </c>
      <c r="AC90" s="42">
        <v>8.9</v>
      </c>
      <c r="AD90" s="42">
        <v>16.87</v>
      </c>
      <c r="AE90" s="42">
        <v>6.18</v>
      </c>
      <c r="AF90" s="23">
        <v>1.937507E7</v>
      </c>
      <c r="AG90" s="23">
        <v>9633084.0</v>
      </c>
      <c r="AH90" s="23">
        <v>1926618.0</v>
      </c>
      <c r="AI90" s="23">
        <v>963308.0</v>
      </c>
      <c r="AJ90" s="23">
        <v>6743160.0</v>
      </c>
      <c r="AK90" s="23">
        <v>5779850.0</v>
      </c>
      <c r="AL90" s="42">
        <v>14.0</v>
      </c>
      <c r="AM90" s="42">
        <v>29.17</v>
      </c>
      <c r="AN90" s="42">
        <v>34.55</v>
      </c>
      <c r="AO90" s="42">
        <v>27.95</v>
      </c>
      <c r="AP90" s="42">
        <v>36.07</v>
      </c>
      <c r="AQ90" s="23">
        <v>49.72</v>
      </c>
      <c r="AR90" s="23">
        <v>9.94</v>
      </c>
      <c r="AS90" s="23">
        <v>4.97</v>
      </c>
      <c r="AT90" s="23">
        <v>34.8</v>
      </c>
      <c r="AU90" s="23">
        <v>29.83</v>
      </c>
      <c r="AV90" s="36"/>
      <c r="AW90" s="36"/>
      <c r="AX90" s="36"/>
      <c r="AY90" s="36"/>
      <c r="AZ90" s="36"/>
      <c r="BA90" s="36"/>
      <c r="BB90" s="36"/>
      <c r="BC90" s="36"/>
      <c r="BD90" s="36"/>
      <c r="BE90" s="36"/>
      <c r="BF90" s="36"/>
      <c r="BG90" s="36"/>
      <c r="BH90" s="36"/>
      <c r="BI90" s="36"/>
      <c r="BJ90" s="36"/>
      <c r="BK90" s="36"/>
      <c r="BL90" s="36"/>
      <c r="BM90" s="36"/>
      <c r="BN90" s="36"/>
      <c r="BO90" s="36"/>
      <c r="BP90" s="36"/>
      <c r="BQ90" s="36"/>
    </row>
    <row r="91">
      <c r="A91" s="31">
        <v>45469.0</v>
      </c>
      <c r="B91" s="31">
        <v>45476.0</v>
      </c>
      <c r="C91" s="32">
        <v>24277.1</v>
      </c>
      <c r="D91" s="33">
        <v>24117.8</v>
      </c>
      <c r="E91" s="32">
        <v>0.66</v>
      </c>
      <c r="F91" s="32" t="s">
        <v>70</v>
      </c>
      <c r="G91" s="34" t="s">
        <v>81</v>
      </c>
      <c r="H91" s="21" t="s">
        <v>171</v>
      </c>
      <c r="I91" s="34" t="s">
        <v>49</v>
      </c>
      <c r="J91" s="44">
        <v>10.0</v>
      </c>
      <c r="K91" s="43">
        <v>207.0</v>
      </c>
      <c r="L91" s="35">
        <v>504.0</v>
      </c>
      <c r="M91" s="35">
        <v>257.0</v>
      </c>
      <c r="N91" s="21">
        <v>240.0</v>
      </c>
      <c r="O91" s="35">
        <v>15.94</v>
      </c>
      <c r="P91" s="21">
        <v>252.0</v>
      </c>
      <c r="Q91" s="35">
        <v>21.74</v>
      </c>
      <c r="R91" s="21">
        <v>164.62</v>
      </c>
      <c r="S91" s="35">
        <v>-20.47</v>
      </c>
      <c r="T91" s="42">
        <v>173.99</v>
      </c>
      <c r="U91" s="42">
        <v>217.5</v>
      </c>
      <c r="V91" s="42">
        <v>229.99</v>
      </c>
      <c r="W91" s="42">
        <v>58.31</v>
      </c>
      <c r="X91" s="42">
        <v>187.5</v>
      </c>
      <c r="Y91" s="42">
        <v>15.77</v>
      </c>
      <c r="Z91" s="42">
        <v>23.78</v>
      </c>
      <c r="AA91" s="42">
        <v>25.34</v>
      </c>
      <c r="AB91" s="42">
        <v>0.27</v>
      </c>
      <c r="AC91" s="42">
        <v>3.61</v>
      </c>
      <c r="AD91" s="42">
        <v>23.78</v>
      </c>
      <c r="AE91" s="42">
        <v>2.73</v>
      </c>
      <c r="AF91" s="23">
        <v>8260869.0</v>
      </c>
      <c r="AG91" s="23">
        <v>4130433.0</v>
      </c>
      <c r="AH91" s="23">
        <v>826088.0</v>
      </c>
      <c r="AI91" s="23">
        <v>413043.0</v>
      </c>
      <c r="AJ91" s="23">
        <v>2891305.0</v>
      </c>
      <c r="AK91" s="23">
        <v>2478259.0</v>
      </c>
      <c r="AL91" s="42">
        <v>72.0</v>
      </c>
      <c r="AM91" s="42">
        <v>21.84</v>
      </c>
      <c r="AN91" s="42">
        <v>9.48</v>
      </c>
      <c r="AO91" s="42">
        <v>18.02</v>
      </c>
      <c r="AP91" s="42">
        <v>11.49</v>
      </c>
      <c r="AQ91" s="23">
        <v>50.0</v>
      </c>
      <c r="AR91" s="23">
        <v>10.0</v>
      </c>
      <c r="AS91" s="23">
        <v>5.0</v>
      </c>
      <c r="AT91" s="23">
        <v>35.0</v>
      </c>
      <c r="AU91" s="23">
        <v>30.0</v>
      </c>
      <c r="AV91" s="36"/>
      <c r="AW91" s="36"/>
      <c r="AX91" s="36"/>
      <c r="AY91" s="36"/>
      <c r="AZ91" s="36"/>
      <c r="BA91" s="36"/>
      <c r="BB91" s="36"/>
      <c r="BC91" s="36"/>
      <c r="BD91" s="36"/>
      <c r="BE91" s="36"/>
      <c r="BF91" s="36"/>
      <c r="BG91" s="36"/>
      <c r="BH91" s="36"/>
      <c r="BI91" s="36"/>
      <c r="BJ91" s="36"/>
      <c r="BK91" s="36"/>
      <c r="BL91" s="36"/>
      <c r="BM91" s="36"/>
      <c r="BN91" s="36"/>
      <c r="BO91" s="36"/>
      <c r="BP91" s="36"/>
      <c r="BQ91" s="36"/>
    </row>
    <row r="92">
      <c r="A92" s="31">
        <v>45468.0</v>
      </c>
      <c r="B92" s="31">
        <v>45475.0</v>
      </c>
      <c r="C92" s="32">
        <v>24125.35</v>
      </c>
      <c r="D92" s="33">
        <v>24123.15</v>
      </c>
      <c r="E92" s="32">
        <v>0.01</v>
      </c>
      <c r="F92" s="32" t="s">
        <v>70</v>
      </c>
      <c r="G92" s="34" t="s">
        <v>71</v>
      </c>
      <c r="H92" s="21" t="s">
        <v>172</v>
      </c>
      <c r="I92" s="34" t="s">
        <v>69</v>
      </c>
      <c r="J92" s="21">
        <v>2.0</v>
      </c>
      <c r="K92" s="43">
        <v>281.0</v>
      </c>
      <c r="L92" s="35">
        <v>594.0</v>
      </c>
      <c r="M92" s="35">
        <v>340.0</v>
      </c>
      <c r="N92" s="21">
        <v>320.0</v>
      </c>
      <c r="O92" s="35">
        <v>13.88</v>
      </c>
      <c r="P92" s="21">
        <v>317.9</v>
      </c>
      <c r="Q92" s="35">
        <v>13.13</v>
      </c>
      <c r="R92" s="21">
        <v>515.05</v>
      </c>
      <c r="S92" s="35">
        <v>83.29</v>
      </c>
      <c r="T92" s="42">
        <v>53.01</v>
      </c>
      <c r="U92" s="42">
        <v>39.76</v>
      </c>
      <c r="V92" s="42">
        <v>22.75</v>
      </c>
      <c r="W92" s="42">
        <v>4.73</v>
      </c>
      <c r="X92" s="42">
        <v>409.26</v>
      </c>
      <c r="Y92" s="42">
        <v>2.3</v>
      </c>
      <c r="Z92" s="42">
        <v>1.03</v>
      </c>
      <c r="AA92" s="42">
        <v>24.35</v>
      </c>
      <c r="AB92" s="42">
        <v>1.88</v>
      </c>
      <c r="AC92" s="42">
        <v>0.17</v>
      </c>
      <c r="AD92" s="42">
        <v>1.03</v>
      </c>
      <c r="AE92" s="42">
        <v>16.77</v>
      </c>
      <c r="AF92" s="23">
        <v>5.3391667E7</v>
      </c>
      <c r="AG92" s="23">
        <v>2.663701E7</v>
      </c>
      <c r="AH92" s="23">
        <v>5327402.0</v>
      </c>
      <c r="AI92" s="23">
        <v>2663701.0</v>
      </c>
      <c r="AJ92" s="23">
        <v>1.8645907E7</v>
      </c>
      <c r="AK92" s="23">
        <v>1.5982206E7</v>
      </c>
      <c r="AL92" s="42">
        <v>53.0</v>
      </c>
      <c r="AM92" s="42">
        <v>0.07</v>
      </c>
      <c r="AN92" s="42">
        <v>4284.57</v>
      </c>
      <c r="AO92" s="42">
        <v>0.2</v>
      </c>
      <c r="AP92" s="42">
        <v>1393.87</v>
      </c>
      <c r="AQ92" s="23">
        <v>49.89</v>
      </c>
      <c r="AR92" s="23">
        <v>9.98</v>
      </c>
      <c r="AS92" s="23">
        <v>4.99</v>
      </c>
      <c r="AT92" s="23">
        <v>34.92</v>
      </c>
      <c r="AU92" s="23">
        <v>29.93</v>
      </c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36"/>
      <c r="BI92" s="36"/>
      <c r="BJ92" s="36"/>
      <c r="BK92" s="36"/>
      <c r="BL92" s="36"/>
      <c r="BM92" s="36"/>
      <c r="BN92" s="36"/>
      <c r="BO92" s="36"/>
      <c r="BP92" s="36"/>
      <c r="BQ92" s="36"/>
    </row>
    <row r="93">
      <c r="A93" s="31">
        <v>45464.0</v>
      </c>
      <c r="B93" s="31">
        <v>45471.0</v>
      </c>
      <c r="C93" s="32">
        <v>24138.3</v>
      </c>
      <c r="D93" s="33">
        <v>24036.1</v>
      </c>
      <c r="E93" s="32">
        <v>0.43</v>
      </c>
      <c r="F93" s="32" t="s">
        <v>70</v>
      </c>
      <c r="G93" s="34" t="s">
        <v>47</v>
      </c>
      <c r="H93" s="21" t="s">
        <v>173</v>
      </c>
      <c r="I93" s="34" t="s">
        <v>49</v>
      </c>
      <c r="J93" s="44">
        <v>2.0</v>
      </c>
      <c r="K93" s="43">
        <v>369.0</v>
      </c>
      <c r="L93" s="35">
        <v>1734.0</v>
      </c>
      <c r="M93" s="35">
        <v>542.0</v>
      </c>
      <c r="N93" s="21">
        <v>494.95</v>
      </c>
      <c r="O93" s="35">
        <v>34.13</v>
      </c>
      <c r="P93" s="21">
        <v>474.75</v>
      </c>
      <c r="Q93" s="35">
        <v>28.66</v>
      </c>
      <c r="R93" s="21">
        <v>329.2</v>
      </c>
      <c r="S93" s="35">
        <v>-10.79</v>
      </c>
      <c r="T93" s="42">
        <v>215.62</v>
      </c>
      <c r="U93" s="42">
        <v>136.75</v>
      </c>
      <c r="V93" s="42">
        <v>90.76</v>
      </c>
      <c r="W93" s="42">
        <v>19.08</v>
      </c>
      <c r="X93" s="42">
        <v>237.21</v>
      </c>
      <c r="Y93" s="42">
        <v>19.34</v>
      </c>
      <c r="Z93" s="42">
        <v>7.92</v>
      </c>
      <c r="AA93" s="42">
        <v>8.63</v>
      </c>
      <c r="AB93" s="42">
        <v>0.86</v>
      </c>
      <c r="AC93" s="42">
        <v>5.97</v>
      </c>
      <c r="AD93" s="42">
        <v>8.34</v>
      </c>
      <c r="AE93" s="42">
        <v>8.03</v>
      </c>
      <c r="AF93" s="23">
        <v>1.4553508E7</v>
      </c>
      <c r="AG93" s="23">
        <v>7276753.0</v>
      </c>
      <c r="AH93" s="23">
        <v>1455351.0</v>
      </c>
      <c r="AI93" s="23">
        <v>727676.0</v>
      </c>
      <c r="AJ93" s="23">
        <v>5093728.0</v>
      </c>
      <c r="AK93" s="23">
        <v>4366051.0</v>
      </c>
      <c r="AL93" s="42">
        <v>40.0</v>
      </c>
      <c r="AM93" s="42">
        <v>6.78</v>
      </c>
      <c r="AN93" s="42">
        <v>54.43</v>
      </c>
      <c r="AO93" s="42">
        <v>4.37</v>
      </c>
      <c r="AP93" s="42">
        <v>84.4</v>
      </c>
      <c r="AQ93" s="23">
        <v>50.0</v>
      </c>
      <c r="AR93" s="23">
        <v>10.0</v>
      </c>
      <c r="AS93" s="23">
        <v>5.0</v>
      </c>
      <c r="AT93" s="23">
        <v>35.0</v>
      </c>
      <c r="AU93" s="23">
        <v>30.0</v>
      </c>
      <c r="AV93" s="36"/>
      <c r="AW93" s="36"/>
      <c r="AX93" s="36"/>
      <c r="AY93" s="36"/>
      <c r="AZ93" s="36"/>
      <c r="BA93" s="36"/>
      <c r="BB93" s="36"/>
      <c r="BC93" s="36"/>
      <c r="BD93" s="36"/>
      <c r="BE93" s="36"/>
      <c r="BF93" s="36"/>
      <c r="BG93" s="36"/>
      <c r="BH93" s="36"/>
      <c r="BI93" s="36"/>
      <c r="BJ93" s="36"/>
      <c r="BK93" s="36"/>
      <c r="BL93" s="36"/>
      <c r="BM93" s="36"/>
      <c r="BN93" s="36"/>
      <c r="BO93" s="36"/>
      <c r="BP93" s="36"/>
      <c r="BQ93" s="36"/>
    </row>
    <row r="94">
      <c r="A94" s="31">
        <v>45462.0</v>
      </c>
      <c r="B94" s="31">
        <v>45469.0</v>
      </c>
      <c r="C94" s="32">
        <v>23702.0</v>
      </c>
      <c r="D94" s="33">
        <v>23721.9</v>
      </c>
      <c r="E94" s="32">
        <v>-0.08</v>
      </c>
      <c r="F94" s="32" t="s">
        <v>70</v>
      </c>
      <c r="G94" s="34" t="s">
        <v>47</v>
      </c>
      <c r="H94" s="21" t="s">
        <v>174</v>
      </c>
      <c r="I94" s="34" t="s">
        <v>49</v>
      </c>
      <c r="J94" s="44">
        <v>10.0</v>
      </c>
      <c r="K94" s="43">
        <v>203.0</v>
      </c>
      <c r="L94" s="35">
        <v>904.0</v>
      </c>
      <c r="M94" s="35">
        <v>293.0</v>
      </c>
      <c r="N94" s="21">
        <v>339.0</v>
      </c>
      <c r="O94" s="35">
        <v>67.0</v>
      </c>
      <c r="P94" s="21">
        <v>335.32</v>
      </c>
      <c r="Q94" s="35">
        <v>65.18</v>
      </c>
      <c r="R94" s="21">
        <v>279.45</v>
      </c>
      <c r="S94" s="35">
        <v>37.66</v>
      </c>
      <c r="T94" s="42">
        <v>206.54</v>
      </c>
      <c r="U94" s="42">
        <v>165.71</v>
      </c>
      <c r="V94" s="42">
        <v>116.73</v>
      </c>
      <c r="W94" s="42">
        <v>23.66</v>
      </c>
      <c r="X94" s="42">
        <v>428.19</v>
      </c>
      <c r="Y94" s="42">
        <v>11.62</v>
      </c>
      <c r="Z94" s="42">
        <v>3.06</v>
      </c>
      <c r="AA94" s="42">
        <v>3.91</v>
      </c>
      <c r="AB94" s="42">
        <v>0.85</v>
      </c>
      <c r="AC94" s="42">
        <v>2.63</v>
      </c>
      <c r="AD94" s="42">
        <v>3.35</v>
      </c>
      <c r="AE94" s="42">
        <v>2.46</v>
      </c>
      <c r="AF94" s="23">
        <v>2.0596938E7</v>
      </c>
      <c r="AG94" s="23">
        <v>1.0271295E7</v>
      </c>
      <c r="AH94" s="23">
        <v>2054260.0</v>
      </c>
      <c r="AI94" s="23">
        <v>1027129.0</v>
      </c>
      <c r="AJ94" s="23">
        <v>7189907.0</v>
      </c>
      <c r="AK94" s="23">
        <v>6162777.0</v>
      </c>
      <c r="AL94" s="42">
        <v>73.0</v>
      </c>
      <c r="AM94" s="42">
        <v>2.45</v>
      </c>
      <c r="AN94" s="42">
        <v>83.0</v>
      </c>
      <c r="AO94" s="42">
        <v>2.77</v>
      </c>
      <c r="AP94" s="42">
        <v>73.33</v>
      </c>
      <c r="AQ94" s="23">
        <v>49.87</v>
      </c>
      <c r="AR94" s="23">
        <v>9.97</v>
      </c>
      <c r="AS94" s="23">
        <v>4.99</v>
      </c>
      <c r="AT94" s="23">
        <v>34.91</v>
      </c>
      <c r="AU94" s="23">
        <v>29.92</v>
      </c>
      <c r="AV94" s="36"/>
      <c r="AW94" s="36"/>
      <c r="AX94" s="36"/>
      <c r="AY94" s="36"/>
      <c r="AZ94" s="36"/>
      <c r="BA94" s="36"/>
      <c r="BB94" s="36"/>
      <c r="BC94" s="36"/>
      <c r="BD94" s="36"/>
      <c r="BE94" s="36"/>
      <c r="BF94" s="36"/>
      <c r="BG94" s="36"/>
      <c r="BH94" s="36"/>
      <c r="BI94" s="36"/>
      <c r="BJ94" s="36"/>
      <c r="BK94" s="36"/>
      <c r="BL94" s="36"/>
      <c r="BM94" s="36"/>
      <c r="BN94" s="36"/>
      <c r="BO94" s="36"/>
      <c r="BP94" s="36"/>
      <c r="BQ94" s="36"/>
    </row>
    <row r="95">
      <c r="A95" s="31">
        <v>45462.0</v>
      </c>
      <c r="B95" s="31">
        <v>45469.0</v>
      </c>
      <c r="C95" s="32">
        <v>23702.0</v>
      </c>
      <c r="D95" s="33">
        <v>23721.9</v>
      </c>
      <c r="E95" s="32">
        <v>-0.08</v>
      </c>
      <c r="F95" s="32" t="s">
        <v>70</v>
      </c>
      <c r="G95" s="34" t="s">
        <v>52</v>
      </c>
      <c r="H95" s="21" t="s">
        <v>175</v>
      </c>
      <c r="I95" s="34" t="s">
        <v>49</v>
      </c>
      <c r="J95" s="44">
        <v>10.0</v>
      </c>
      <c r="K95" s="43">
        <v>120.0</v>
      </c>
      <c r="L95" s="35">
        <v>163.0</v>
      </c>
      <c r="M95" s="35">
        <v>136.0</v>
      </c>
      <c r="N95" s="21">
        <v>127.0</v>
      </c>
      <c r="O95" s="35">
        <v>5.83</v>
      </c>
      <c r="P95" s="21">
        <v>133.35</v>
      </c>
      <c r="Q95" s="35">
        <v>11.13</v>
      </c>
      <c r="R95" s="21">
        <v>7.0</v>
      </c>
      <c r="S95" s="35">
        <v>-94.17</v>
      </c>
      <c r="T95" s="42">
        <v>28.12</v>
      </c>
      <c r="U95" s="42">
        <v>121.56</v>
      </c>
      <c r="V95" s="42">
        <v>146.83</v>
      </c>
      <c r="W95" s="42">
        <v>44.58</v>
      </c>
      <c r="X95" s="42">
        <v>217.01</v>
      </c>
      <c r="Y95" s="42">
        <v>69.45</v>
      </c>
      <c r="Z95" s="42">
        <v>5.64</v>
      </c>
      <c r="AA95" s="42">
        <v>4.05</v>
      </c>
      <c r="AB95" s="42">
        <v>2.49</v>
      </c>
      <c r="AC95" s="42">
        <v>22.93</v>
      </c>
      <c r="AD95" s="42">
        <v>5.81</v>
      </c>
      <c r="AE95" s="42">
        <v>1.4</v>
      </c>
      <c r="AF95" s="23">
        <v>1.1E7</v>
      </c>
      <c r="AG95" s="23">
        <v>5225000.0</v>
      </c>
      <c r="AH95" s="23">
        <v>1045000.0</v>
      </c>
      <c r="AI95" s="23">
        <v>522500.0</v>
      </c>
      <c r="AJ95" s="23">
        <v>3657500.0</v>
      </c>
      <c r="AK95" s="23">
        <v>3135000.0</v>
      </c>
      <c r="AL95" s="42">
        <v>125.0</v>
      </c>
      <c r="AM95" s="42">
        <v>3.87</v>
      </c>
      <c r="AN95" s="42">
        <v>20.0</v>
      </c>
      <c r="AO95" s="42">
        <v>5.85</v>
      </c>
      <c r="AP95" s="42">
        <v>20.0</v>
      </c>
      <c r="AQ95" s="23">
        <v>47.5</v>
      </c>
      <c r="AR95" s="23">
        <v>9.5</v>
      </c>
      <c r="AS95" s="23">
        <v>4.75</v>
      </c>
      <c r="AT95" s="23">
        <v>33.25</v>
      </c>
      <c r="AU95" s="23">
        <v>28.5</v>
      </c>
      <c r="AV95" s="36"/>
      <c r="AW95" s="36"/>
      <c r="AX95" s="36"/>
      <c r="AY95" s="36"/>
      <c r="AZ95" s="36"/>
      <c r="BA95" s="36"/>
      <c r="BB95" s="36"/>
      <c r="BC95" s="36"/>
      <c r="BD95" s="36"/>
      <c r="BE95" s="36"/>
      <c r="BF95" s="36"/>
      <c r="BG95" s="36"/>
      <c r="BH95" s="36"/>
      <c r="BI95" s="36"/>
      <c r="BJ95" s="36"/>
      <c r="BK95" s="36"/>
      <c r="BL95" s="36"/>
      <c r="BM95" s="36"/>
      <c r="BN95" s="36"/>
      <c r="BO95" s="36"/>
      <c r="BP95" s="36"/>
      <c r="BQ95" s="36"/>
    </row>
    <row r="96">
      <c r="A96" s="31">
        <v>45453.0</v>
      </c>
      <c r="B96" s="31">
        <v>45461.0</v>
      </c>
      <c r="C96" s="32">
        <v>23560.05</v>
      </c>
      <c r="D96" s="33">
        <v>23454.15</v>
      </c>
      <c r="E96" s="32">
        <v>0.45</v>
      </c>
      <c r="F96" s="32" t="s">
        <v>70</v>
      </c>
      <c r="G96" s="34" t="s">
        <v>50</v>
      </c>
      <c r="H96" s="21" t="s">
        <v>176</v>
      </c>
      <c r="I96" s="34" t="s">
        <v>49</v>
      </c>
      <c r="J96" s="21">
        <v>1.0</v>
      </c>
      <c r="K96" s="42">
        <v>93.0</v>
      </c>
      <c r="L96" s="35">
        <v>30.504</v>
      </c>
      <c r="M96" s="35">
        <v>123.5</v>
      </c>
      <c r="N96" s="21">
        <v>138.1</v>
      </c>
      <c r="O96" s="35">
        <v>48.49</v>
      </c>
      <c r="P96" s="21">
        <v>165.72</v>
      </c>
      <c r="Q96" s="35">
        <v>78.19</v>
      </c>
      <c r="R96" s="21">
        <v>233.78</v>
      </c>
      <c r="S96" s="35">
        <v>151.38</v>
      </c>
      <c r="T96" s="42">
        <v>106.73</v>
      </c>
      <c r="U96" s="42">
        <v>117.4</v>
      </c>
      <c r="V96" s="42">
        <v>95.95</v>
      </c>
      <c r="W96" s="42">
        <v>53.95</v>
      </c>
      <c r="X96" s="42">
        <v>437.13</v>
      </c>
      <c r="Y96" s="42">
        <v>8.99</v>
      </c>
      <c r="Z96" s="42">
        <v>6.26</v>
      </c>
      <c r="AA96" s="42">
        <v>8.0</v>
      </c>
      <c r="AB96" s="42">
        <v>0.15</v>
      </c>
      <c r="AC96" s="42">
        <v>4.52</v>
      </c>
      <c r="AD96" s="42">
        <v>15.26</v>
      </c>
      <c r="AE96" s="42">
        <v>8.14</v>
      </c>
      <c r="AF96" s="23">
        <v>7.9580899E7</v>
      </c>
      <c r="AG96" s="23">
        <v>5.9685676E7</v>
      </c>
      <c r="AH96" s="23">
        <v>7958089.0</v>
      </c>
      <c r="AI96" s="23">
        <v>3979045.0</v>
      </c>
      <c r="AJ96" s="23">
        <v>7958089.0</v>
      </c>
      <c r="AK96" s="23">
        <v>3.5811405E7</v>
      </c>
      <c r="AL96" s="42">
        <v>161.0</v>
      </c>
      <c r="AM96" s="42">
        <v>0.62</v>
      </c>
      <c r="AN96" s="42">
        <v>148.87</v>
      </c>
      <c r="AO96" s="42">
        <v>2.26</v>
      </c>
      <c r="AP96" s="42">
        <v>41.12</v>
      </c>
      <c r="AQ96" s="23">
        <v>75.0</v>
      </c>
      <c r="AR96" s="23">
        <v>10.0</v>
      </c>
      <c r="AS96" s="23">
        <v>5.0</v>
      </c>
      <c r="AT96" s="23">
        <v>10.0</v>
      </c>
      <c r="AU96" s="23">
        <v>45.0</v>
      </c>
      <c r="AV96" s="36"/>
      <c r="AW96" s="36"/>
      <c r="AX96" s="36"/>
      <c r="AY96" s="36"/>
      <c r="AZ96" s="36"/>
      <c r="BA96" s="36"/>
      <c r="BB96" s="36"/>
      <c r="BC96" s="36"/>
      <c r="BD96" s="36"/>
      <c r="BE96" s="36"/>
      <c r="BF96" s="36"/>
      <c r="BG96" s="36"/>
      <c r="BH96" s="36"/>
      <c r="BI96" s="36"/>
      <c r="BJ96" s="36"/>
      <c r="BK96" s="36"/>
      <c r="BL96" s="36"/>
      <c r="BM96" s="36"/>
      <c r="BN96" s="36"/>
      <c r="BO96" s="36"/>
      <c r="BP96" s="36"/>
      <c r="BQ96" s="36"/>
    </row>
    <row r="97">
      <c r="A97" s="31">
        <v>45446.0</v>
      </c>
      <c r="B97" s="31">
        <v>45453.0</v>
      </c>
      <c r="C97" s="32">
        <v>23248.25</v>
      </c>
      <c r="D97" s="33">
        <v>23270.05</v>
      </c>
      <c r="E97" s="32">
        <v>-0.09</v>
      </c>
      <c r="F97" s="32" t="s">
        <v>70</v>
      </c>
      <c r="G97" s="34" t="s">
        <v>81</v>
      </c>
      <c r="H97" s="21" t="s">
        <v>177</v>
      </c>
      <c r="I97" s="34" t="s">
        <v>49</v>
      </c>
      <c r="J97" s="44">
        <v>10.0</v>
      </c>
      <c r="K97" s="43">
        <v>136.0</v>
      </c>
      <c r="L97" s="35">
        <v>284.0</v>
      </c>
      <c r="M97" s="35">
        <v>164.0</v>
      </c>
      <c r="N97" s="21">
        <v>164.95</v>
      </c>
      <c r="O97" s="35">
        <v>21.29</v>
      </c>
      <c r="P97" s="21">
        <v>151.4</v>
      </c>
      <c r="Q97" s="35">
        <v>11.32</v>
      </c>
      <c r="R97" s="21">
        <v>180.98</v>
      </c>
      <c r="S97" s="35">
        <v>33.07</v>
      </c>
      <c r="T97" s="42">
        <v>89.03</v>
      </c>
      <c r="U97" s="42">
        <v>322.26</v>
      </c>
      <c r="V97" s="42">
        <v>261.22</v>
      </c>
      <c r="W97" s="42">
        <v>54.24</v>
      </c>
      <c r="X97" s="42">
        <v>60.28</v>
      </c>
      <c r="Y97" s="42">
        <v>25.0</v>
      </c>
      <c r="Z97" s="42">
        <v>25.66</v>
      </c>
      <c r="AA97" s="42">
        <v>33.15</v>
      </c>
      <c r="AB97" s="42">
        <v>0.0</v>
      </c>
      <c r="AC97" s="42">
        <v>22.6</v>
      </c>
      <c r="AD97" s="42">
        <v>25.66</v>
      </c>
      <c r="AE97" s="42">
        <v>8.37</v>
      </c>
      <c r="AF97" s="23">
        <v>9570000.0</v>
      </c>
      <c r="AG97" s="23">
        <v>4785000.0</v>
      </c>
      <c r="AH97" s="23">
        <v>957000.0</v>
      </c>
      <c r="AI97" s="23">
        <v>478500.0</v>
      </c>
      <c r="AJ97" s="23">
        <v>3349500.0</v>
      </c>
      <c r="AK97" s="23">
        <v>2871000.0</v>
      </c>
      <c r="AL97" s="42">
        <v>110.0</v>
      </c>
      <c r="AM97" s="42">
        <v>4.48</v>
      </c>
      <c r="AN97" s="42">
        <v>30.37</v>
      </c>
      <c r="AO97" s="42">
        <v>5.56</v>
      </c>
      <c r="AP97" s="42">
        <v>24.47</v>
      </c>
      <c r="AQ97" s="23">
        <v>50.0</v>
      </c>
      <c r="AR97" s="23">
        <v>10.0</v>
      </c>
      <c r="AS97" s="23">
        <v>5.0</v>
      </c>
      <c r="AT97" s="23">
        <v>35.0</v>
      </c>
      <c r="AU97" s="23">
        <v>30.0</v>
      </c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</row>
    <row r="98">
      <c r="A98" s="31">
        <v>45434.0</v>
      </c>
      <c r="B98" s="31">
        <v>45442.0</v>
      </c>
      <c r="C98" s="32">
        <v>22593.65</v>
      </c>
      <c r="D98" s="33">
        <v>22705.8</v>
      </c>
      <c r="E98" s="32">
        <v>-0.49</v>
      </c>
      <c r="F98" s="32" t="s">
        <v>61</v>
      </c>
      <c r="G98" s="34" t="s">
        <v>55</v>
      </c>
      <c r="H98" s="21" t="s">
        <v>178</v>
      </c>
      <c r="I98" s="34" t="s">
        <v>49</v>
      </c>
      <c r="J98" s="44">
        <v>10.0</v>
      </c>
      <c r="K98" s="43">
        <v>383.0</v>
      </c>
      <c r="L98" s="35">
        <v>844.0</v>
      </c>
      <c r="M98" s="35">
        <v>467.0</v>
      </c>
      <c r="N98" s="21">
        <v>435.0</v>
      </c>
      <c r="O98" s="35">
        <v>13.58</v>
      </c>
      <c r="P98" s="21">
        <v>402.95</v>
      </c>
      <c r="Q98" s="35">
        <v>5.21</v>
      </c>
      <c r="R98" s="21">
        <v>595.4</v>
      </c>
      <c r="S98" s="35">
        <v>55.46</v>
      </c>
      <c r="T98" s="42">
        <v>116.95</v>
      </c>
      <c r="U98" s="42">
        <v>138.15</v>
      </c>
      <c r="V98" s="42">
        <v>111.53</v>
      </c>
      <c r="W98" s="42">
        <v>53.23</v>
      </c>
      <c r="X98" s="42">
        <v>247.19</v>
      </c>
      <c r="Y98" s="42">
        <v>1.0</v>
      </c>
      <c r="Z98" s="42">
        <v>-35.0</v>
      </c>
      <c r="AA98" s="42">
        <v>1.1</v>
      </c>
      <c r="AB98" s="42">
        <v>3.0</v>
      </c>
      <c r="AC98" s="42">
        <v>-8.6</v>
      </c>
      <c r="AD98" s="42">
        <v>-7.66</v>
      </c>
      <c r="AE98" s="42">
        <v>9.63</v>
      </c>
      <c r="AF98" s="23">
        <v>1.5643153E7</v>
      </c>
      <c r="AG98" s="23">
        <v>1.1689139E7</v>
      </c>
      <c r="AH98" s="23">
        <v>1558552.0</v>
      </c>
      <c r="AI98" s="23">
        <v>779275.0</v>
      </c>
      <c r="AJ98" s="23">
        <v>1558551.0</v>
      </c>
      <c r="AK98" s="23">
        <v>7013483.0</v>
      </c>
      <c r="AL98" s="42">
        <v>39.0</v>
      </c>
      <c r="AM98" s="42" t="s">
        <v>57</v>
      </c>
      <c r="AN98" s="42" t="s">
        <v>57</v>
      </c>
      <c r="AO98" s="42" t="s">
        <v>57</v>
      </c>
      <c r="AP98" s="42" t="s">
        <v>57</v>
      </c>
      <c r="AQ98" s="23">
        <v>74.72</v>
      </c>
      <c r="AR98" s="23">
        <v>9.96</v>
      </c>
      <c r="AS98" s="23">
        <v>4.98</v>
      </c>
      <c r="AT98" s="23">
        <v>9.96</v>
      </c>
      <c r="AU98" s="23">
        <v>44.83</v>
      </c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</row>
    <row r="99">
      <c r="A99" s="31">
        <v>45427.0</v>
      </c>
      <c r="B99" s="31">
        <v>45435.0</v>
      </c>
      <c r="C99" s="32">
        <v>22677.35</v>
      </c>
      <c r="D99" s="33">
        <v>22620.5</v>
      </c>
      <c r="E99" s="32">
        <v>0.25</v>
      </c>
      <c r="F99" s="32" t="s">
        <v>70</v>
      </c>
      <c r="G99" s="34" t="s">
        <v>52</v>
      </c>
      <c r="H99" s="21" t="s">
        <v>179</v>
      </c>
      <c r="I99" s="34" t="s">
        <v>49</v>
      </c>
      <c r="J99" s="21">
        <v>10.0</v>
      </c>
      <c r="K99" s="43">
        <v>272.0</v>
      </c>
      <c r="L99" s="35">
        <v>41.0</v>
      </c>
      <c r="M99" s="35">
        <v>276.0</v>
      </c>
      <c r="N99" s="21">
        <v>286.0</v>
      </c>
      <c r="O99" s="35">
        <v>5.15</v>
      </c>
      <c r="P99" s="21">
        <v>306.0</v>
      </c>
      <c r="Q99" s="35">
        <v>12.5</v>
      </c>
      <c r="R99" s="21">
        <v>370.05</v>
      </c>
      <c r="S99" s="35">
        <v>36.05</v>
      </c>
      <c r="T99" s="42">
        <v>12.56</v>
      </c>
      <c r="U99" s="42">
        <v>8.28</v>
      </c>
      <c r="V99" s="42">
        <v>5.15</v>
      </c>
      <c r="W99" s="42">
        <v>4.27</v>
      </c>
      <c r="X99" s="42">
        <v>2459.34</v>
      </c>
      <c r="Y99" s="42">
        <v>0.7</v>
      </c>
      <c r="Z99" s="42">
        <v>1.53</v>
      </c>
      <c r="AA99" s="42">
        <v>1.69</v>
      </c>
      <c r="AB99" s="42">
        <v>0.06</v>
      </c>
      <c r="AC99" s="42">
        <v>0.49</v>
      </c>
      <c r="AD99" s="42">
        <v>5.25</v>
      </c>
      <c r="AE99" s="42">
        <v>9.67</v>
      </c>
      <c r="AF99" s="23">
        <v>9.6126686E7</v>
      </c>
      <c r="AG99" s="23">
        <v>7.2095016E7</v>
      </c>
      <c r="AH99" s="23">
        <v>9612668.0</v>
      </c>
      <c r="AI99" s="23">
        <v>4806334.0</v>
      </c>
      <c r="AJ99" s="23">
        <v>9612668.0</v>
      </c>
      <c r="AK99" s="23">
        <v>4.3257009E7</v>
      </c>
      <c r="AL99" s="42">
        <v>55.0</v>
      </c>
      <c r="AM99" s="42">
        <v>0.41</v>
      </c>
      <c r="AN99" s="42">
        <v>670.31</v>
      </c>
      <c r="AO99" s="42">
        <v>1.88</v>
      </c>
      <c r="AP99" s="42">
        <v>145.03</v>
      </c>
      <c r="AQ99" s="23">
        <v>75.0</v>
      </c>
      <c r="AR99" s="23">
        <v>10.0</v>
      </c>
      <c r="AS99" s="23">
        <v>5.0</v>
      </c>
      <c r="AT99" s="23">
        <v>10.0</v>
      </c>
      <c r="AU99" s="23">
        <v>45.0</v>
      </c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</row>
    <row r="100">
      <c r="A100" s="31">
        <v>45420.0</v>
      </c>
      <c r="B100" s="31">
        <v>45427.0</v>
      </c>
      <c r="C100" s="32">
        <v>22226.6</v>
      </c>
      <c r="D100" s="33">
        <v>22223.8</v>
      </c>
      <c r="E100" s="32">
        <v>0.01</v>
      </c>
      <c r="F100" s="32" t="s">
        <v>61</v>
      </c>
      <c r="G100" s="34" t="s">
        <v>55</v>
      </c>
      <c r="H100" s="21" t="s">
        <v>180</v>
      </c>
      <c r="I100" s="34" t="s">
        <v>69</v>
      </c>
      <c r="J100" s="44">
        <v>1.0</v>
      </c>
      <c r="K100" s="43">
        <v>920.0</v>
      </c>
      <c r="L100" s="35">
        <v>3004.0</v>
      </c>
      <c r="M100" s="35">
        <v>1220.0</v>
      </c>
      <c r="N100" s="21">
        <v>1426.0</v>
      </c>
      <c r="O100" s="35">
        <v>55.0</v>
      </c>
      <c r="P100" s="21">
        <v>1406.3</v>
      </c>
      <c r="Q100" s="35">
        <v>52.86</v>
      </c>
      <c r="R100" s="21">
        <v>1354.6</v>
      </c>
      <c r="S100" s="35">
        <v>47.24</v>
      </c>
      <c r="T100" s="42">
        <v>125.51</v>
      </c>
      <c r="U100" s="42">
        <v>55.82</v>
      </c>
      <c r="V100" s="42">
        <v>40.15</v>
      </c>
      <c r="W100" s="42">
        <v>25.72</v>
      </c>
      <c r="X100" s="42">
        <v>501.21</v>
      </c>
      <c r="Y100" s="42">
        <v>17.0</v>
      </c>
      <c r="Z100" s="42">
        <v>44.0</v>
      </c>
      <c r="AA100" s="42">
        <v>60.0</v>
      </c>
      <c r="AB100" s="42">
        <v>0.01</v>
      </c>
      <c r="AC100" s="42">
        <v>13.9</v>
      </c>
      <c r="AD100" s="42">
        <v>30.76</v>
      </c>
      <c r="AE100" s="42">
        <v>18.66</v>
      </c>
      <c r="AF100" s="23">
        <v>1.6856623E7</v>
      </c>
      <c r="AG100" s="23">
        <v>1.2618012E7</v>
      </c>
      <c r="AH100" s="23">
        <v>1682401.0</v>
      </c>
      <c r="AI100" s="23">
        <v>841201.0</v>
      </c>
      <c r="AJ100" s="23">
        <v>1682401.0</v>
      </c>
      <c r="AK100" s="23">
        <v>7570807.0</v>
      </c>
      <c r="AL100" s="42">
        <v>16.0</v>
      </c>
      <c r="AM100" s="42">
        <v>14.25</v>
      </c>
      <c r="AN100" s="42">
        <v>64.58</v>
      </c>
      <c r="AO100" s="42">
        <v>18.93</v>
      </c>
      <c r="AP100" s="42">
        <v>48.6</v>
      </c>
      <c r="AQ100" s="23">
        <v>74.85</v>
      </c>
      <c r="AR100" s="23">
        <v>9.98</v>
      </c>
      <c r="AS100" s="23">
        <v>4.99</v>
      </c>
      <c r="AT100" s="23">
        <v>9.98</v>
      </c>
      <c r="AU100" s="23">
        <v>44.91</v>
      </c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</row>
    <row r="101">
      <c r="A101" s="31">
        <v>45420.0</v>
      </c>
      <c r="B101" s="31">
        <v>45427.0</v>
      </c>
      <c r="C101" s="32">
        <v>22226.6</v>
      </c>
      <c r="D101" s="33">
        <v>22223.8</v>
      </c>
      <c r="E101" s="32">
        <v>0.01</v>
      </c>
      <c r="F101" s="32" t="s">
        <v>61</v>
      </c>
      <c r="G101" s="34" t="s">
        <v>52</v>
      </c>
      <c r="H101" s="21" t="s">
        <v>181</v>
      </c>
      <c r="I101" s="34" t="s">
        <v>49</v>
      </c>
      <c r="J101" s="44">
        <v>10.0</v>
      </c>
      <c r="K101" s="43">
        <v>315.0</v>
      </c>
      <c r="L101" s="35">
        <v>433.0</v>
      </c>
      <c r="M101" s="35">
        <v>358.0</v>
      </c>
      <c r="N101" s="21">
        <v>315.0</v>
      </c>
      <c r="O101" s="35">
        <v>0.0</v>
      </c>
      <c r="P101" s="21">
        <v>329.55</v>
      </c>
      <c r="Q101" s="35">
        <v>4.62</v>
      </c>
      <c r="R101" s="21">
        <v>507.05</v>
      </c>
      <c r="S101" s="35">
        <v>60.97</v>
      </c>
      <c r="T101" s="42">
        <v>76.42</v>
      </c>
      <c r="U101" s="42">
        <v>18.9</v>
      </c>
      <c r="V101" s="42">
        <v>14.19</v>
      </c>
      <c r="W101" s="42">
        <v>2.58</v>
      </c>
      <c r="X101" s="42">
        <v>4249.1</v>
      </c>
      <c r="Y101" s="42">
        <v>86.5</v>
      </c>
      <c r="Z101" s="42">
        <v>18.4</v>
      </c>
      <c r="AA101" s="42">
        <v>10.08</v>
      </c>
      <c r="AB101" s="42">
        <v>3.1</v>
      </c>
      <c r="AC101" s="42">
        <v>26.7</v>
      </c>
      <c r="AD101" s="42">
        <v>12.9</v>
      </c>
      <c r="AE101" s="42">
        <v>2.93</v>
      </c>
      <c r="AF101" s="23">
        <v>9.5255598E7</v>
      </c>
      <c r="AG101" s="23">
        <v>4.7507935E7</v>
      </c>
      <c r="AH101" s="23">
        <v>9501588.0</v>
      </c>
      <c r="AI101" s="23">
        <v>4750793.0</v>
      </c>
      <c r="AJ101" s="23">
        <v>3.3255556E7</v>
      </c>
      <c r="AK101" s="23">
        <v>2.8504761E7</v>
      </c>
      <c r="AL101" s="42">
        <v>47.0</v>
      </c>
      <c r="AM101" s="42">
        <v>13.81</v>
      </c>
      <c r="AN101" s="42">
        <v>22.8</v>
      </c>
      <c r="AO101" s="42">
        <v>17.13</v>
      </c>
      <c r="AP101" s="42">
        <v>18.39</v>
      </c>
      <c r="AQ101" s="23">
        <v>49.87</v>
      </c>
      <c r="AR101" s="23">
        <v>9.97</v>
      </c>
      <c r="AS101" s="23">
        <v>4.99</v>
      </c>
      <c r="AT101" s="23">
        <v>34.91</v>
      </c>
      <c r="AU101" s="23">
        <v>29.92</v>
      </c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</row>
    <row r="102">
      <c r="A102" s="31">
        <v>45418.0</v>
      </c>
      <c r="B102" s="31">
        <v>45425.0</v>
      </c>
      <c r="C102" s="32">
        <v>21844.45</v>
      </c>
      <c r="D102" s="33">
        <v>22054.0</v>
      </c>
      <c r="E102" s="32">
        <v>-0.95</v>
      </c>
      <c r="F102" s="32" t="s">
        <v>54</v>
      </c>
      <c r="G102" s="34" t="s">
        <v>62</v>
      </c>
      <c r="H102" s="21" t="s">
        <v>182</v>
      </c>
      <c r="I102" s="34" t="s">
        <v>69</v>
      </c>
      <c r="J102" s="44">
        <v>2.0</v>
      </c>
      <c r="K102" s="43">
        <v>452.0</v>
      </c>
      <c r="L102" s="35">
        <v>2755.0</v>
      </c>
      <c r="M102" s="35">
        <v>727.0</v>
      </c>
      <c r="N102" s="21">
        <v>655.0</v>
      </c>
      <c r="O102" s="35">
        <v>44.91</v>
      </c>
      <c r="P102" s="21">
        <v>570.9</v>
      </c>
      <c r="Q102" s="35">
        <v>26.31</v>
      </c>
      <c r="R102" s="21">
        <v>543.0</v>
      </c>
      <c r="S102" s="35">
        <v>20.13</v>
      </c>
      <c r="T102" s="42">
        <v>192.72</v>
      </c>
      <c r="U102" s="42">
        <v>62.23</v>
      </c>
      <c r="V102" s="42">
        <v>43.26</v>
      </c>
      <c r="W102" s="42">
        <v>7.86</v>
      </c>
      <c r="X102" s="42">
        <v>1327.0</v>
      </c>
      <c r="Y102" s="42">
        <v>19.7</v>
      </c>
      <c r="Z102" s="42">
        <v>25.0</v>
      </c>
      <c r="AA102" s="42">
        <v>21.4</v>
      </c>
      <c r="AB102" s="42">
        <v>0.3</v>
      </c>
      <c r="AC102" s="42">
        <v>12.62</v>
      </c>
      <c r="AD102" s="42">
        <v>18.23</v>
      </c>
      <c r="AE102" s="42">
        <v>7.55</v>
      </c>
      <c r="AF102" s="23">
        <v>4.076655E7</v>
      </c>
      <c r="AG102" s="23">
        <v>2.023517E7</v>
      </c>
      <c r="AH102" s="23">
        <v>4047034.0</v>
      </c>
      <c r="AI102" s="23">
        <v>2023518.0</v>
      </c>
      <c r="AJ102" s="23">
        <v>1.416462E7</v>
      </c>
      <c r="AK102" s="23">
        <v>1.2141102E7</v>
      </c>
      <c r="AL102" s="42">
        <v>33.0</v>
      </c>
      <c r="AM102" s="42">
        <v>11.96</v>
      </c>
      <c r="AN102" s="42">
        <v>37.78</v>
      </c>
      <c r="AO102" s="42">
        <v>13.48</v>
      </c>
      <c r="AP102" s="42">
        <v>33.53</v>
      </c>
      <c r="AQ102" s="23">
        <v>49.64</v>
      </c>
      <c r="AR102" s="23">
        <v>9.93</v>
      </c>
      <c r="AS102" s="23">
        <v>4.96</v>
      </c>
      <c r="AT102" s="23">
        <v>34.75</v>
      </c>
      <c r="AU102" s="23">
        <v>29.78</v>
      </c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</row>
    <row r="103">
      <c r="A103" s="31">
        <v>45405.0</v>
      </c>
      <c r="B103" s="31">
        <v>45412.0</v>
      </c>
      <c r="C103" s="32">
        <v>22740.95</v>
      </c>
      <c r="D103" s="33">
        <v>22633.15</v>
      </c>
      <c r="E103" s="32">
        <v>0.48</v>
      </c>
      <c r="F103" s="32" t="s">
        <v>70</v>
      </c>
      <c r="G103" s="34" t="s">
        <v>78</v>
      </c>
      <c r="H103" s="21" t="s">
        <v>183</v>
      </c>
      <c r="I103" s="34" t="s">
        <v>49</v>
      </c>
      <c r="J103" s="44">
        <v>2.0</v>
      </c>
      <c r="K103" s="43">
        <v>415.0</v>
      </c>
      <c r="L103" s="35">
        <v>1354.0</v>
      </c>
      <c r="M103" s="35">
        <v>550.0</v>
      </c>
      <c r="N103" s="21">
        <v>621.0</v>
      </c>
      <c r="O103" s="35">
        <v>49.64</v>
      </c>
      <c r="P103" s="21">
        <v>694.55</v>
      </c>
      <c r="Q103" s="35">
        <v>67.36</v>
      </c>
      <c r="R103" s="21">
        <v>322.0</v>
      </c>
      <c r="S103" s="35">
        <v>-22.41</v>
      </c>
      <c r="T103" s="42">
        <v>74.4</v>
      </c>
      <c r="U103" s="42">
        <v>27.73</v>
      </c>
      <c r="V103" s="42">
        <v>15.94</v>
      </c>
      <c r="W103" s="42">
        <v>4.2</v>
      </c>
      <c r="X103" s="42">
        <v>168.56</v>
      </c>
      <c r="Y103" s="42">
        <v>18.05</v>
      </c>
      <c r="Z103" s="42">
        <v>31.79</v>
      </c>
      <c r="AA103" s="42">
        <v>34.73</v>
      </c>
      <c r="AB103" s="42">
        <v>0.34</v>
      </c>
      <c r="AC103" s="42">
        <v>18.24</v>
      </c>
      <c r="AD103" s="42">
        <v>31.79</v>
      </c>
      <c r="AE103" s="42">
        <v>11.92</v>
      </c>
      <c r="AF103" s="23">
        <v>1.5649967E7</v>
      </c>
      <c r="AG103" s="23">
        <v>7824982.0</v>
      </c>
      <c r="AH103" s="23">
        <v>1564997.0</v>
      </c>
      <c r="AI103" s="23">
        <v>782499.0</v>
      </c>
      <c r="AJ103" s="23">
        <v>5477489.0</v>
      </c>
      <c r="AK103" s="23">
        <v>4694989.0</v>
      </c>
      <c r="AL103" s="42">
        <v>36.0</v>
      </c>
      <c r="AM103" s="42">
        <v>9.58</v>
      </c>
      <c r="AN103" s="42">
        <v>43.32</v>
      </c>
      <c r="AO103" s="42">
        <v>11.08</v>
      </c>
      <c r="AP103" s="42">
        <v>37.46</v>
      </c>
      <c r="AQ103" s="23">
        <v>50.0</v>
      </c>
      <c r="AR103" s="23">
        <v>10.0</v>
      </c>
      <c r="AS103" s="23">
        <v>5.0</v>
      </c>
      <c r="AT103" s="23">
        <v>35.0</v>
      </c>
      <c r="AU103" s="23">
        <v>30.0</v>
      </c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</row>
    <row r="104">
      <c r="A104" s="31">
        <v>45385.0</v>
      </c>
      <c r="B104" s="31">
        <v>45394.0</v>
      </c>
      <c r="C104" s="32">
        <v>22654.3</v>
      </c>
      <c r="D104" s="33">
        <v>22735.05</v>
      </c>
      <c r="E104" s="32">
        <v>-0.36</v>
      </c>
      <c r="F104" s="32" t="s">
        <v>70</v>
      </c>
      <c r="G104" s="34" t="s">
        <v>50</v>
      </c>
      <c r="H104" s="21" t="s">
        <v>184</v>
      </c>
      <c r="I104" s="34" t="s">
        <v>77</v>
      </c>
      <c r="J104" s="21">
        <v>5.0</v>
      </c>
      <c r="K104" s="42">
        <v>570.0</v>
      </c>
      <c r="L104" s="35">
        <v>1404.0</v>
      </c>
      <c r="M104" s="35">
        <v>710.0</v>
      </c>
      <c r="N104" s="21">
        <v>755.0</v>
      </c>
      <c r="O104" s="35">
        <v>32.46</v>
      </c>
      <c r="P104" s="21">
        <v>813.75</v>
      </c>
      <c r="Q104" s="35">
        <v>42.76</v>
      </c>
      <c r="R104" s="21">
        <v>1847.7</v>
      </c>
      <c r="S104" s="35">
        <v>224.16</v>
      </c>
      <c r="T104" s="42">
        <v>48.57</v>
      </c>
      <c r="U104" s="42">
        <v>12.27</v>
      </c>
      <c r="V104" s="42">
        <v>7.0</v>
      </c>
      <c r="W104" s="42">
        <v>2.83</v>
      </c>
      <c r="X104" s="42">
        <v>3978.8</v>
      </c>
      <c r="Y104" s="42">
        <v>43.95</v>
      </c>
      <c r="Z104" s="42">
        <v>13.05</v>
      </c>
      <c r="AA104" s="42">
        <v>10.72</v>
      </c>
      <c r="AB104" s="42">
        <v>1.41</v>
      </c>
      <c r="AC104" s="42">
        <v>8.35</v>
      </c>
      <c r="AD104" s="42">
        <v>7.08</v>
      </c>
      <c r="AE104" s="42">
        <v>6.45</v>
      </c>
      <c r="AF104" s="23">
        <v>7.5E7</v>
      </c>
      <c r="AG104" s="23">
        <v>5.625E7</v>
      </c>
      <c r="AH104" s="23">
        <v>7500000.0</v>
      </c>
      <c r="AI104" s="23">
        <v>3750000.0</v>
      </c>
      <c r="AJ104" s="23">
        <v>7500000.0</v>
      </c>
      <c r="AK104" s="23">
        <v>3.375E7</v>
      </c>
      <c r="AL104" s="42">
        <v>26.0</v>
      </c>
      <c r="AM104" s="42">
        <v>10.98</v>
      </c>
      <c r="AN104" s="42">
        <v>51.89</v>
      </c>
      <c r="AO104" s="42">
        <v>7.51</v>
      </c>
      <c r="AP104" s="42">
        <v>75.85</v>
      </c>
      <c r="AQ104" s="23">
        <v>75.0</v>
      </c>
      <c r="AR104" s="23">
        <v>10.0</v>
      </c>
      <c r="AS104" s="23">
        <v>5.0</v>
      </c>
      <c r="AT104" s="23">
        <v>10.0</v>
      </c>
      <c r="AU104" s="23">
        <v>45.0</v>
      </c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</row>
    <row r="105">
      <c r="A105" s="31">
        <v>45377.0</v>
      </c>
      <c r="B105" s="31">
        <v>45385.0</v>
      </c>
      <c r="C105" s="32">
        <v>22384.6</v>
      </c>
      <c r="D105" s="33">
        <v>22464.3</v>
      </c>
      <c r="E105" s="32">
        <v>-0.35</v>
      </c>
      <c r="F105" s="32" t="s">
        <v>70</v>
      </c>
      <c r="G105" s="34" t="s">
        <v>78</v>
      </c>
      <c r="H105" s="21" t="s">
        <v>185</v>
      </c>
      <c r="I105" s="34" t="s">
        <v>49</v>
      </c>
      <c r="J105" s="21">
        <v>10.0</v>
      </c>
      <c r="K105" s="42">
        <v>210.0</v>
      </c>
      <c r="L105" s="35">
        <v>704.0</v>
      </c>
      <c r="M105" s="35">
        <v>280.0</v>
      </c>
      <c r="N105" s="21">
        <v>215.25</v>
      </c>
      <c r="O105" s="35">
        <v>2.5</v>
      </c>
      <c r="P105" s="21">
        <v>236.2</v>
      </c>
      <c r="Q105" s="35">
        <v>12.48</v>
      </c>
      <c r="R105" s="21">
        <v>472.3</v>
      </c>
      <c r="S105" s="35">
        <v>124.9</v>
      </c>
      <c r="T105" s="42">
        <v>59.59</v>
      </c>
      <c r="U105" s="42">
        <v>220.57</v>
      </c>
      <c r="V105" s="42">
        <v>203.67</v>
      </c>
      <c r="W105" s="42">
        <v>46.97</v>
      </c>
      <c r="X105" s="42">
        <v>37.24</v>
      </c>
      <c r="Y105" s="42">
        <v>12.87</v>
      </c>
      <c r="Z105" s="42">
        <v>34.85</v>
      </c>
      <c r="AA105" s="42">
        <v>29.43</v>
      </c>
      <c r="AB105" s="42">
        <v>0.5</v>
      </c>
      <c r="AC105" s="42">
        <v>8.98</v>
      </c>
      <c r="AD105" s="42">
        <v>25.02</v>
      </c>
      <c r="AE105" s="42">
        <v>4.17</v>
      </c>
      <c r="AF105" s="23">
        <v>6200000.0</v>
      </c>
      <c r="AG105" s="23">
        <v>3100000.0</v>
      </c>
      <c r="AH105" s="23">
        <v>620000.0</v>
      </c>
      <c r="AI105" s="23">
        <v>310000.0</v>
      </c>
      <c r="AJ105" s="23">
        <v>2170000.0</v>
      </c>
      <c r="AK105" s="23">
        <v>1859900.0</v>
      </c>
      <c r="AL105" s="42">
        <v>70.0</v>
      </c>
      <c r="AM105" s="42">
        <v>11.2</v>
      </c>
      <c r="AN105" s="42">
        <v>18.76</v>
      </c>
      <c r="AO105" s="42">
        <v>12.24</v>
      </c>
      <c r="AP105" s="42">
        <v>17.15</v>
      </c>
      <c r="AQ105" s="23">
        <v>50.0</v>
      </c>
      <c r="AR105" s="23">
        <v>10.0</v>
      </c>
      <c r="AS105" s="23">
        <v>5.0</v>
      </c>
      <c r="AT105" s="23">
        <v>35.0</v>
      </c>
      <c r="AU105" s="23">
        <v>30.0</v>
      </c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</row>
    <row r="106">
      <c r="A106" s="31">
        <v>45365.0</v>
      </c>
      <c r="B106" s="31">
        <v>45372.0</v>
      </c>
      <c r="C106" s="32">
        <v>22008.4</v>
      </c>
      <c r="D106" s="33">
        <v>21855.1</v>
      </c>
      <c r="E106" s="32">
        <v>0.7</v>
      </c>
      <c r="F106" s="32" t="s">
        <v>61</v>
      </c>
      <c r="G106" s="34" t="s">
        <v>78</v>
      </c>
      <c r="H106" s="21" t="s">
        <v>186</v>
      </c>
      <c r="I106" s="34" t="s">
        <v>49</v>
      </c>
      <c r="J106" s="21">
        <v>10.0</v>
      </c>
      <c r="K106" s="42">
        <v>715.0</v>
      </c>
      <c r="L106" s="35">
        <v>602.0</v>
      </c>
      <c r="M106" s="35">
        <v>775.0</v>
      </c>
      <c r="N106" s="21">
        <v>785.0</v>
      </c>
      <c r="O106" s="35">
        <v>9.79</v>
      </c>
      <c r="P106" s="21">
        <v>712.85</v>
      </c>
      <c r="Q106" s="35">
        <v>-0.3</v>
      </c>
      <c r="R106" s="21">
        <v>657.7</v>
      </c>
      <c r="S106" s="35">
        <v>-8.01</v>
      </c>
      <c r="T106" s="42">
        <v>7.32</v>
      </c>
      <c r="U106" s="42">
        <v>52.07</v>
      </c>
      <c r="V106" s="42">
        <v>31.54</v>
      </c>
      <c r="W106" s="42">
        <v>3.42</v>
      </c>
      <c r="X106" s="42">
        <v>183.68</v>
      </c>
      <c r="Y106" s="42">
        <v>7.7</v>
      </c>
      <c r="Z106" s="42">
        <v>11.71</v>
      </c>
      <c r="AA106" s="42">
        <v>16.97</v>
      </c>
      <c r="AB106" s="42">
        <v>0.58</v>
      </c>
      <c r="AC106" s="42">
        <v>4.56</v>
      </c>
      <c r="AD106" s="42">
        <v>11.21</v>
      </c>
      <c r="AE106" s="42">
        <v>4.49</v>
      </c>
      <c r="AF106" s="23">
        <v>4197552.0</v>
      </c>
      <c r="AG106" s="23">
        <v>2098775.0</v>
      </c>
      <c r="AH106" s="23">
        <v>419755.0</v>
      </c>
      <c r="AI106" s="23">
        <v>209878.0</v>
      </c>
      <c r="AJ106" s="23">
        <v>1469144.0</v>
      </c>
      <c r="AK106" s="23">
        <v>1259265.0</v>
      </c>
      <c r="AL106" s="42">
        <v>20.0</v>
      </c>
      <c r="AM106" s="42">
        <v>33.33</v>
      </c>
      <c r="AN106" s="42">
        <v>21.45</v>
      </c>
      <c r="AO106" s="42">
        <v>29.42</v>
      </c>
      <c r="AP106" s="42">
        <v>24.3</v>
      </c>
      <c r="AQ106" s="23">
        <v>50.0</v>
      </c>
      <c r="AR106" s="23">
        <v>10.0</v>
      </c>
      <c r="AS106" s="23">
        <v>5.0</v>
      </c>
      <c r="AT106" s="23">
        <v>35.0</v>
      </c>
      <c r="AU106" s="23">
        <v>30.0</v>
      </c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</row>
    <row r="107">
      <c r="A107" s="31">
        <v>45363.0</v>
      </c>
      <c r="B107" s="31">
        <v>45370.0</v>
      </c>
      <c r="C107" s="32">
        <v>21886.2</v>
      </c>
      <c r="D107" s="33">
        <v>22051.5</v>
      </c>
      <c r="E107" s="32">
        <v>-0.75</v>
      </c>
      <c r="F107" s="32" t="s">
        <v>54</v>
      </c>
      <c r="G107" s="34" t="s">
        <v>71</v>
      </c>
      <c r="H107" s="21" t="s">
        <v>187</v>
      </c>
      <c r="I107" s="34" t="s">
        <v>49</v>
      </c>
      <c r="J107" s="21">
        <v>2.0</v>
      </c>
      <c r="K107" s="42">
        <v>295.0</v>
      </c>
      <c r="L107" s="35">
        <v>1.0</v>
      </c>
      <c r="M107" s="35">
        <v>295.0</v>
      </c>
      <c r="N107" s="21">
        <v>289.2</v>
      </c>
      <c r="O107" s="35">
        <v>-1.97</v>
      </c>
      <c r="P107" s="21">
        <v>276.25</v>
      </c>
      <c r="Q107" s="35">
        <v>-6.36</v>
      </c>
      <c r="R107" s="21">
        <v>122.27</v>
      </c>
      <c r="S107" s="35">
        <v>-58.55</v>
      </c>
      <c r="T107" s="42">
        <v>1.92</v>
      </c>
      <c r="U107" s="42">
        <v>0.67</v>
      </c>
      <c r="V107" s="42">
        <v>0.68</v>
      </c>
      <c r="W107" s="42">
        <v>1.07</v>
      </c>
      <c r="X107" s="42">
        <v>384.21</v>
      </c>
      <c r="Y107" s="42">
        <v>4.8</v>
      </c>
      <c r="Z107" s="42">
        <v>10.42</v>
      </c>
      <c r="AA107" s="42">
        <v>8.83</v>
      </c>
      <c r="AB107" s="42">
        <v>1.99</v>
      </c>
      <c r="AC107" s="42">
        <v>1.41</v>
      </c>
      <c r="AD107" s="42">
        <v>10.42</v>
      </c>
      <c r="AE107" s="42">
        <v>4.82</v>
      </c>
      <c r="AF107" s="23">
        <v>2.0395205E7</v>
      </c>
      <c r="AG107" s="23">
        <v>1.0178875E7</v>
      </c>
      <c r="AH107" s="23">
        <v>2035775.0</v>
      </c>
      <c r="AI107" s="23">
        <v>1017888.0</v>
      </c>
      <c r="AJ107" s="23">
        <v>7125214.0</v>
      </c>
      <c r="AK107" s="23">
        <v>6107325.0</v>
      </c>
      <c r="AL107" s="42">
        <v>50.0</v>
      </c>
      <c r="AM107" s="42">
        <v>10.22</v>
      </c>
      <c r="AN107" s="42">
        <v>28.88</v>
      </c>
      <c r="AO107" s="42">
        <v>11.25</v>
      </c>
      <c r="AP107" s="42">
        <v>26.22</v>
      </c>
      <c r="AQ107" s="23">
        <v>49.91</v>
      </c>
      <c r="AR107" s="23">
        <v>9.98</v>
      </c>
      <c r="AS107" s="23">
        <v>4.99</v>
      </c>
      <c r="AT107" s="23">
        <v>34.94</v>
      </c>
      <c r="AU107" s="23">
        <v>29.94</v>
      </c>
      <c r="AV107" s="36"/>
      <c r="AW107" s="36"/>
      <c r="AX107" s="36"/>
      <c r="AY107" s="36"/>
      <c r="AZ107" s="36"/>
      <c r="BA107" s="36"/>
      <c r="BB107" s="36"/>
      <c r="BC107" s="36"/>
      <c r="BD107" s="36"/>
      <c r="BE107" s="36"/>
      <c r="BF107" s="36"/>
      <c r="BG107" s="36"/>
      <c r="BH107" s="36"/>
      <c r="BI107" s="36"/>
      <c r="BJ107" s="36"/>
      <c r="BK107" s="36"/>
      <c r="BL107" s="36"/>
      <c r="BM107" s="36"/>
      <c r="BN107" s="36"/>
      <c r="BO107" s="36"/>
      <c r="BP107" s="36"/>
      <c r="BQ107" s="36"/>
    </row>
    <row r="108">
      <c r="A108" s="31">
        <v>45357.0</v>
      </c>
      <c r="B108" s="31">
        <v>45365.0</v>
      </c>
      <c r="C108" s="32">
        <v>22028.35</v>
      </c>
      <c r="D108" s="33">
        <v>21981.05</v>
      </c>
      <c r="E108" s="32">
        <v>0.22</v>
      </c>
      <c r="F108" s="32" t="s">
        <v>61</v>
      </c>
      <c r="G108" s="34" t="s">
        <v>71</v>
      </c>
      <c r="H108" s="21" t="s">
        <v>188</v>
      </c>
      <c r="I108" s="34" t="s">
        <v>49</v>
      </c>
      <c r="J108" s="21">
        <v>1.0</v>
      </c>
      <c r="K108" s="42">
        <v>401.0</v>
      </c>
      <c r="L108" s="35">
        <v>-251.0</v>
      </c>
      <c r="M108" s="35">
        <v>376.0</v>
      </c>
      <c r="N108" s="21">
        <v>351.0</v>
      </c>
      <c r="O108" s="35">
        <v>-12.47</v>
      </c>
      <c r="P108" s="21">
        <v>362.7</v>
      </c>
      <c r="Q108" s="35">
        <v>-9.55</v>
      </c>
      <c r="R108" s="21">
        <v>346.75</v>
      </c>
      <c r="S108" s="35">
        <v>-13.53</v>
      </c>
      <c r="T108" s="42">
        <v>18.42</v>
      </c>
      <c r="U108" s="42">
        <v>10.72</v>
      </c>
      <c r="V108" s="42">
        <v>8.12</v>
      </c>
      <c r="W108" s="42">
        <v>4.22</v>
      </c>
      <c r="X108" s="42">
        <v>346.1</v>
      </c>
      <c r="Y108" s="42">
        <v>14.07</v>
      </c>
      <c r="Z108" s="42">
        <v>16.05</v>
      </c>
      <c r="AA108" s="42">
        <v>20.83</v>
      </c>
      <c r="AB108" s="42">
        <v>0.08</v>
      </c>
      <c r="AC108" s="42">
        <v>8.22</v>
      </c>
      <c r="AD108" s="42">
        <v>16.05</v>
      </c>
      <c r="AE108" s="42">
        <v>14.43</v>
      </c>
      <c r="AF108" s="23">
        <v>1.6218612E7</v>
      </c>
      <c r="AG108" s="23">
        <v>8061096.0</v>
      </c>
      <c r="AH108" s="23">
        <v>1612220.0</v>
      </c>
      <c r="AI108" s="23">
        <v>806110.0</v>
      </c>
      <c r="AJ108" s="23">
        <v>5642768.0</v>
      </c>
      <c r="AK108" s="23">
        <v>4836657.0</v>
      </c>
      <c r="AL108" s="42">
        <v>37.0</v>
      </c>
      <c r="AM108" s="42">
        <v>9.02</v>
      </c>
      <c r="AN108" s="42">
        <v>44.47</v>
      </c>
      <c r="AO108" s="42">
        <v>8.92</v>
      </c>
      <c r="AP108" s="42">
        <v>44.96</v>
      </c>
      <c r="AQ108" s="23">
        <v>49.7</v>
      </c>
      <c r="AR108" s="23">
        <v>9.94</v>
      </c>
      <c r="AS108" s="23">
        <v>4.97</v>
      </c>
      <c r="AT108" s="23">
        <v>34.79</v>
      </c>
      <c r="AU108" s="23">
        <v>29.82</v>
      </c>
      <c r="AV108" s="36"/>
      <c r="AW108" s="36"/>
      <c r="AX108" s="36"/>
      <c r="AY108" s="36"/>
      <c r="AZ108" s="36"/>
      <c r="BA108" s="36"/>
      <c r="BB108" s="36"/>
      <c r="BC108" s="36"/>
      <c r="BD108" s="36"/>
      <c r="BE108" s="36"/>
      <c r="BF108" s="36"/>
      <c r="BG108" s="36"/>
      <c r="BH108" s="36"/>
      <c r="BI108" s="36"/>
      <c r="BJ108" s="36"/>
      <c r="BK108" s="36"/>
      <c r="BL108" s="36"/>
      <c r="BM108" s="36"/>
      <c r="BN108" s="36"/>
      <c r="BO108" s="36"/>
      <c r="BP108" s="36"/>
      <c r="BQ108" s="36"/>
    </row>
    <row r="109">
      <c r="A109" s="31">
        <v>45356.0</v>
      </c>
      <c r="B109" s="31">
        <v>45364.0</v>
      </c>
      <c r="C109" s="32">
        <v>22280.3</v>
      </c>
      <c r="D109" s="33">
        <v>22333.7</v>
      </c>
      <c r="E109" s="32">
        <v>-0.24</v>
      </c>
      <c r="F109" s="32" t="s">
        <v>70</v>
      </c>
      <c r="G109" s="34" t="s">
        <v>81</v>
      </c>
      <c r="H109" s="21" t="s">
        <v>189</v>
      </c>
      <c r="I109" s="34" t="s">
        <v>49</v>
      </c>
      <c r="J109" s="21">
        <v>10.0</v>
      </c>
      <c r="K109" s="42">
        <v>221.0</v>
      </c>
      <c r="L109" s="35">
        <v>51.0</v>
      </c>
      <c r="M109" s="35">
        <v>226.0</v>
      </c>
      <c r="N109" s="21">
        <v>209.0</v>
      </c>
      <c r="O109" s="35">
        <v>-5.43</v>
      </c>
      <c r="P109" s="21">
        <v>184.8</v>
      </c>
      <c r="Q109" s="35">
        <v>-16.38</v>
      </c>
      <c r="R109" s="21">
        <v>500.2</v>
      </c>
      <c r="S109" s="35">
        <v>126.33</v>
      </c>
      <c r="T109" s="42">
        <v>32.33</v>
      </c>
      <c r="U109" s="42">
        <v>50.26</v>
      </c>
      <c r="V109" s="42">
        <v>43.24</v>
      </c>
      <c r="W109" s="42">
        <v>18.03</v>
      </c>
      <c r="X109" s="42">
        <v>217.86</v>
      </c>
      <c r="Y109" s="42">
        <v>7.01</v>
      </c>
      <c r="Z109" s="42">
        <v>8.2</v>
      </c>
      <c r="AA109" s="42">
        <v>11.86</v>
      </c>
      <c r="AB109" s="42">
        <v>0.11</v>
      </c>
      <c r="AC109" s="42">
        <v>7.24</v>
      </c>
      <c r="AD109" s="42">
        <v>8.16</v>
      </c>
      <c r="AE109" s="42">
        <v>3.51</v>
      </c>
      <c r="AF109" s="23">
        <v>1.1366063E7</v>
      </c>
      <c r="AG109" s="23">
        <v>5683030.0</v>
      </c>
      <c r="AH109" s="23">
        <v>1136607.0</v>
      </c>
      <c r="AI109" s="23">
        <v>568303.0</v>
      </c>
      <c r="AJ109" s="23">
        <v>3978123.0</v>
      </c>
      <c r="AK109" s="23">
        <v>3409818.0</v>
      </c>
      <c r="AL109" s="42">
        <v>67.0</v>
      </c>
      <c r="AM109" s="42">
        <v>13.6</v>
      </c>
      <c r="AN109" s="42">
        <v>16.25</v>
      </c>
      <c r="AO109" s="42">
        <v>11.01</v>
      </c>
      <c r="AP109" s="42">
        <v>20.08</v>
      </c>
      <c r="AQ109" s="23">
        <v>50.0</v>
      </c>
      <c r="AR109" s="23">
        <v>10.0</v>
      </c>
      <c r="AS109" s="23">
        <v>5.0</v>
      </c>
      <c r="AT109" s="23">
        <v>35.0</v>
      </c>
      <c r="AU109" s="23">
        <v>30.0</v>
      </c>
      <c r="AV109" s="36"/>
      <c r="AW109" s="36"/>
      <c r="AX109" s="36"/>
      <c r="AY109" s="36"/>
      <c r="AZ109" s="36"/>
      <c r="BA109" s="36"/>
      <c r="BB109" s="36"/>
      <c r="BC109" s="36"/>
      <c r="BD109" s="36"/>
      <c r="BE109" s="36"/>
      <c r="BF109" s="36"/>
      <c r="BG109" s="36"/>
      <c r="BH109" s="36"/>
      <c r="BI109" s="36"/>
      <c r="BJ109" s="36"/>
      <c r="BK109" s="36"/>
      <c r="BL109" s="36"/>
      <c r="BM109" s="36"/>
      <c r="BN109" s="36"/>
      <c r="BO109" s="36"/>
      <c r="BP109" s="36"/>
      <c r="BQ109" s="36"/>
    </row>
    <row r="110">
      <c r="A110" s="31">
        <v>45355.0</v>
      </c>
      <c r="B110" s="31">
        <v>45363.0</v>
      </c>
      <c r="C110" s="32">
        <v>22430.85</v>
      </c>
      <c r="D110" s="33">
        <v>22319.85</v>
      </c>
      <c r="E110" s="32">
        <v>0.5</v>
      </c>
      <c r="F110" s="32" t="s">
        <v>70</v>
      </c>
      <c r="G110" s="34" t="s">
        <v>55</v>
      </c>
      <c r="H110" s="21" t="s">
        <v>190</v>
      </c>
      <c r="I110" s="34" t="s">
        <v>69</v>
      </c>
      <c r="J110" s="21">
        <v>5.0</v>
      </c>
      <c r="K110" s="42">
        <v>288.0</v>
      </c>
      <c r="L110" s="35">
        <v>1.0</v>
      </c>
      <c r="M110" s="35">
        <v>288.0</v>
      </c>
      <c r="N110" s="21">
        <v>250.0</v>
      </c>
      <c r="O110" s="35">
        <v>-13.19</v>
      </c>
      <c r="P110" s="21">
        <v>263.25</v>
      </c>
      <c r="Q110" s="35">
        <v>-8.59</v>
      </c>
      <c r="R110" s="21">
        <v>167.28</v>
      </c>
      <c r="S110" s="35">
        <v>-41.92</v>
      </c>
      <c r="T110" s="42">
        <v>20.58</v>
      </c>
      <c r="U110" s="42">
        <v>35.73</v>
      </c>
      <c r="V110" s="42">
        <v>31.27</v>
      </c>
      <c r="W110" s="42">
        <v>33.31</v>
      </c>
      <c r="X110" s="42">
        <v>146.66</v>
      </c>
      <c r="Y110" s="42">
        <v>21.5</v>
      </c>
      <c r="Z110" s="42">
        <v>16.47</v>
      </c>
      <c r="AA110" s="42">
        <v>6.29</v>
      </c>
      <c r="AB110" s="42">
        <v>1.5</v>
      </c>
      <c r="AC110" s="42">
        <v>5.56</v>
      </c>
      <c r="AD110" s="42">
        <v>5.41</v>
      </c>
      <c r="AE110" s="42">
        <v>8.73</v>
      </c>
      <c r="AF110" s="23">
        <v>1.4733883E7</v>
      </c>
      <c r="AG110" s="23">
        <v>1.0834896E7</v>
      </c>
      <c r="AH110" s="23">
        <v>1444652.0</v>
      </c>
      <c r="AI110" s="23">
        <v>722327.0</v>
      </c>
      <c r="AJ110" s="23">
        <v>1444652.0</v>
      </c>
      <c r="AK110" s="23">
        <v>6500937.0</v>
      </c>
      <c r="AL110" s="42">
        <v>50.0</v>
      </c>
      <c r="AM110" s="42">
        <v>7.03</v>
      </c>
      <c r="AN110" s="42">
        <v>40.96</v>
      </c>
      <c r="AO110" s="42">
        <v>3.14</v>
      </c>
      <c r="AP110" s="42">
        <v>91.63</v>
      </c>
      <c r="AQ110" s="23">
        <v>73.54</v>
      </c>
      <c r="AR110" s="23">
        <v>9.8</v>
      </c>
      <c r="AS110" s="23">
        <v>4.9</v>
      </c>
      <c r="AT110" s="23">
        <v>9.8</v>
      </c>
      <c r="AU110" s="23">
        <v>44.12</v>
      </c>
      <c r="AV110" s="36"/>
      <c r="AW110" s="36"/>
      <c r="AX110" s="36"/>
      <c r="AY110" s="36"/>
      <c r="AZ110" s="36"/>
      <c r="BA110" s="36"/>
      <c r="BB110" s="36"/>
      <c r="BC110" s="36"/>
      <c r="BD110" s="36"/>
      <c r="BE110" s="36"/>
      <c r="BF110" s="36"/>
      <c r="BG110" s="36"/>
      <c r="BH110" s="36"/>
      <c r="BI110" s="36"/>
      <c r="BJ110" s="36"/>
      <c r="BK110" s="36"/>
      <c r="BL110" s="36"/>
      <c r="BM110" s="36"/>
      <c r="BN110" s="36"/>
      <c r="BO110" s="36"/>
      <c r="BP110" s="36"/>
      <c r="BQ110" s="36"/>
    </row>
    <row r="111">
      <c r="A111" s="31">
        <v>45351.0</v>
      </c>
      <c r="B111" s="31">
        <v>45358.0</v>
      </c>
      <c r="C111" s="32">
        <v>22479.1</v>
      </c>
      <c r="D111" s="33">
        <v>22480.05</v>
      </c>
      <c r="E111" s="32">
        <v>0.0</v>
      </c>
      <c r="F111" s="32" t="s">
        <v>70</v>
      </c>
      <c r="G111" s="34" t="s">
        <v>81</v>
      </c>
      <c r="H111" s="21" t="s">
        <v>191</v>
      </c>
      <c r="I111" s="16" t="s">
        <v>49</v>
      </c>
      <c r="J111" s="21">
        <v>1.0</v>
      </c>
      <c r="K111" s="42">
        <v>28.0</v>
      </c>
      <c r="L111" s="35">
        <v>355.0</v>
      </c>
      <c r="M111" s="35">
        <v>63.0</v>
      </c>
      <c r="N111" s="21">
        <v>40.0</v>
      </c>
      <c r="O111" s="35">
        <v>42.86</v>
      </c>
      <c r="P111" s="21">
        <v>42.26</v>
      </c>
      <c r="Q111" s="35">
        <v>50.93</v>
      </c>
      <c r="R111" s="21">
        <v>28.44</v>
      </c>
      <c r="S111" s="35">
        <v>1.57</v>
      </c>
      <c r="T111" s="42">
        <v>189.28</v>
      </c>
      <c r="U111" s="42">
        <v>254.15</v>
      </c>
      <c r="V111" s="42">
        <v>242.86</v>
      </c>
      <c r="W111" s="42">
        <v>58.52</v>
      </c>
      <c r="X111" s="42">
        <v>159.11</v>
      </c>
      <c r="Y111" s="42">
        <v>8.01</v>
      </c>
      <c r="Z111" s="42">
        <v>36.71</v>
      </c>
      <c r="AA111" s="42">
        <v>17.62</v>
      </c>
      <c r="AB111" s="42">
        <v>1.64</v>
      </c>
      <c r="AC111" s="42">
        <v>3.74</v>
      </c>
      <c r="AD111" s="42">
        <v>34.19</v>
      </c>
      <c r="AE111" s="42">
        <v>4.78</v>
      </c>
      <c r="AF111" s="23">
        <v>8.0E7</v>
      </c>
      <c r="AG111" s="23">
        <v>4.0E7</v>
      </c>
      <c r="AH111" s="23">
        <v>8000000.0</v>
      </c>
      <c r="AI111" s="23">
        <v>4000000.0</v>
      </c>
      <c r="AJ111" s="23">
        <v>2.8E7</v>
      </c>
      <c r="AK111" s="23">
        <v>2.3999565E7</v>
      </c>
      <c r="AL111" s="42">
        <v>535.0</v>
      </c>
      <c r="AM111" s="42">
        <v>2.16</v>
      </c>
      <c r="AN111" s="42">
        <v>12.96</v>
      </c>
      <c r="AO111" s="42">
        <v>2.2</v>
      </c>
      <c r="AP111" s="42">
        <v>12.73</v>
      </c>
      <c r="AQ111" s="23">
        <v>50.0</v>
      </c>
      <c r="AR111" s="23">
        <v>10.0</v>
      </c>
      <c r="AS111" s="23">
        <v>5.0</v>
      </c>
      <c r="AT111" s="23">
        <v>35.0</v>
      </c>
      <c r="AU111" s="23">
        <v>30.0</v>
      </c>
      <c r="AV111" s="36"/>
      <c r="AW111" s="36"/>
      <c r="AX111" s="36"/>
      <c r="AY111" s="36"/>
      <c r="AZ111" s="36"/>
      <c r="BA111" s="36"/>
      <c r="BB111" s="36"/>
      <c r="BC111" s="36"/>
      <c r="BD111" s="36"/>
      <c r="BE111" s="36"/>
      <c r="BF111" s="36"/>
      <c r="BG111" s="36"/>
      <c r="BH111" s="36"/>
      <c r="BI111" s="36"/>
      <c r="BJ111" s="36"/>
      <c r="BK111" s="36"/>
      <c r="BL111" s="36"/>
      <c r="BM111" s="36"/>
      <c r="BN111" s="36"/>
      <c r="BO111" s="36"/>
      <c r="BP111" s="36"/>
      <c r="BQ111" s="36"/>
    </row>
    <row r="112">
      <c r="A112" s="31">
        <v>45349.0</v>
      </c>
      <c r="B112" s="31">
        <v>45356.0</v>
      </c>
      <c r="C112" s="32">
        <v>22329.6</v>
      </c>
      <c r="D112" s="33">
        <v>22397.65</v>
      </c>
      <c r="E112" s="32">
        <v>-0.3</v>
      </c>
      <c r="F112" s="32" t="s">
        <v>70</v>
      </c>
      <c r="G112" s="34" t="s">
        <v>94</v>
      </c>
      <c r="H112" s="21" t="s">
        <v>192</v>
      </c>
      <c r="I112" s="16" t="s">
        <v>49</v>
      </c>
      <c r="J112" s="21">
        <v>10.0</v>
      </c>
      <c r="K112" s="42">
        <v>142.0</v>
      </c>
      <c r="L112" s="35">
        <v>1605.0</v>
      </c>
      <c r="M112" s="35">
        <v>302.0</v>
      </c>
      <c r="N112" s="21">
        <v>265.0</v>
      </c>
      <c r="O112" s="35">
        <v>86.62</v>
      </c>
      <c r="P112" s="21">
        <v>225.65</v>
      </c>
      <c r="Q112" s="35">
        <v>58.91</v>
      </c>
      <c r="R112" s="21">
        <v>166.31</v>
      </c>
      <c r="S112" s="35">
        <v>17.12</v>
      </c>
      <c r="T112" s="42">
        <v>124.82</v>
      </c>
      <c r="U112" s="42">
        <v>163.96</v>
      </c>
      <c r="V112" s="42">
        <v>149.95</v>
      </c>
      <c r="W112" s="42">
        <v>124.27</v>
      </c>
      <c r="X112" s="42">
        <v>311.4</v>
      </c>
      <c r="Y112" s="42">
        <v>5.1</v>
      </c>
      <c r="Z112" s="42">
        <v>13.38</v>
      </c>
      <c r="AA112" s="42">
        <v>10.92</v>
      </c>
      <c r="AB112" s="42">
        <v>0.51</v>
      </c>
      <c r="AC112" s="42">
        <v>4.78</v>
      </c>
      <c r="AD112" s="42">
        <v>2.75</v>
      </c>
      <c r="AE112" s="42">
        <v>5.63</v>
      </c>
      <c r="AF112" s="23">
        <v>3.02112E7</v>
      </c>
      <c r="AG112" s="23">
        <v>2.26585E7</v>
      </c>
      <c r="AH112" s="23">
        <v>3021000.0</v>
      </c>
      <c r="AI112" s="23">
        <v>1510600.0</v>
      </c>
      <c r="AJ112" s="23">
        <v>3021100.0</v>
      </c>
      <c r="AK112" s="23">
        <v>1.25388E7</v>
      </c>
      <c r="AL112" s="42">
        <v>100.0</v>
      </c>
      <c r="AM112" s="42">
        <v>0.65</v>
      </c>
      <c r="AN112" s="42">
        <v>217.63</v>
      </c>
      <c r="AO112" s="42">
        <v>4.55</v>
      </c>
      <c r="AP112" s="42">
        <v>31.24</v>
      </c>
      <c r="AQ112" s="23">
        <v>75.0</v>
      </c>
      <c r="AR112" s="23">
        <v>10.0</v>
      </c>
      <c r="AS112" s="23">
        <v>5.0</v>
      </c>
      <c r="AT112" s="23">
        <v>10.0</v>
      </c>
      <c r="AU112" s="23">
        <v>41.5</v>
      </c>
      <c r="AV112" s="36"/>
      <c r="AW112" s="36"/>
      <c r="AX112" s="36"/>
      <c r="AY112" s="36"/>
      <c r="AZ112" s="36"/>
      <c r="BA112" s="36"/>
      <c r="BB112" s="36"/>
      <c r="BC112" s="36"/>
      <c r="BD112" s="36"/>
      <c r="BE112" s="36"/>
      <c r="BF112" s="36"/>
      <c r="BG112" s="36"/>
      <c r="BH112" s="36"/>
      <c r="BI112" s="36"/>
      <c r="BJ112" s="36"/>
      <c r="BK112" s="36"/>
      <c r="BL112" s="36"/>
      <c r="BM112" s="36"/>
      <c r="BN112" s="36"/>
      <c r="BO112" s="36"/>
      <c r="BP112" s="36"/>
      <c r="BQ112" s="36"/>
    </row>
    <row r="113">
      <c r="A113" s="31">
        <v>45349.0</v>
      </c>
      <c r="B113" s="31">
        <v>45356.0</v>
      </c>
      <c r="C113" s="32">
        <v>22329.6</v>
      </c>
      <c r="D113" s="33">
        <v>22397.65</v>
      </c>
      <c r="E113" s="32">
        <v>-0.3</v>
      </c>
      <c r="F113" s="32" t="s">
        <v>70</v>
      </c>
      <c r="G113" s="34" t="s">
        <v>81</v>
      </c>
      <c r="H113" s="21" t="s">
        <v>193</v>
      </c>
      <c r="I113" s="16" t="s">
        <v>49</v>
      </c>
      <c r="J113" s="21">
        <v>10.0</v>
      </c>
      <c r="K113" s="42">
        <v>171.0</v>
      </c>
      <c r="L113" s="35">
        <v>875.0</v>
      </c>
      <c r="M113" s="35">
        <v>258.0</v>
      </c>
      <c r="N113" s="21">
        <v>225.0</v>
      </c>
      <c r="O113" s="35">
        <v>31.58</v>
      </c>
      <c r="P113" s="21">
        <v>221.2</v>
      </c>
      <c r="Q113" s="35">
        <v>29.36</v>
      </c>
      <c r="R113" s="21">
        <v>283.8</v>
      </c>
      <c r="S113" s="35">
        <v>65.96</v>
      </c>
      <c r="T113" s="42">
        <v>151.0</v>
      </c>
      <c r="U113" s="42">
        <v>138.46</v>
      </c>
      <c r="V113" s="42">
        <v>148.46</v>
      </c>
      <c r="W113" s="42">
        <v>50.92</v>
      </c>
      <c r="X113" s="42">
        <v>85.04</v>
      </c>
      <c r="Y113" s="42">
        <v>23.3</v>
      </c>
      <c r="Z113" s="42">
        <v>90.02</v>
      </c>
      <c r="AA113" s="42">
        <v>56.85</v>
      </c>
      <c r="AB113" s="42">
        <v>0.28</v>
      </c>
      <c r="AC113" s="42">
        <v>16.2</v>
      </c>
      <c r="AD113" s="42">
        <v>61.26</v>
      </c>
      <c r="AE113" s="42">
        <v>11.13</v>
      </c>
      <c r="AF113" s="23">
        <v>1.3761225E7</v>
      </c>
      <c r="AG113" s="23">
        <v>6880612.0</v>
      </c>
      <c r="AH113" s="23">
        <v>1376123.0</v>
      </c>
      <c r="AI113" s="23">
        <v>688061.0</v>
      </c>
      <c r="AJ113" s="23">
        <v>4816429.0</v>
      </c>
      <c r="AK113" s="23">
        <v>4128237.0</v>
      </c>
      <c r="AL113" s="42">
        <v>87.0</v>
      </c>
      <c r="AM113" s="42">
        <v>9.13</v>
      </c>
      <c r="AN113" s="42">
        <v>18.73</v>
      </c>
      <c r="AO113" s="42">
        <v>8.31</v>
      </c>
      <c r="AP113" s="42">
        <v>20.57</v>
      </c>
      <c r="AQ113" s="23">
        <v>50.0</v>
      </c>
      <c r="AR113" s="23">
        <v>10.0</v>
      </c>
      <c r="AS113" s="23">
        <v>5.0</v>
      </c>
      <c r="AT113" s="23">
        <v>35.0</v>
      </c>
      <c r="AU113" s="23">
        <v>30.0</v>
      </c>
      <c r="AV113" s="36"/>
      <c r="AW113" s="36"/>
      <c r="AX113" s="36"/>
      <c r="AY113" s="36"/>
      <c r="AZ113" s="36"/>
      <c r="BA113" s="36"/>
      <c r="BB113" s="36"/>
      <c r="BC113" s="36"/>
      <c r="BD113" s="36"/>
      <c r="BE113" s="36"/>
      <c r="BF113" s="36"/>
      <c r="BG113" s="36"/>
      <c r="BH113" s="36"/>
      <c r="BI113" s="36"/>
      <c r="BJ113" s="36"/>
      <c r="BK113" s="36"/>
      <c r="BL113" s="36"/>
      <c r="BM113" s="36"/>
      <c r="BN113" s="36"/>
      <c r="BO113" s="36"/>
      <c r="BP113" s="36"/>
      <c r="BQ113" s="36"/>
    </row>
    <row r="114">
      <c r="A114" s="31">
        <v>45344.0</v>
      </c>
      <c r="B114" s="31">
        <v>45351.0</v>
      </c>
      <c r="C114" s="32">
        <v>22010.05</v>
      </c>
      <c r="D114" s="33">
        <v>21926.25</v>
      </c>
      <c r="E114" s="32">
        <v>0.38</v>
      </c>
      <c r="F114" s="32" t="s">
        <v>70</v>
      </c>
      <c r="G114" s="34" t="s">
        <v>62</v>
      </c>
      <c r="H114" s="21" t="s">
        <v>194</v>
      </c>
      <c r="I114" s="16" t="s">
        <v>49</v>
      </c>
      <c r="J114" s="21">
        <v>10.0</v>
      </c>
      <c r="K114" s="42">
        <v>186.0</v>
      </c>
      <c r="L114" s="35">
        <v>172.0</v>
      </c>
      <c r="M114" s="35">
        <v>203.0</v>
      </c>
      <c r="N114" s="21">
        <v>215.0</v>
      </c>
      <c r="O114" s="35">
        <v>15.59</v>
      </c>
      <c r="P114" s="21">
        <v>200.75</v>
      </c>
      <c r="Q114" s="35">
        <v>7.93</v>
      </c>
      <c r="R114" s="21">
        <v>176.54</v>
      </c>
      <c r="S114" s="35">
        <v>-5.09</v>
      </c>
      <c r="T114" s="42">
        <v>17.3</v>
      </c>
      <c r="U114" s="42">
        <v>11.98</v>
      </c>
      <c r="V114" s="42">
        <v>9.09</v>
      </c>
      <c r="W114" s="42">
        <v>2.44</v>
      </c>
      <c r="X114" s="42">
        <v>171.43</v>
      </c>
      <c r="Y114" s="42">
        <v>22.17</v>
      </c>
      <c r="Z114" s="42">
        <v>23.59</v>
      </c>
      <c r="AA114" s="42">
        <v>26.09</v>
      </c>
      <c r="AB114" s="42">
        <v>0.39</v>
      </c>
      <c r="AC114" s="42">
        <v>10.8</v>
      </c>
      <c r="AD114" s="42">
        <v>23.77</v>
      </c>
      <c r="AE114" s="42">
        <v>9.06</v>
      </c>
      <c r="AF114" s="23">
        <v>2.8233323E7</v>
      </c>
      <c r="AG114" s="23">
        <v>1.411666E7</v>
      </c>
      <c r="AH114" s="23">
        <v>2823332.0</v>
      </c>
      <c r="AI114" s="23">
        <v>1411667.0</v>
      </c>
      <c r="AJ114" s="23">
        <v>9881664.0</v>
      </c>
      <c r="AK114" s="23">
        <v>8469996.0</v>
      </c>
      <c r="AL114" s="42">
        <v>80.0</v>
      </c>
      <c r="AM114" s="42">
        <v>4.88</v>
      </c>
      <c r="AN114" s="42">
        <v>38.1</v>
      </c>
      <c r="AO114" s="42">
        <v>0.0</v>
      </c>
      <c r="AP114" s="42">
        <v>32.49</v>
      </c>
      <c r="AQ114" s="23">
        <v>50.0</v>
      </c>
      <c r="AR114" s="23">
        <v>10.0</v>
      </c>
      <c r="AS114" s="23">
        <v>5.0</v>
      </c>
      <c r="AT114" s="23">
        <v>35.0</v>
      </c>
      <c r="AU114" s="23">
        <v>30.0</v>
      </c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</row>
    <row r="115">
      <c r="A115" s="31">
        <v>45343.0</v>
      </c>
      <c r="B115" s="31">
        <v>45350.0</v>
      </c>
      <c r="C115" s="32">
        <v>22183.25</v>
      </c>
      <c r="D115" s="33">
        <v>22194.2</v>
      </c>
      <c r="E115" s="32">
        <v>-0.05</v>
      </c>
      <c r="F115" s="32" t="s">
        <v>70</v>
      </c>
      <c r="G115" s="34" t="s">
        <v>55</v>
      </c>
      <c r="H115" s="21" t="s">
        <v>195</v>
      </c>
      <c r="I115" s="16" t="s">
        <v>49</v>
      </c>
      <c r="J115" s="21">
        <v>10.0</v>
      </c>
      <c r="K115" s="42">
        <v>360.0</v>
      </c>
      <c r="L115" s="35">
        <v>1.0</v>
      </c>
      <c r="M115" s="35">
        <v>360.0</v>
      </c>
      <c r="N115" s="21">
        <v>365.0</v>
      </c>
      <c r="O115" s="35">
        <v>1.39</v>
      </c>
      <c r="P115" s="21">
        <v>401.5</v>
      </c>
      <c r="Q115" s="35">
        <v>11.53</v>
      </c>
      <c r="R115" s="21">
        <v>292.4</v>
      </c>
      <c r="S115" s="35">
        <v>-18.78</v>
      </c>
      <c r="T115" s="42">
        <v>3.11</v>
      </c>
      <c r="U115" s="42">
        <v>1.08</v>
      </c>
      <c r="V115" s="42">
        <v>0.5</v>
      </c>
      <c r="W115" s="42">
        <v>1.31</v>
      </c>
      <c r="X115" s="42">
        <v>859.67</v>
      </c>
      <c r="Y115" s="42">
        <v>44.9</v>
      </c>
      <c r="Z115" s="42">
        <v>-0.42</v>
      </c>
      <c r="AA115" s="42">
        <v>-0.4</v>
      </c>
      <c r="AB115" s="42">
        <v>5.77</v>
      </c>
      <c r="AC115" s="42">
        <v>-0.22</v>
      </c>
      <c r="AD115" s="42">
        <v>-0.42</v>
      </c>
      <c r="AE115" s="42">
        <v>3.0</v>
      </c>
      <c r="AF115" s="23">
        <v>5.0E7</v>
      </c>
      <c r="AG115" s="23">
        <v>3.75E7</v>
      </c>
      <c r="AH115" s="23">
        <v>5000000.0</v>
      </c>
      <c r="AI115" s="23">
        <v>2500000.0</v>
      </c>
      <c r="AJ115" s="23">
        <v>5000000.0</v>
      </c>
      <c r="AK115" s="23">
        <v>2.25E7</v>
      </c>
      <c r="AL115" s="42">
        <v>40.0</v>
      </c>
      <c r="AM115" s="42" t="s">
        <v>57</v>
      </c>
      <c r="AN115" s="42" t="s">
        <v>57</v>
      </c>
      <c r="AO115" s="42" t="s">
        <v>57</v>
      </c>
      <c r="AP115" s="42" t="s">
        <v>57</v>
      </c>
      <c r="AQ115" s="23">
        <v>75.0</v>
      </c>
      <c r="AR115" s="23">
        <v>10.0</v>
      </c>
      <c r="AS115" s="23">
        <v>5.0</v>
      </c>
      <c r="AT115" s="23">
        <v>10.0</v>
      </c>
      <c r="AU115" s="23">
        <v>45.0</v>
      </c>
      <c r="AV115" s="36"/>
      <c r="AW115" s="36"/>
      <c r="AX115" s="36"/>
      <c r="AY115" s="36"/>
      <c r="AZ115" s="36"/>
      <c r="BA115" s="36"/>
      <c r="BB115" s="36"/>
      <c r="BC115" s="36"/>
      <c r="BD115" s="36"/>
      <c r="BE115" s="36"/>
      <c r="BF115" s="36"/>
      <c r="BG115" s="36"/>
      <c r="BH115" s="36"/>
      <c r="BI115" s="36"/>
      <c r="BJ115" s="36"/>
      <c r="BK115" s="36"/>
      <c r="BL115" s="36"/>
      <c r="BM115" s="36"/>
      <c r="BN115" s="36"/>
      <c r="BO115" s="36"/>
      <c r="BP115" s="36"/>
      <c r="BQ115" s="36"/>
    </row>
    <row r="116">
      <c r="A116" s="31">
        <v>45335.0</v>
      </c>
      <c r="B116" s="31">
        <v>45342.0</v>
      </c>
      <c r="C116" s="32">
        <v>22070.85</v>
      </c>
      <c r="D116" s="33">
        <v>22116.95</v>
      </c>
      <c r="E116" s="32">
        <v>-0.21</v>
      </c>
      <c r="F116" s="32" t="s">
        <v>70</v>
      </c>
      <c r="G116" s="34" t="s">
        <v>81</v>
      </c>
      <c r="H116" s="21" t="s">
        <v>196</v>
      </c>
      <c r="I116" s="16" t="s">
        <v>49</v>
      </c>
      <c r="J116" s="21">
        <v>10.0</v>
      </c>
      <c r="K116" s="42">
        <v>151.0</v>
      </c>
      <c r="L116" s="35">
        <v>1405.0</v>
      </c>
      <c r="M116" s="35">
        <v>291.0</v>
      </c>
      <c r="N116" s="21">
        <v>425.0</v>
      </c>
      <c r="O116" s="35">
        <v>181.46</v>
      </c>
      <c r="P116" s="21">
        <v>446.25</v>
      </c>
      <c r="Q116" s="35">
        <v>195.53</v>
      </c>
      <c r="R116" s="21">
        <v>162.54</v>
      </c>
      <c r="S116" s="35">
        <v>7.64</v>
      </c>
      <c r="T116" s="42">
        <v>191.41</v>
      </c>
      <c r="U116" s="42">
        <v>754.37</v>
      </c>
      <c r="V116" s="42">
        <v>808.72</v>
      </c>
      <c r="W116" s="42">
        <v>201.52</v>
      </c>
      <c r="X116" s="42">
        <v>101.76</v>
      </c>
      <c r="Y116" s="42">
        <v>4.21</v>
      </c>
      <c r="Z116" s="42">
        <v>25.51</v>
      </c>
      <c r="AA116" s="42">
        <v>16.48</v>
      </c>
      <c r="AB116" s="42">
        <v>1.63</v>
      </c>
      <c r="AC116" s="42">
        <v>1.89</v>
      </c>
      <c r="AD116" s="42">
        <v>22.6</v>
      </c>
      <c r="AE116" s="42">
        <v>2.3</v>
      </c>
      <c r="AF116" s="23">
        <v>4779443.0</v>
      </c>
      <c r="AG116" s="23">
        <v>2374970.0</v>
      </c>
      <c r="AH116" s="23">
        <v>474994.0</v>
      </c>
      <c r="AI116" s="23">
        <v>237497.0</v>
      </c>
      <c r="AJ116" s="23">
        <v>1662479.0</v>
      </c>
      <c r="AK116" s="23">
        <v>1424907.0</v>
      </c>
      <c r="AL116" s="42">
        <v>99.0</v>
      </c>
      <c r="AM116" s="42">
        <v>14.85</v>
      </c>
      <c r="AN116" s="42">
        <v>10.17</v>
      </c>
      <c r="AO116" s="42">
        <v>8.99</v>
      </c>
      <c r="AP116" s="42">
        <v>16.8</v>
      </c>
      <c r="AQ116" s="23">
        <v>49.69</v>
      </c>
      <c r="AR116" s="23">
        <v>9.94</v>
      </c>
      <c r="AS116" s="23">
        <v>4.97</v>
      </c>
      <c r="AT116" s="23">
        <v>34.78</v>
      </c>
      <c r="AU116" s="23">
        <v>29.81</v>
      </c>
      <c r="AV116" s="36"/>
      <c r="AW116" s="36"/>
      <c r="AX116" s="36"/>
      <c r="AY116" s="36"/>
      <c r="AZ116" s="36"/>
      <c r="BA116" s="36"/>
      <c r="BB116" s="36"/>
      <c r="BC116" s="36"/>
      <c r="BD116" s="36"/>
      <c r="BE116" s="36"/>
      <c r="BF116" s="36"/>
      <c r="BG116" s="36"/>
      <c r="BH116" s="36"/>
      <c r="BI116" s="36"/>
      <c r="BJ116" s="36"/>
      <c r="BK116" s="36"/>
      <c r="BL116" s="36"/>
      <c r="BM116" s="36"/>
      <c r="BN116" s="36"/>
      <c r="BO116" s="36"/>
      <c r="BP116" s="36"/>
      <c r="BQ116" s="36"/>
    </row>
    <row r="117">
      <c r="A117" s="31">
        <v>45331.0</v>
      </c>
      <c r="B117" s="31">
        <v>45338.0</v>
      </c>
      <c r="C117" s="32">
        <v>22009.1</v>
      </c>
      <c r="D117" s="33">
        <v>21927.05</v>
      </c>
      <c r="E117" s="32">
        <v>0.37</v>
      </c>
      <c r="F117" s="32" t="s">
        <v>70</v>
      </c>
      <c r="G117" s="34" t="s">
        <v>62</v>
      </c>
      <c r="H117" s="21" t="s">
        <v>197</v>
      </c>
      <c r="I117" s="34" t="s">
        <v>49</v>
      </c>
      <c r="J117" s="21">
        <v>10.0</v>
      </c>
      <c r="K117" s="43">
        <v>1258.0</v>
      </c>
      <c r="L117" s="35">
        <v>21.0</v>
      </c>
      <c r="M117" s="35">
        <v>1260.0</v>
      </c>
      <c r="N117" s="21">
        <v>1228.7</v>
      </c>
      <c r="O117" s="35">
        <v>-2.33</v>
      </c>
      <c r="P117" s="21">
        <v>1149.55</v>
      </c>
      <c r="Q117" s="35">
        <v>-8.62</v>
      </c>
      <c r="R117" s="21">
        <v>1286.6</v>
      </c>
      <c r="S117" s="35">
        <v>2.27</v>
      </c>
      <c r="T117" s="42">
        <v>2.28</v>
      </c>
      <c r="U117" s="42">
        <v>0.16</v>
      </c>
      <c r="V117" s="42">
        <v>0.33</v>
      </c>
      <c r="W117" s="42">
        <v>1.33</v>
      </c>
      <c r="X117" s="42">
        <v>660.54</v>
      </c>
      <c r="Y117" s="42">
        <v>1.21</v>
      </c>
      <c r="Z117" s="42">
        <v>-2.66</v>
      </c>
      <c r="AA117" s="42">
        <v>6.06</v>
      </c>
      <c r="AB117" s="42">
        <v>0.45</v>
      </c>
      <c r="AC117" s="42">
        <v>-0.35</v>
      </c>
      <c r="AD117" s="42">
        <v>-1.86</v>
      </c>
      <c r="AE117" s="42">
        <v>7.22</v>
      </c>
      <c r="AF117" s="23">
        <v>1.2725244E7</v>
      </c>
      <c r="AG117" s="23">
        <v>9491256.0</v>
      </c>
      <c r="AH117" s="23">
        <v>1265500.0</v>
      </c>
      <c r="AI117" s="23">
        <v>632751.0</v>
      </c>
      <c r="AJ117" s="23">
        <v>1265500.0</v>
      </c>
      <c r="AK117" s="23">
        <v>5694753.0</v>
      </c>
      <c r="AL117" s="42">
        <v>11.0</v>
      </c>
      <c r="AM117" s="42">
        <v>0.0</v>
      </c>
      <c r="AN117" s="42">
        <v>0.0</v>
      </c>
      <c r="AO117" s="42">
        <v>9.7</v>
      </c>
      <c r="AP117" s="42">
        <v>129.75</v>
      </c>
      <c r="AQ117" s="23">
        <v>74.59</v>
      </c>
      <c r="AR117" s="23">
        <v>9.94</v>
      </c>
      <c r="AS117" s="23">
        <v>4.97</v>
      </c>
      <c r="AT117" s="23">
        <v>9.94</v>
      </c>
      <c r="AU117" s="23">
        <v>44.75</v>
      </c>
      <c r="AV117" s="36"/>
      <c r="AW117" s="36"/>
      <c r="AX117" s="36"/>
      <c r="AY117" s="36"/>
      <c r="AZ117" s="36"/>
      <c r="BA117" s="36"/>
      <c r="BB117" s="36"/>
      <c r="BC117" s="36"/>
      <c r="BD117" s="36"/>
      <c r="BE117" s="36"/>
      <c r="BF117" s="36"/>
      <c r="BG117" s="36"/>
      <c r="BH117" s="36"/>
      <c r="BI117" s="36"/>
      <c r="BJ117" s="36"/>
      <c r="BK117" s="36"/>
      <c r="BL117" s="36"/>
      <c r="BM117" s="36"/>
      <c r="BN117" s="36"/>
      <c r="BO117" s="36"/>
      <c r="BP117" s="36"/>
      <c r="BQ117" s="36"/>
    </row>
    <row r="118">
      <c r="A118" s="31">
        <v>45329.0</v>
      </c>
      <c r="B118" s="31">
        <v>45336.0</v>
      </c>
      <c r="C118" s="32">
        <v>21613.6</v>
      </c>
      <c r="D118" s="33">
        <v>21728.0</v>
      </c>
      <c r="E118" s="32">
        <v>-0.53</v>
      </c>
      <c r="F118" s="32" t="s">
        <v>61</v>
      </c>
      <c r="G118" s="34" t="s">
        <v>52</v>
      </c>
      <c r="H118" s="21" t="s">
        <v>198</v>
      </c>
      <c r="I118" s="34" t="s">
        <v>69</v>
      </c>
      <c r="J118" s="21">
        <v>10.0</v>
      </c>
      <c r="K118" s="42">
        <v>414.0</v>
      </c>
      <c r="L118" s="35">
        <v>161.0</v>
      </c>
      <c r="M118" s="35">
        <v>430.0</v>
      </c>
      <c r="N118" s="21">
        <v>396.0</v>
      </c>
      <c r="O118" s="35">
        <v>-4.35</v>
      </c>
      <c r="P118" s="21">
        <v>368.2</v>
      </c>
      <c r="Q118" s="35">
        <v>-11.06</v>
      </c>
      <c r="R118" s="21">
        <v>473.95</v>
      </c>
      <c r="S118" s="35">
        <v>14.48</v>
      </c>
      <c r="T118" s="42">
        <v>39.81</v>
      </c>
      <c r="U118" s="42">
        <v>28.73</v>
      </c>
      <c r="V118" s="42">
        <v>20.94</v>
      </c>
      <c r="W118" s="42">
        <v>5.7</v>
      </c>
      <c r="X118" s="42">
        <v>1777.07</v>
      </c>
      <c r="Y118" s="42">
        <v>10.56</v>
      </c>
      <c r="Z118" s="42">
        <v>16.78</v>
      </c>
      <c r="AA118" s="42">
        <v>9.7</v>
      </c>
      <c r="AB118" s="42">
        <v>3.49</v>
      </c>
      <c r="AC118" s="42">
        <v>6.92</v>
      </c>
      <c r="AD118" s="42">
        <v>14.4</v>
      </c>
      <c r="AE118" s="42">
        <v>1.28</v>
      </c>
      <c r="AF118" s="23">
        <v>1.3768049E7</v>
      </c>
      <c r="AG118" s="23">
        <v>6720980.0</v>
      </c>
      <c r="AH118" s="23">
        <v>1344196.0</v>
      </c>
      <c r="AI118" s="23">
        <v>672099.0</v>
      </c>
      <c r="AJ118" s="23">
        <v>4704688.0</v>
      </c>
      <c r="AK118" s="23">
        <v>4032588.0</v>
      </c>
      <c r="AL118" s="42">
        <v>36.0</v>
      </c>
      <c r="AM118" s="42">
        <v>27.4</v>
      </c>
      <c r="AN118" s="42">
        <v>15.11</v>
      </c>
      <c r="AO118" s="42">
        <v>40.77</v>
      </c>
      <c r="AP118" s="42">
        <v>10.15</v>
      </c>
      <c r="AQ118" s="23">
        <v>48.82</v>
      </c>
      <c r="AR118" s="23">
        <v>9.76</v>
      </c>
      <c r="AS118" s="23">
        <v>4.88</v>
      </c>
      <c r="AT118" s="23">
        <v>34.17</v>
      </c>
      <c r="AU118" s="23">
        <v>29.29</v>
      </c>
      <c r="AV118" s="36"/>
      <c r="AW118" s="36"/>
      <c r="AX118" s="36"/>
      <c r="AY118" s="36"/>
      <c r="AZ118" s="36"/>
      <c r="BA118" s="36"/>
      <c r="BB118" s="36"/>
      <c r="BC118" s="36"/>
      <c r="BD118" s="36"/>
      <c r="BE118" s="36"/>
      <c r="BF118" s="36"/>
      <c r="BG118" s="36"/>
      <c r="BH118" s="36"/>
      <c r="BI118" s="36"/>
      <c r="BJ118" s="36"/>
      <c r="BK118" s="36"/>
      <c r="BL118" s="36"/>
      <c r="BM118" s="36"/>
      <c r="BN118" s="36"/>
      <c r="BO118" s="36"/>
      <c r="BP118" s="36"/>
      <c r="BQ118" s="36"/>
    </row>
    <row r="119">
      <c r="A119" s="31">
        <v>45329.0</v>
      </c>
      <c r="B119" s="31">
        <v>45336.0</v>
      </c>
      <c r="C119" s="32">
        <v>21613.6</v>
      </c>
      <c r="D119" s="33">
        <v>21728.0</v>
      </c>
      <c r="E119" s="32">
        <v>-0.53</v>
      </c>
      <c r="F119" s="32" t="s">
        <v>61</v>
      </c>
      <c r="G119" s="34" t="s">
        <v>52</v>
      </c>
      <c r="H119" s="21" t="s">
        <v>199</v>
      </c>
      <c r="I119" s="34" t="s">
        <v>49</v>
      </c>
      <c r="J119" s="21">
        <v>10.0</v>
      </c>
      <c r="K119" s="43">
        <v>468.0</v>
      </c>
      <c r="L119" s="35">
        <v>1.0</v>
      </c>
      <c r="M119" s="35">
        <v>468.0</v>
      </c>
      <c r="N119" s="21">
        <v>430.25</v>
      </c>
      <c r="O119" s="35">
        <v>-8.07</v>
      </c>
      <c r="P119" s="21">
        <v>435.0</v>
      </c>
      <c r="Q119" s="35">
        <v>-7.05</v>
      </c>
      <c r="R119" s="21">
        <v>304.45</v>
      </c>
      <c r="S119" s="35">
        <v>-34.95</v>
      </c>
      <c r="T119" s="42">
        <v>6.86</v>
      </c>
      <c r="U119" s="42">
        <v>3.63</v>
      </c>
      <c r="V119" s="42">
        <v>5.43</v>
      </c>
      <c r="W119" s="42">
        <v>2.6</v>
      </c>
      <c r="X119" s="42">
        <v>711.76</v>
      </c>
      <c r="Y119" s="42">
        <v>10.56</v>
      </c>
      <c r="Z119" s="42">
        <v>16.45</v>
      </c>
      <c r="AA119" s="42">
        <v>16.62</v>
      </c>
      <c r="AB119" s="42">
        <v>0.95</v>
      </c>
      <c r="AC119" s="42">
        <v>12.9</v>
      </c>
      <c r="AD119" s="42">
        <v>15.33</v>
      </c>
      <c r="AE119" s="42">
        <v>1.81</v>
      </c>
      <c r="AF119" s="23">
        <v>1.1176713E7</v>
      </c>
      <c r="AG119" s="23">
        <v>5588356.0</v>
      </c>
      <c r="AH119" s="23">
        <v>1117671.0</v>
      </c>
      <c r="AI119" s="23">
        <v>558836.0</v>
      </c>
      <c r="AJ119" s="23">
        <v>3911850.0</v>
      </c>
      <c r="AK119" s="23">
        <v>3353013.0</v>
      </c>
      <c r="AL119" s="42">
        <v>32.0</v>
      </c>
      <c r="AM119" s="42">
        <v>26.48</v>
      </c>
      <c r="AN119" s="42">
        <v>17.68</v>
      </c>
      <c r="AO119" s="42">
        <v>24.19</v>
      </c>
      <c r="AP119" s="42">
        <v>19.35</v>
      </c>
      <c r="AQ119" s="23">
        <v>50.0</v>
      </c>
      <c r="AR119" s="23">
        <v>10.0</v>
      </c>
      <c r="AS119" s="23">
        <v>5.0</v>
      </c>
      <c r="AT119" s="23">
        <v>35.0</v>
      </c>
      <c r="AU119" s="23">
        <v>30.0</v>
      </c>
      <c r="AV119" s="36"/>
      <c r="AW119" s="36"/>
      <c r="AX119" s="36"/>
      <c r="AY119" s="36"/>
      <c r="AZ119" s="36"/>
      <c r="BA119" s="36"/>
      <c r="BB119" s="36"/>
      <c r="BC119" s="36"/>
      <c r="BD119" s="36"/>
      <c r="BE119" s="36"/>
      <c r="BF119" s="36"/>
      <c r="BG119" s="36"/>
      <c r="BH119" s="36"/>
      <c r="BI119" s="36"/>
      <c r="BJ119" s="36"/>
      <c r="BK119" s="36"/>
      <c r="BL119" s="36"/>
      <c r="BM119" s="36"/>
      <c r="BN119" s="36"/>
      <c r="BO119" s="36"/>
      <c r="BP119" s="36"/>
      <c r="BQ119" s="36"/>
    </row>
    <row r="120">
      <c r="A120" s="31">
        <v>45329.0</v>
      </c>
      <c r="B120" s="31">
        <v>45336.0</v>
      </c>
      <c r="C120" s="32">
        <v>21613.6</v>
      </c>
      <c r="D120" s="33">
        <v>21728.0</v>
      </c>
      <c r="E120" s="32">
        <v>-0.53</v>
      </c>
      <c r="F120" s="32" t="s">
        <v>61</v>
      </c>
      <c r="G120" s="34" t="s">
        <v>50</v>
      </c>
      <c r="H120" s="21" t="s">
        <v>200</v>
      </c>
      <c r="I120" s="34" t="s">
        <v>49</v>
      </c>
      <c r="J120" s="21">
        <v>5.0</v>
      </c>
      <c r="K120" s="42">
        <v>311.0</v>
      </c>
      <c r="L120" s="35">
        <v>343.0</v>
      </c>
      <c r="M120" s="35">
        <v>345.0</v>
      </c>
      <c r="N120" s="21">
        <v>339.5</v>
      </c>
      <c r="O120" s="35">
        <v>9.16</v>
      </c>
      <c r="P120" s="21">
        <v>321.5</v>
      </c>
      <c r="Q120" s="35">
        <v>3.38</v>
      </c>
      <c r="R120" s="21">
        <v>286.75</v>
      </c>
      <c r="S120" s="35">
        <v>-7.8</v>
      </c>
      <c r="T120" s="42">
        <v>151.45</v>
      </c>
      <c r="U120" s="42">
        <v>74.51</v>
      </c>
      <c r="V120" s="42">
        <v>50.38</v>
      </c>
      <c r="W120" s="42">
        <v>11.01</v>
      </c>
      <c r="X120" s="42">
        <v>772.74</v>
      </c>
      <c r="Y120" s="42">
        <v>3.0</v>
      </c>
      <c r="Z120" s="42">
        <v>19.33</v>
      </c>
      <c r="AA120" s="42">
        <v>14.21</v>
      </c>
      <c r="AB120" s="42">
        <v>1.53</v>
      </c>
      <c r="AC120" s="42">
        <v>1.3</v>
      </c>
      <c r="AD120" s="42">
        <v>17.6</v>
      </c>
      <c r="AE120" s="42">
        <v>1.86</v>
      </c>
      <c r="AF120" s="23">
        <v>1.9292604E7</v>
      </c>
      <c r="AG120" s="23">
        <v>3858521.0</v>
      </c>
      <c r="AH120" s="23">
        <v>1929260.0</v>
      </c>
      <c r="AI120" s="23">
        <v>964631.0</v>
      </c>
      <c r="AJ120" s="23">
        <v>6752412.0</v>
      </c>
      <c r="AK120" s="23">
        <v>5787780.0</v>
      </c>
      <c r="AL120" s="42">
        <v>48.0</v>
      </c>
      <c r="AM120" s="42">
        <v>26.46</v>
      </c>
      <c r="AN120" s="42">
        <v>11.75</v>
      </c>
      <c r="AO120" s="42">
        <v>21.86</v>
      </c>
      <c r="AP120" s="42">
        <v>14.23</v>
      </c>
      <c r="AQ120" s="23">
        <v>20.0</v>
      </c>
      <c r="AR120" s="23">
        <v>10.0</v>
      </c>
      <c r="AS120" s="23">
        <v>5.0</v>
      </c>
      <c r="AT120" s="23">
        <v>35.0</v>
      </c>
      <c r="AU120" s="23">
        <v>30.0</v>
      </c>
      <c r="AV120" s="36"/>
      <c r="AW120" s="36"/>
      <c r="AX120" s="36"/>
      <c r="AY120" s="36"/>
      <c r="AZ120" s="36"/>
      <c r="BA120" s="36"/>
      <c r="BB120" s="36"/>
      <c r="BC120" s="36"/>
      <c r="BD120" s="36"/>
      <c r="BE120" s="36"/>
      <c r="BF120" s="36"/>
      <c r="BG120" s="36"/>
      <c r="BH120" s="36"/>
      <c r="BI120" s="36"/>
      <c r="BJ120" s="36"/>
      <c r="BK120" s="36"/>
      <c r="BL120" s="36"/>
      <c r="BM120" s="36"/>
      <c r="BN120" s="36"/>
      <c r="BO120" s="36"/>
      <c r="BP120" s="36"/>
      <c r="BQ120" s="36"/>
    </row>
    <row r="121">
      <c r="A121" s="31">
        <v>45327.0</v>
      </c>
      <c r="B121" s="31">
        <v>45334.0</v>
      </c>
      <c r="C121" s="32">
        <v>21711.1</v>
      </c>
      <c r="D121" s="33">
        <v>21786.0</v>
      </c>
      <c r="E121" s="32">
        <v>-0.34</v>
      </c>
      <c r="F121" s="32" t="s">
        <v>61</v>
      </c>
      <c r="G121" s="34" t="s">
        <v>55</v>
      </c>
      <c r="H121" s="21" t="s">
        <v>201</v>
      </c>
      <c r="I121" s="34" t="s">
        <v>49</v>
      </c>
      <c r="J121" s="21">
        <v>1.0</v>
      </c>
      <c r="K121" s="42">
        <v>155.0</v>
      </c>
      <c r="L121" s="35">
        <v>384.0</v>
      </c>
      <c r="M121" s="35">
        <v>193.0</v>
      </c>
      <c r="N121" s="21">
        <v>186.0</v>
      </c>
      <c r="O121" s="35">
        <v>20.0</v>
      </c>
      <c r="P121" s="21">
        <v>203.55</v>
      </c>
      <c r="Q121" s="35">
        <v>31.32</v>
      </c>
      <c r="R121" s="21">
        <v>155.05</v>
      </c>
      <c r="S121" s="35">
        <v>0.03</v>
      </c>
      <c r="T121" s="42">
        <v>79.23</v>
      </c>
      <c r="U121" s="42">
        <v>61.55</v>
      </c>
      <c r="V121" s="42">
        <v>42.68</v>
      </c>
      <c r="W121" s="42">
        <v>32.0</v>
      </c>
      <c r="X121" s="42">
        <v>578.71</v>
      </c>
      <c r="Y121" s="42">
        <v>34.0</v>
      </c>
      <c r="Z121" s="42">
        <v>8.66</v>
      </c>
      <c r="AA121" s="42">
        <v>11.0</v>
      </c>
      <c r="AB121" s="42">
        <v>0.99</v>
      </c>
      <c r="AC121" s="42">
        <v>9.56</v>
      </c>
      <c r="AD121" s="42">
        <v>9.03</v>
      </c>
      <c r="AE121" s="42">
        <v>4.87</v>
      </c>
      <c r="AF121" s="23">
        <v>5.9385351E7</v>
      </c>
      <c r="AG121" s="23">
        <v>4.4032258E7</v>
      </c>
      <c r="AH121" s="23">
        <v>5870967.0</v>
      </c>
      <c r="AI121" s="23">
        <v>2935484.0</v>
      </c>
      <c r="AJ121" s="23">
        <v>5870967.0</v>
      </c>
      <c r="AK121" s="23">
        <v>2.6419354E7</v>
      </c>
      <c r="AL121" s="42">
        <v>96.0</v>
      </c>
      <c r="AM121" s="42">
        <v>2.75</v>
      </c>
      <c r="AN121" s="42">
        <v>56.33</v>
      </c>
      <c r="AO121" s="42">
        <v>2.15</v>
      </c>
      <c r="AP121" s="42">
        <v>72.05</v>
      </c>
      <c r="AQ121" s="23">
        <v>74.15</v>
      </c>
      <c r="AR121" s="23">
        <v>9.89</v>
      </c>
      <c r="AS121" s="23">
        <v>4.94</v>
      </c>
      <c r="AT121" s="23">
        <v>9.89</v>
      </c>
      <c r="AU121" s="23">
        <v>44.49</v>
      </c>
      <c r="AV121" s="36"/>
      <c r="AW121" s="36"/>
      <c r="AX121" s="36"/>
      <c r="AY121" s="36"/>
      <c r="AZ121" s="36"/>
      <c r="BA121" s="36"/>
      <c r="BB121" s="36"/>
      <c r="BC121" s="36"/>
      <c r="BD121" s="36"/>
      <c r="BE121" s="36"/>
      <c r="BF121" s="36"/>
      <c r="BG121" s="36"/>
      <c r="BH121" s="36"/>
      <c r="BI121" s="36"/>
      <c r="BJ121" s="36"/>
      <c r="BK121" s="36"/>
      <c r="BL121" s="36"/>
      <c r="BM121" s="36"/>
      <c r="BN121" s="36"/>
      <c r="BO121" s="36"/>
      <c r="BP121" s="36"/>
      <c r="BQ121" s="36"/>
    </row>
    <row r="122">
      <c r="A122" s="31">
        <v>45321.0</v>
      </c>
      <c r="B122" s="31">
        <v>45328.0</v>
      </c>
      <c r="C122" s="32">
        <v>21862.4</v>
      </c>
      <c r="D122" s="33">
        <v>21761.3</v>
      </c>
      <c r="E122" s="32">
        <v>0.46</v>
      </c>
      <c r="F122" s="32" t="s">
        <v>70</v>
      </c>
      <c r="G122" s="34" t="s">
        <v>55</v>
      </c>
      <c r="H122" s="21" t="s">
        <v>202</v>
      </c>
      <c r="I122" s="34" t="s">
        <v>49</v>
      </c>
      <c r="J122" s="21">
        <v>10.0</v>
      </c>
      <c r="K122" s="42">
        <v>135.0</v>
      </c>
      <c r="L122" s="35">
        <v>1555.0</v>
      </c>
      <c r="M122" s="35">
        <v>290.0</v>
      </c>
      <c r="N122" s="21">
        <v>305.0</v>
      </c>
      <c r="O122" s="35">
        <v>125.93</v>
      </c>
      <c r="P122" s="21">
        <v>370.75</v>
      </c>
      <c r="Q122" s="35">
        <v>174.63</v>
      </c>
      <c r="R122" s="21">
        <v>184.47</v>
      </c>
      <c r="S122" s="35">
        <v>36.64</v>
      </c>
      <c r="T122" s="42">
        <v>123.3</v>
      </c>
      <c r="U122" s="42">
        <v>305.27</v>
      </c>
      <c r="V122" s="42">
        <v>289.59</v>
      </c>
      <c r="W122" s="42">
        <v>236.53</v>
      </c>
      <c r="X122" s="42">
        <v>120.37</v>
      </c>
      <c r="Y122" s="42">
        <v>14.7</v>
      </c>
      <c r="Z122" s="42">
        <v>33.33</v>
      </c>
      <c r="AA122" s="42">
        <v>30.62</v>
      </c>
      <c r="AB122" s="42">
        <v>0.05</v>
      </c>
      <c r="AC122" s="42">
        <v>8.36</v>
      </c>
      <c r="AD122" s="42">
        <v>16.46</v>
      </c>
      <c r="AE122" s="42">
        <v>7.2</v>
      </c>
      <c r="AF122" s="23">
        <v>2.303E7</v>
      </c>
      <c r="AG122" s="23">
        <v>1.554525E7</v>
      </c>
      <c r="AH122" s="23">
        <v>2072700.0</v>
      </c>
      <c r="AI122" s="23">
        <v>1036350.0</v>
      </c>
      <c r="AJ122" s="23">
        <v>2072700.0</v>
      </c>
      <c r="AK122" s="23">
        <v>9327096.0</v>
      </c>
      <c r="AL122" s="42">
        <v>108.0</v>
      </c>
      <c r="AM122" s="42">
        <v>3.05</v>
      </c>
      <c r="AN122" s="42">
        <v>44.31</v>
      </c>
      <c r="AO122" s="42">
        <v>2.24</v>
      </c>
      <c r="AP122" s="42">
        <v>60.33</v>
      </c>
      <c r="AQ122" s="23">
        <v>67.5</v>
      </c>
      <c r="AR122" s="23">
        <v>9.0</v>
      </c>
      <c r="AS122" s="23">
        <v>4.5</v>
      </c>
      <c r="AT122" s="23">
        <v>9.0</v>
      </c>
      <c r="AU122" s="23">
        <v>40.5</v>
      </c>
      <c r="AV122" s="36"/>
      <c r="AW122" s="36"/>
      <c r="AX122" s="36"/>
      <c r="AY122" s="36"/>
      <c r="AZ122" s="36"/>
      <c r="BA122" s="36"/>
      <c r="BB122" s="36"/>
      <c r="BC122" s="36"/>
      <c r="BD122" s="36"/>
      <c r="BE122" s="36"/>
      <c r="BF122" s="36"/>
      <c r="BG122" s="36"/>
      <c r="BH122" s="36"/>
      <c r="BI122" s="36"/>
      <c r="BJ122" s="36"/>
      <c r="BK122" s="36"/>
      <c r="BL122" s="36"/>
      <c r="BM122" s="36"/>
      <c r="BN122" s="36"/>
      <c r="BO122" s="36"/>
      <c r="BP122" s="36"/>
      <c r="BQ122" s="36"/>
    </row>
    <row r="123">
      <c r="A123" s="31">
        <v>45314.0</v>
      </c>
      <c r="B123" s="31">
        <v>45322.0</v>
      </c>
      <c r="C123" s="32">
        <v>21540.5</v>
      </c>
      <c r="D123" s="33">
        <v>21530.55</v>
      </c>
      <c r="E123" s="32">
        <v>0.05</v>
      </c>
      <c r="F123" s="32" t="s">
        <v>61</v>
      </c>
      <c r="G123" s="34" t="s">
        <v>73</v>
      </c>
      <c r="H123" s="21" t="s">
        <v>203</v>
      </c>
      <c r="I123" s="34" t="s">
        <v>49</v>
      </c>
      <c r="J123" s="21">
        <v>2.0</v>
      </c>
      <c r="K123" s="42">
        <v>41.0</v>
      </c>
      <c r="L123" s="35">
        <v>134.0</v>
      </c>
      <c r="M123" s="35">
        <v>54.0</v>
      </c>
      <c r="N123" s="21">
        <v>55.0</v>
      </c>
      <c r="O123" s="35">
        <v>34.15</v>
      </c>
      <c r="P123" s="21">
        <v>58.79</v>
      </c>
      <c r="Q123" s="35">
        <v>43.39</v>
      </c>
      <c r="R123" s="21">
        <v>54.63</v>
      </c>
      <c r="S123" s="35">
        <v>33.24</v>
      </c>
      <c r="T123" s="42">
        <v>81.13</v>
      </c>
      <c r="U123" s="42">
        <v>231.4</v>
      </c>
      <c r="V123" s="42">
        <v>236.27</v>
      </c>
      <c r="W123" s="42">
        <v>80.2</v>
      </c>
      <c r="X123" s="42">
        <v>74.23</v>
      </c>
      <c r="Y123" s="42">
        <v>18.4</v>
      </c>
      <c r="Z123" s="42">
        <v>38.27</v>
      </c>
      <c r="AA123" s="42">
        <v>27.25</v>
      </c>
      <c r="AB123" s="42">
        <v>1.11</v>
      </c>
      <c r="AC123" s="42">
        <v>9.75</v>
      </c>
      <c r="AD123" s="42">
        <v>32.08</v>
      </c>
      <c r="AE123" s="42">
        <v>4.06</v>
      </c>
      <c r="AF123" s="23">
        <v>3.5075693E7</v>
      </c>
      <c r="AG123" s="23">
        <v>1.7537846E7</v>
      </c>
      <c r="AH123" s="23">
        <v>3507569.0</v>
      </c>
      <c r="AI123" s="23">
        <v>1753785.0</v>
      </c>
      <c r="AJ123" s="23">
        <v>1.2276493E7</v>
      </c>
      <c r="AK123" s="23">
        <v>1.052222E7</v>
      </c>
      <c r="AL123" s="42">
        <v>365.0</v>
      </c>
      <c r="AM123" s="42">
        <v>3.14</v>
      </c>
      <c r="AN123" s="42">
        <v>13.05</v>
      </c>
      <c r="AO123" s="42">
        <v>2.24</v>
      </c>
      <c r="AP123" s="42">
        <v>18.27</v>
      </c>
      <c r="AQ123" s="23">
        <v>50.0</v>
      </c>
      <c r="AR123" s="23">
        <v>10.0</v>
      </c>
      <c r="AS123" s="23">
        <v>5.0</v>
      </c>
      <c r="AT123" s="23">
        <v>35.0</v>
      </c>
      <c r="AU123" s="23">
        <v>30.0</v>
      </c>
      <c r="AV123" s="36"/>
      <c r="AW123" s="36"/>
      <c r="AX123" s="36"/>
      <c r="AY123" s="36"/>
      <c r="AZ123" s="36"/>
      <c r="BA123" s="36"/>
      <c r="BB123" s="36"/>
      <c r="BC123" s="36"/>
      <c r="BD123" s="36"/>
      <c r="BE123" s="36"/>
      <c r="BF123" s="36"/>
      <c r="BG123" s="36"/>
      <c r="BH123" s="36"/>
      <c r="BI123" s="36"/>
      <c r="BJ123" s="36"/>
      <c r="BK123" s="36"/>
      <c r="BL123" s="36"/>
      <c r="BM123" s="36"/>
      <c r="BN123" s="36"/>
      <c r="BO123" s="36"/>
      <c r="BP123" s="36"/>
      <c r="BQ123" s="36"/>
    </row>
    <row r="124">
      <c r="A124" s="31">
        <v>45310.0</v>
      </c>
      <c r="B124" s="31">
        <v>45321.0</v>
      </c>
      <c r="C124" s="32">
        <v>21745.8</v>
      </c>
      <c r="D124" s="33">
        <v>21744.8</v>
      </c>
      <c r="E124" s="32">
        <v>0.0</v>
      </c>
      <c r="F124" s="32" t="s">
        <v>61</v>
      </c>
      <c r="G124" s="34" t="s">
        <v>71</v>
      </c>
      <c r="H124" s="21" t="s">
        <v>204</v>
      </c>
      <c r="I124" s="34" t="s">
        <v>49</v>
      </c>
      <c r="J124" s="21">
        <v>10.0</v>
      </c>
      <c r="K124" s="42">
        <v>230.0</v>
      </c>
      <c r="L124" s="35">
        <v>51.0</v>
      </c>
      <c r="M124" s="35">
        <v>235.0</v>
      </c>
      <c r="N124" s="21">
        <v>221.0</v>
      </c>
      <c r="O124" s="35">
        <v>-3.91</v>
      </c>
      <c r="P124" s="21">
        <v>207.7</v>
      </c>
      <c r="Q124" s="35">
        <v>-9.7</v>
      </c>
      <c r="R124" s="21">
        <v>390.9</v>
      </c>
      <c r="S124" s="35">
        <v>69.96</v>
      </c>
      <c r="T124" s="42">
        <v>25.59</v>
      </c>
      <c r="U124" s="42">
        <v>31.6</v>
      </c>
      <c r="V124" s="42">
        <v>21.74</v>
      </c>
      <c r="W124" s="42">
        <v>6.5</v>
      </c>
      <c r="X124" s="42">
        <v>313.62</v>
      </c>
      <c r="Y124" s="42">
        <v>6.66</v>
      </c>
      <c r="Z124" s="42">
        <v>14.68</v>
      </c>
      <c r="AA124" s="42">
        <v>11.85</v>
      </c>
      <c r="AB124" s="42">
        <v>1.58</v>
      </c>
      <c r="AC124" s="42">
        <v>2.08</v>
      </c>
      <c r="AD124" s="42">
        <v>14.68</v>
      </c>
      <c r="AE124" s="42">
        <v>4.98</v>
      </c>
      <c r="AF124" s="23">
        <v>2.7828351E7</v>
      </c>
      <c r="AG124" s="23">
        <v>1.3914175E7</v>
      </c>
      <c r="AH124" s="23">
        <v>2782835.0</v>
      </c>
      <c r="AI124" s="23">
        <v>1391418.0</v>
      </c>
      <c r="AJ124" s="23">
        <v>9739923.0</v>
      </c>
      <c r="AK124" s="23">
        <v>8348504.0</v>
      </c>
      <c r="AL124" s="42">
        <v>65.0</v>
      </c>
      <c r="AM124" s="42">
        <v>4.08</v>
      </c>
      <c r="AN124" s="42">
        <v>56.4</v>
      </c>
      <c r="AO124" s="42">
        <v>0.55</v>
      </c>
      <c r="AP124" s="42">
        <v>415.1</v>
      </c>
      <c r="AQ124" s="23">
        <v>50.0</v>
      </c>
      <c r="AR124" s="23">
        <v>10.0</v>
      </c>
      <c r="AS124" s="23">
        <v>5.0</v>
      </c>
      <c r="AT124" s="23">
        <v>35.0</v>
      </c>
      <c r="AU124" s="23">
        <v>30.0</v>
      </c>
      <c r="AV124" s="36"/>
      <c r="AW124" s="36"/>
      <c r="AX124" s="36"/>
      <c r="AY124" s="36"/>
      <c r="AZ124" s="36"/>
      <c r="BA124" s="36"/>
      <c r="BB124" s="36"/>
      <c r="BC124" s="36"/>
      <c r="BD124" s="36"/>
      <c r="BE124" s="36"/>
      <c r="BF124" s="36"/>
      <c r="BG124" s="36"/>
      <c r="BH124" s="36"/>
      <c r="BI124" s="36"/>
      <c r="BJ124" s="36"/>
      <c r="BK124" s="36"/>
      <c r="BL124" s="36"/>
      <c r="BM124" s="36"/>
      <c r="BN124" s="36"/>
      <c r="BO124" s="36"/>
      <c r="BP124" s="36"/>
      <c r="BQ124" s="36"/>
    </row>
    <row r="125">
      <c r="A125" s="31">
        <v>45306.0</v>
      </c>
      <c r="B125" s="31">
        <v>45314.0</v>
      </c>
      <c r="C125" s="32">
        <v>21661.4</v>
      </c>
      <c r="D125" s="33">
        <v>21586.95</v>
      </c>
      <c r="E125" s="32">
        <v>0.34</v>
      </c>
      <c r="F125" s="32" t="s">
        <v>61</v>
      </c>
      <c r="G125" s="34" t="s">
        <v>52</v>
      </c>
      <c r="H125" s="21" t="s">
        <v>205</v>
      </c>
      <c r="I125" s="34" t="s">
        <v>49</v>
      </c>
      <c r="J125" s="21">
        <v>5.0</v>
      </c>
      <c r="K125" s="42">
        <v>418.0</v>
      </c>
      <c r="L125" s="35">
        <v>342.0</v>
      </c>
      <c r="M125" s="35">
        <v>452.0</v>
      </c>
      <c r="N125" s="21">
        <v>460.0</v>
      </c>
      <c r="O125" s="35">
        <v>10.05</v>
      </c>
      <c r="P125" s="21">
        <v>464.25</v>
      </c>
      <c r="Q125" s="35">
        <v>11.06</v>
      </c>
      <c r="R125" s="21">
        <v>532.7</v>
      </c>
      <c r="S125" s="35">
        <v>27.44</v>
      </c>
      <c r="T125" s="42">
        <v>40.14</v>
      </c>
      <c r="U125" s="42">
        <v>17.22</v>
      </c>
      <c r="V125" s="42">
        <v>10.12</v>
      </c>
      <c r="W125" s="42">
        <v>3.19</v>
      </c>
      <c r="X125" s="42">
        <v>416.64</v>
      </c>
      <c r="Y125" s="42">
        <v>23.64</v>
      </c>
      <c r="Z125" s="42">
        <v>19.63</v>
      </c>
      <c r="AA125" s="42">
        <v>24.95</v>
      </c>
      <c r="AB125" s="42">
        <v>0.0</v>
      </c>
      <c r="AC125" s="42">
        <v>14.56</v>
      </c>
      <c r="AD125" s="42">
        <v>19.63</v>
      </c>
      <c r="AE125" s="42">
        <v>0.0</v>
      </c>
      <c r="AF125" s="23">
        <v>2.8028168E7</v>
      </c>
      <c r="AG125" s="23">
        <v>1.4014083E7</v>
      </c>
      <c r="AH125" s="23">
        <v>2802817.0</v>
      </c>
      <c r="AI125" s="23">
        <v>1401409.0</v>
      </c>
      <c r="AJ125" s="23">
        <v>9809859.0</v>
      </c>
      <c r="AK125" s="23">
        <v>8408449.0</v>
      </c>
      <c r="AL125" s="42">
        <v>35.0</v>
      </c>
      <c r="AM125" s="42">
        <v>10.94</v>
      </c>
      <c r="AN125" s="42">
        <v>38.22</v>
      </c>
      <c r="AO125" s="42">
        <v>13.15</v>
      </c>
      <c r="AP125" s="42">
        <v>31.8</v>
      </c>
      <c r="AQ125" s="23">
        <v>50.0</v>
      </c>
      <c r="AR125" s="23">
        <v>10.0</v>
      </c>
      <c r="AS125" s="23">
        <v>5.0</v>
      </c>
      <c r="AT125" s="23">
        <v>35.0</v>
      </c>
      <c r="AU125" s="23">
        <v>30.0</v>
      </c>
      <c r="AV125" s="36"/>
      <c r="AW125" s="36"/>
      <c r="AX125" s="36"/>
      <c r="AY125" s="36"/>
      <c r="AZ125" s="36"/>
      <c r="BA125" s="36"/>
      <c r="BB125" s="36"/>
      <c r="BC125" s="36"/>
      <c r="BD125" s="36"/>
      <c r="BE125" s="36"/>
      <c r="BF125" s="36"/>
      <c r="BG125" s="36"/>
      <c r="BH125" s="36"/>
      <c r="BI125" s="36"/>
      <c r="BJ125" s="36"/>
      <c r="BK125" s="36"/>
      <c r="BL125" s="36"/>
      <c r="BM125" s="36"/>
      <c r="BN125" s="36"/>
      <c r="BO125" s="36"/>
      <c r="BP125" s="36"/>
      <c r="BQ125" s="36"/>
    </row>
    <row r="126">
      <c r="A126" s="31">
        <v>45300.0</v>
      </c>
      <c r="B126" s="31">
        <v>45307.0</v>
      </c>
      <c r="C126" s="32">
        <v>22074.65</v>
      </c>
      <c r="D126" s="33">
        <v>22109.8</v>
      </c>
      <c r="E126" s="32">
        <v>-0.16</v>
      </c>
      <c r="F126" s="32" t="s">
        <v>70</v>
      </c>
      <c r="G126" s="34" t="s">
        <v>47</v>
      </c>
      <c r="H126" s="21" t="s">
        <v>206</v>
      </c>
      <c r="I126" s="34" t="s">
        <v>69</v>
      </c>
      <c r="J126" s="21">
        <v>2.0</v>
      </c>
      <c r="K126" s="42">
        <v>331.0</v>
      </c>
      <c r="L126" s="35">
        <v>383.0</v>
      </c>
      <c r="M126" s="35">
        <v>369.0</v>
      </c>
      <c r="N126" s="21">
        <v>370.0</v>
      </c>
      <c r="O126" s="35">
        <v>11.78</v>
      </c>
      <c r="P126" s="21">
        <v>434.2</v>
      </c>
      <c r="Q126" s="35">
        <v>31.18</v>
      </c>
      <c r="R126" s="21">
        <v>1020.0</v>
      </c>
      <c r="S126" s="35">
        <v>208.16</v>
      </c>
      <c r="T126" s="42">
        <v>46.37</v>
      </c>
      <c r="U126" s="42">
        <v>42.77</v>
      </c>
      <c r="V126" s="42">
        <v>29.47</v>
      </c>
      <c r="W126" s="42">
        <v>27.5</v>
      </c>
      <c r="X126" s="42">
        <v>205.63</v>
      </c>
      <c r="Y126" s="42">
        <v>10.48</v>
      </c>
      <c r="Z126" s="42">
        <v>18.35</v>
      </c>
      <c r="AA126" s="42">
        <v>9.5</v>
      </c>
      <c r="AB126" s="42">
        <v>10.17</v>
      </c>
      <c r="AC126" s="42">
        <v>1.58</v>
      </c>
      <c r="AD126" s="42">
        <v>18.35</v>
      </c>
      <c r="AE126" s="42">
        <v>59.43</v>
      </c>
      <c r="AF126" s="23">
        <v>3.0218649E7</v>
      </c>
      <c r="AG126" s="23">
        <v>2.2545317E7</v>
      </c>
      <c r="AH126" s="23">
        <v>3006042.0</v>
      </c>
      <c r="AI126" s="23">
        <v>1503021.0</v>
      </c>
      <c r="AJ126" s="23">
        <v>3006042.0</v>
      </c>
      <c r="AK126" s="23">
        <v>1.352719E7</v>
      </c>
      <c r="AL126" s="42">
        <v>45.0</v>
      </c>
      <c r="AM126" s="42">
        <v>0.76</v>
      </c>
      <c r="AN126" s="42">
        <v>433.43</v>
      </c>
      <c r="AO126" s="42">
        <v>0.29</v>
      </c>
      <c r="AP126" s="42">
        <v>1122.83</v>
      </c>
      <c r="AQ126" s="23">
        <v>74.61</v>
      </c>
      <c r="AR126" s="23">
        <v>9.95</v>
      </c>
      <c r="AS126" s="23">
        <v>4.97</v>
      </c>
      <c r="AT126" s="23">
        <v>9.95</v>
      </c>
      <c r="AU126" s="23">
        <v>44.76</v>
      </c>
      <c r="AV126" s="36"/>
      <c r="AW126" s="36"/>
      <c r="AX126" s="36"/>
      <c r="AY126" s="36"/>
      <c r="AZ126" s="36"/>
      <c r="BA126" s="36"/>
      <c r="BB126" s="36"/>
      <c r="BC126" s="36"/>
      <c r="BD126" s="36"/>
      <c r="BE126" s="36"/>
      <c r="BF126" s="36"/>
      <c r="BG126" s="36"/>
      <c r="BH126" s="36"/>
      <c r="BI126" s="36"/>
      <c r="BJ126" s="36"/>
      <c r="BK126" s="36"/>
      <c r="BL126" s="36"/>
      <c r="BM126" s="36"/>
      <c r="BN126" s="36"/>
      <c r="BO126" s="36"/>
      <c r="BP126" s="36"/>
      <c r="BQ126" s="36"/>
    </row>
    <row r="127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45"/>
      <c r="AN127" s="45"/>
      <c r="AO127" s="45"/>
      <c r="AP127" s="45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  <c r="BC127" s="36"/>
      <c r="BD127" s="36"/>
      <c r="BE127" s="36"/>
      <c r="BF127" s="36"/>
      <c r="BG127" s="36"/>
      <c r="BH127" s="36"/>
      <c r="BI127" s="36"/>
      <c r="BJ127" s="36"/>
      <c r="BK127" s="36"/>
      <c r="BL127" s="36"/>
      <c r="BM127" s="36"/>
      <c r="BN127" s="36"/>
      <c r="BO127" s="36"/>
      <c r="BP127" s="36"/>
      <c r="BQ127" s="36"/>
    </row>
    <row r="128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  <c r="AL128" s="45"/>
      <c r="AM128" s="45"/>
      <c r="AN128" s="45"/>
      <c r="AO128" s="45"/>
      <c r="AP128" s="45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  <c r="BA128" s="36"/>
      <c r="BB128" s="36"/>
      <c r="BC128" s="36"/>
      <c r="BD128" s="36"/>
      <c r="BE128" s="36"/>
      <c r="BF128" s="36"/>
      <c r="BG128" s="36"/>
      <c r="BH128" s="36"/>
      <c r="BI128" s="36"/>
      <c r="BJ128" s="36"/>
      <c r="BK128" s="36"/>
      <c r="BL128" s="36"/>
      <c r="BM128" s="36"/>
      <c r="BN128" s="36"/>
      <c r="BO128" s="36"/>
      <c r="BP128" s="36"/>
      <c r="BQ128" s="36"/>
    </row>
    <row r="129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  <c r="AL129" s="45"/>
      <c r="AM129" s="45"/>
      <c r="AN129" s="45"/>
      <c r="AO129" s="45"/>
      <c r="AP129" s="45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  <c r="BB129" s="36"/>
      <c r="BC129" s="36"/>
      <c r="BD129" s="36"/>
      <c r="BE129" s="36"/>
      <c r="BF129" s="36"/>
      <c r="BG129" s="36"/>
      <c r="BH129" s="36"/>
      <c r="BI129" s="36"/>
      <c r="BJ129" s="36"/>
      <c r="BK129" s="36"/>
      <c r="BL129" s="36"/>
      <c r="BM129" s="36"/>
      <c r="BN129" s="36"/>
      <c r="BO129" s="36"/>
      <c r="BP129" s="36"/>
      <c r="BQ129" s="36"/>
    </row>
    <row r="130">
      <c r="A130" s="46"/>
      <c r="B130" s="46"/>
      <c r="C130" s="46"/>
      <c r="D130" s="46"/>
      <c r="E130" s="46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45"/>
      <c r="AM130" s="45"/>
      <c r="AN130" s="45"/>
      <c r="AO130" s="45"/>
      <c r="AP130" s="45"/>
      <c r="AQ130" s="36"/>
      <c r="AR130" s="36"/>
      <c r="AS130" s="36"/>
      <c r="AT130" s="36"/>
      <c r="AU130" s="36"/>
      <c r="AV130" s="36"/>
      <c r="AW130" s="36"/>
      <c r="AX130" s="36"/>
      <c r="AY130" s="36"/>
      <c r="AZ130" s="36"/>
      <c r="BA130" s="36"/>
      <c r="BB130" s="36"/>
      <c r="BC130" s="36"/>
      <c r="BD130" s="36"/>
      <c r="BE130" s="36"/>
      <c r="BF130" s="36"/>
      <c r="BG130" s="36"/>
      <c r="BH130" s="36"/>
      <c r="BI130" s="36"/>
      <c r="BJ130" s="36"/>
      <c r="BK130" s="36"/>
      <c r="BL130" s="36"/>
      <c r="BM130" s="36"/>
      <c r="BN130" s="36"/>
      <c r="BO130" s="36"/>
      <c r="BP130" s="36"/>
      <c r="BQ130" s="36"/>
    </row>
    <row r="131">
      <c r="A131" s="46"/>
      <c r="B131" s="46"/>
      <c r="C131" s="46"/>
      <c r="D131" s="46"/>
      <c r="E131" s="46"/>
      <c r="F131" s="31"/>
      <c r="G131" s="46"/>
      <c r="H131" s="46"/>
      <c r="I131" s="46"/>
      <c r="J131" s="46"/>
      <c r="K131" s="47"/>
      <c r="L131" s="48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45"/>
      <c r="AN131" s="45"/>
      <c r="AO131" s="45"/>
      <c r="AP131" s="45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  <c r="BC131" s="36"/>
      <c r="BD131" s="36"/>
      <c r="BE131" s="36"/>
      <c r="BF131" s="36"/>
      <c r="BG131" s="36"/>
      <c r="BH131" s="36"/>
      <c r="BI131" s="36"/>
      <c r="BJ131" s="36"/>
      <c r="BK131" s="36"/>
      <c r="BL131" s="36"/>
      <c r="BM131" s="36"/>
      <c r="BN131" s="36"/>
      <c r="BO131" s="36"/>
      <c r="BP131" s="36"/>
      <c r="BQ131" s="36"/>
    </row>
    <row r="132">
      <c r="A132" s="45"/>
      <c r="B132" s="45"/>
      <c r="C132" s="45"/>
      <c r="D132" s="45"/>
      <c r="E132" s="45"/>
      <c r="F132" s="45"/>
      <c r="G132" s="46"/>
      <c r="H132" s="46"/>
      <c r="I132" s="46"/>
      <c r="J132" s="46"/>
      <c r="K132" s="46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  <c r="AL132" s="45"/>
      <c r="AM132" s="45"/>
      <c r="AN132" s="45"/>
      <c r="AO132" s="45"/>
      <c r="AP132" s="45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  <c r="BB132" s="36"/>
      <c r="BC132" s="36"/>
      <c r="BD132" s="36"/>
      <c r="BE132" s="36"/>
      <c r="BF132" s="36"/>
      <c r="BG132" s="36"/>
      <c r="BH132" s="36"/>
      <c r="BI132" s="36"/>
      <c r="BJ132" s="36"/>
      <c r="BK132" s="36"/>
      <c r="BL132" s="36"/>
      <c r="BM132" s="36"/>
      <c r="BN132" s="36"/>
      <c r="BO132" s="36"/>
      <c r="BP132" s="36"/>
      <c r="BQ132" s="36"/>
    </row>
    <row r="133">
      <c r="A133" s="45"/>
      <c r="B133" s="45"/>
      <c r="C133" s="45"/>
      <c r="D133" s="45"/>
      <c r="E133" s="45"/>
      <c r="F133" s="45"/>
      <c r="G133" s="46"/>
      <c r="H133" s="46"/>
      <c r="I133" s="46"/>
      <c r="J133" s="46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  <c r="AM133" s="45"/>
      <c r="AN133" s="45"/>
      <c r="AO133" s="45"/>
      <c r="AP133" s="45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36"/>
      <c r="BC133" s="36"/>
      <c r="BD133" s="36"/>
      <c r="BE133" s="36"/>
      <c r="BF133" s="36"/>
      <c r="BG133" s="36"/>
      <c r="BH133" s="36"/>
      <c r="BI133" s="36"/>
      <c r="BJ133" s="36"/>
      <c r="BK133" s="36"/>
      <c r="BL133" s="36"/>
      <c r="BM133" s="36"/>
      <c r="BN133" s="36"/>
      <c r="BO133" s="36"/>
      <c r="BP133" s="36"/>
      <c r="BQ133" s="36"/>
    </row>
    <row r="134">
      <c r="A134" s="45"/>
      <c r="B134" s="45"/>
      <c r="C134" s="45"/>
      <c r="D134" s="45"/>
      <c r="E134" s="45"/>
      <c r="F134" s="45"/>
      <c r="G134" s="46"/>
      <c r="H134" s="46"/>
      <c r="I134" s="46"/>
      <c r="J134" s="46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  <c r="AL134" s="45"/>
      <c r="AM134" s="45"/>
      <c r="AN134" s="45"/>
      <c r="AO134" s="45"/>
      <c r="AP134" s="45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  <c r="BB134" s="36"/>
      <c r="BC134" s="36"/>
      <c r="BD134" s="36"/>
      <c r="BE134" s="36"/>
      <c r="BF134" s="36"/>
      <c r="BG134" s="36"/>
      <c r="BH134" s="36"/>
      <c r="BI134" s="36"/>
      <c r="BJ134" s="36"/>
      <c r="BK134" s="36"/>
      <c r="BL134" s="36"/>
      <c r="BM134" s="36"/>
      <c r="BN134" s="36"/>
      <c r="BO134" s="36"/>
      <c r="BP134" s="36"/>
      <c r="BQ134" s="36"/>
    </row>
    <row r="135">
      <c r="A135" s="45"/>
      <c r="B135" s="45"/>
      <c r="C135" s="45"/>
      <c r="D135" s="45"/>
      <c r="E135" s="45"/>
      <c r="F135" s="45"/>
      <c r="G135" s="46"/>
      <c r="H135" s="46"/>
      <c r="I135" s="46"/>
      <c r="J135" s="46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45"/>
      <c r="AM135" s="45"/>
      <c r="AN135" s="45"/>
      <c r="AO135" s="45"/>
      <c r="AP135" s="45"/>
      <c r="AQ135" s="36"/>
      <c r="AR135" s="36"/>
      <c r="AS135" s="36"/>
      <c r="AT135" s="36"/>
      <c r="AU135" s="36"/>
      <c r="AV135" s="36"/>
      <c r="AW135" s="36"/>
      <c r="AX135" s="36"/>
      <c r="AY135" s="36"/>
      <c r="AZ135" s="36"/>
      <c r="BA135" s="36"/>
      <c r="BB135" s="36"/>
      <c r="BC135" s="36"/>
      <c r="BD135" s="36"/>
      <c r="BE135" s="36"/>
      <c r="BF135" s="36"/>
      <c r="BG135" s="36"/>
      <c r="BH135" s="36"/>
      <c r="BI135" s="36"/>
      <c r="BJ135" s="36"/>
      <c r="BK135" s="36"/>
      <c r="BL135" s="36"/>
      <c r="BM135" s="36"/>
      <c r="BN135" s="36"/>
      <c r="BO135" s="36"/>
      <c r="BP135" s="36"/>
      <c r="BQ135" s="36"/>
    </row>
    <row r="136">
      <c r="A136" s="45"/>
      <c r="B136" s="45"/>
      <c r="C136" s="45"/>
      <c r="D136" s="45"/>
      <c r="E136" s="45"/>
      <c r="F136" s="45"/>
      <c r="G136" s="46"/>
      <c r="H136" s="46"/>
      <c r="I136" s="46"/>
      <c r="J136" s="46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45"/>
      <c r="AN136" s="45"/>
      <c r="AO136" s="45"/>
      <c r="AP136" s="45"/>
      <c r="AQ136" s="36"/>
      <c r="AR136" s="36"/>
      <c r="AS136" s="36"/>
      <c r="AT136" s="36"/>
      <c r="AU136" s="36"/>
      <c r="AV136" s="36"/>
      <c r="AW136" s="36"/>
      <c r="AX136" s="36"/>
      <c r="AY136" s="36"/>
      <c r="AZ136" s="36"/>
      <c r="BA136" s="36"/>
      <c r="BB136" s="36"/>
      <c r="BC136" s="36"/>
      <c r="BD136" s="36"/>
      <c r="BE136" s="36"/>
      <c r="BF136" s="36"/>
      <c r="BG136" s="36"/>
      <c r="BH136" s="36"/>
      <c r="BI136" s="36"/>
      <c r="BJ136" s="36"/>
      <c r="BK136" s="36"/>
      <c r="BL136" s="36"/>
      <c r="BM136" s="36"/>
      <c r="BN136" s="36"/>
      <c r="BO136" s="36"/>
      <c r="BP136" s="36"/>
      <c r="BQ136" s="36"/>
    </row>
    <row r="137">
      <c r="A137" s="45"/>
      <c r="B137" s="45"/>
      <c r="C137" s="45"/>
      <c r="D137" s="45"/>
      <c r="E137" s="45"/>
      <c r="F137" s="45"/>
      <c r="G137" s="46"/>
      <c r="H137" s="46"/>
      <c r="I137" s="46"/>
      <c r="J137" s="46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  <c r="AM137" s="45"/>
      <c r="AN137" s="45"/>
      <c r="AO137" s="45"/>
      <c r="AP137" s="45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  <c r="BC137" s="36"/>
      <c r="BD137" s="36"/>
      <c r="BE137" s="36"/>
      <c r="BF137" s="36"/>
      <c r="BG137" s="36"/>
      <c r="BH137" s="36"/>
      <c r="BI137" s="36"/>
      <c r="BJ137" s="36"/>
      <c r="BK137" s="36"/>
      <c r="BL137" s="36"/>
      <c r="BM137" s="36"/>
      <c r="BN137" s="36"/>
      <c r="BO137" s="36"/>
      <c r="BP137" s="36"/>
      <c r="BQ137" s="36"/>
    </row>
    <row r="138">
      <c r="A138" s="45"/>
      <c r="B138" s="45"/>
      <c r="C138" s="45"/>
      <c r="D138" s="45"/>
      <c r="E138" s="45"/>
      <c r="F138" s="45"/>
      <c r="G138" s="46"/>
      <c r="H138" s="46"/>
      <c r="I138" s="46"/>
      <c r="J138" s="46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  <c r="AM138" s="45"/>
      <c r="AN138" s="45"/>
      <c r="AO138" s="45"/>
      <c r="AP138" s="45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  <c r="BC138" s="36"/>
      <c r="BD138" s="36"/>
      <c r="BE138" s="36"/>
      <c r="BF138" s="36"/>
      <c r="BG138" s="36"/>
      <c r="BH138" s="36"/>
      <c r="BI138" s="36"/>
      <c r="BJ138" s="36"/>
      <c r="BK138" s="36"/>
      <c r="BL138" s="36"/>
      <c r="BM138" s="36"/>
      <c r="BN138" s="36"/>
      <c r="BO138" s="36"/>
      <c r="BP138" s="36"/>
      <c r="BQ138" s="36"/>
    </row>
    <row r="139">
      <c r="A139" s="45"/>
      <c r="B139" s="45"/>
      <c r="C139" s="45"/>
      <c r="D139" s="45"/>
      <c r="E139" s="45"/>
      <c r="F139" s="45"/>
      <c r="G139" s="46"/>
      <c r="H139" s="46"/>
      <c r="I139" s="46"/>
      <c r="J139" s="46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5"/>
      <c r="AM139" s="45"/>
      <c r="AN139" s="45"/>
      <c r="AO139" s="45"/>
      <c r="AP139" s="45"/>
      <c r="AQ139" s="36"/>
      <c r="AR139" s="36"/>
      <c r="AS139" s="36"/>
      <c r="AT139" s="36"/>
      <c r="AU139" s="36"/>
      <c r="AV139" s="36"/>
      <c r="AW139" s="36"/>
      <c r="AX139" s="36"/>
      <c r="AY139" s="36"/>
      <c r="AZ139" s="36"/>
      <c r="BA139" s="36"/>
      <c r="BB139" s="36"/>
      <c r="BC139" s="36"/>
      <c r="BD139" s="36"/>
      <c r="BE139" s="36"/>
      <c r="BF139" s="36"/>
      <c r="BG139" s="36"/>
      <c r="BH139" s="36"/>
      <c r="BI139" s="36"/>
      <c r="BJ139" s="36"/>
      <c r="BK139" s="36"/>
      <c r="BL139" s="36"/>
      <c r="BM139" s="36"/>
      <c r="BN139" s="36"/>
      <c r="BO139" s="36"/>
      <c r="BP139" s="36"/>
      <c r="BQ139" s="36"/>
    </row>
    <row r="140">
      <c r="A140" s="45"/>
      <c r="B140" s="45"/>
      <c r="C140" s="45"/>
      <c r="D140" s="45"/>
      <c r="E140" s="45"/>
      <c r="F140" s="45"/>
      <c r="G140" s="46"/>
      <c r="H140" s="46"/>
      <c r="I140" s="46"/>
      <c r="J140" s="46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  <c r="AL140" s="45"/>
      <c r="AM140" s="45"/>
      <c r="AN140" s="45"/>
      <c r="AO140" s="45"/>
      <c r="AP140" s="45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/>
      <c r="BB140" s="36"/>
      <c r="BC140" s="36"/>
      <c r="BD140" s="36"/>
      <c r="BE140" s="36"/>
      <c r="BF140" s="36"/>
      <c r="BG140" s="36"/>
      <c r="BH140" s="36"/>
      <c r="BI140" s="36"/>
      <c r="BJ140" s="36"/>
      <c r="BK140" s="36"/>
      <c r="BL140" s="36"/>
      <c r="BM140" s="36"/>
      <c r="BN140" s="36"/>
      <c r="BO140" s="36"/>
      <c r="BP140" s="36"/>
      <c r="BQ140" s="36"/>
    </row>
    <row r="141">
      <c r="A141" s="45"/>
      <c r="B141" s="45"/>
      <c r="C141" s="45"/>
      <c r="D141" s="45"/>
      <c r="E141" s="45"/>
      <c r="F141" s="45"/>
      <c r="G141" s="46"/>
      <c r="H141" s="46"/>
      <c r="I141" s="46"/>
      <c r="J141" s="46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5"/>
      <c r="AN141" s="45"/>
      <c r="AO141" s="45"/>
      <c r="AP141" s="45"/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36"/>
      <c r="BC141" s="36"/>
      <c r="BD141" s="36"/>
      <c r="BE141" s="36"/>
      <c r="BF141" s="36"/>
      <c r="BG141" s="36"/>
      <c r="BH141" s="36"/>
      <c r="BI141" s="36"/>
      <c r="BJ141" s="36"/>
      <c r="BK141" s="36"/>
      <c r="BL141" s="36"/>
      <c r="BM141" s="36"/>
      <c r="BN141" s="36"/>
      <c r="BO141" s="36"/>
      <c r="BP141" s="36"/>
      <c r="BQ141" s="36"/>
    </row>
    <row r="142">
      <c r="A142" s="45"/>
      <c r="B142" s="45"/>
      <c r="C142" s="45"/>
      <c r="D142" s="45"/>
      <c r="E142" s="45"/>
      <c r="F142" s="45"/>
      <c r="G142" s="46"/>
      <c r="H142" s="46"/>
      <c r="I142" s="46"/>
      <c r="J142" s="46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45"/>
      <c r="AN142" s="45"/>
      <c r="AO142" s="45"/>
      <c r="AP142" s="45"/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/>
      <c r="BB142" s="36"/>
      <c r="BC142" s="36"/>
      <c r="BD142" s="36"/>
      <c r="BE142" s="36"/>
      <c r="BF142" s="36"/>
      <c r="BG142" s="36"/>
      <c r="BH142" s="36"/>
      <c r="BI142" s="36"/>
      <c r="BJ142" s="36"/>
      <c r="BK142" s="36"/>
      <c r="BL142" s="36"/>
      <c r="BM142" s="36"/>
      <c r="BN142" s="36"/>
      <c r="BO142" s="36"/>
      <c r="BP142" s="36"/>
      <c r="BQ142" s="36"/>
    </row>
    <row r="143">
      <c r="A143" s="45"/>
      <c r="B143" s="45"/>
      <c r="C143" s="45"/>
      <c r="D143" s="45"/>
      <c r="E143" s="45"/>
      <c r="F143" s="45"/>
      <c r="G143" s="46"/>
      <c r="H143" s="46"/>
      <c r="I143" s="46"/>
      <c r="J143" s="46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  <c r="AL143" s="45"/>
      <c r="AM143" s="45"/>
      <c r="AN143" s="45"/>
      <c r="AO143" s="45"/>
      <c r="AP143" s="45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  <c r="BC143" s="36"/>
      <c r="BD143" s="36"/>
      <c r="BE143" s="36"/>
      <c r="BF143" s="36"/>
      <c r="BG143" s="36"/>
      <c r="BH143" s="36"/>
      <c r="BI143" s="36"/>
      <c r="BJ143" s="36"/>
      <c r="BK143" s="36"/>
      <c r="BL143" s="36"/>
      <c r="BM143" s="36"/>
      <c r="BN143" s="36"/>
      <c r="BO143" s="36"/>
      <c r="BP143" s="36"/>
      <c r="BQ143" s="36"/>
    </row>
    <row r="144">
      <c r="A144" s="45"/>
      <c r="B144" s="45"/>
      <c r="C144" s="45"/>
      <c r="D144" s="45"/>
      <c r="E144" s="45"/>
      <c r="F144" s="45"/>
      <c r="G144" s="46"/>
      <c r="H144" s="46"/>
      <c r="I144" s="46"/>
      <c r="J144" s="46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36"/>
      <c r="AR144" s="36"/>
      <c r="AS144" s="36"/>
      <c r="AT144" s="36"/>
      <c r="AU144" s="36"/>
      <c r="AV144" s="36"/>
      <c r="AW144" s="36"/>
      <c r="AX144" s="36"/>
      <c r="AY144" s="36"/>
      <c r="AZ144" s="36"/>
      <c r="BA144" s="36"/>
      <c r="BB144" s="36"/>
      <c r="BC144" s="36"/>
      <c r="BD144" s="36"/>
      <c r="BE144" s="36"/>
      <c r="BF144" s="36"/>
      <c r="BG144" s="36"/>
      <c r="BH144" s="36"/>
      <c r="BI144" s="36"/>
      <c r="BJ144" s="36"/>
      <c r="BK144" s="36"/>
      <c r="BL144" s="36"/>
      <c r="BM144" s="36"/>
      <c r="BN144" s="36"/>
      <c r="BO144" s="36"/>
      <c r="BP144" s="36"/>
      <c r="BQ144" s="36"/>
    </row>
    <row r="145">
      <c r="A145" s="45"/>
      <c r="B145" s="45"/>
      <c r="C145" s="45"/>
      <c r="D145" s="45"/>
      <c r="E145" s="45"/>
      <c r="F145" s="45"/>
      <c r="G145" s="46"/>
      <c r="H145" s="46"/>
      <c r="I145" s="46"/>
      <c r="J145" s="46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21"/>
      <c r="AH145" s="21"/>
      <c r="AI145" s="45"/>
      <c r="AJ145" s="45"/>
      <c r="AK145" s="45"/>
      <c r="AL145" s="45"/>
      <c r="AM145" s="45"/>
      <c r="AN145" s="45"/>
      <c r="AO145" s="45"/>
      <c r="AP145" s="45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  <c r="BA145" s="36"/>
      <c r="BB145" s="36"/>
      <c r="BC145" s="36"/>
      <c r="BD145" s="36"/>
      <c r="BE145" s="36"/>
      <c r="BF145" s="36"/>
      <c r="BG145" s="36"/>
      <c r="BH145" s="36"/>
      <c r="BI145" s="36"/>
      <c r="BJ145" s="36"/>
      <c r="BK145" s="36"/>
      <c r="BL145" s="36"/>
      <c r="BM145" s="36"/>
      <c r="BN145" s="36"/>
      <c r="BO145" s="36"/>
      <c r="BP145" s="36"/>
      <c r="BQ145" s="36"/>
    </row>
    <row r="146">
      <c r="A146" s="45"/>
      <c r="B146" s="45"/>
      <c r="C146" s="45"/>
      <c r="D146" s="45"/>
      <c r="E146" s="45"/>
      <c r="F146" s="45"/>
      <c r="G146" s="46"/>
      <c r="H146" s="46"/>
      <c r="I146" s="46"/>
      <c r="J146" s="46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21"/>
      <c r="AH146" s="21"/>
      <c r="AI146" s="45"/>
      <c r="AJ146" s="45"/>
      <c r="AK146" s="45"/>
      <c r="AL146" s="45"/>
      <c r="AM146" s="45"/>
      <c r="AN146" s="45"/>
      <c r="AO146" s="45"/>
      <c r="AP146" s="45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  <c r="BC146" s="36"/>
      <c r="BD146" s="36"/>
      <c r="BE146" s="36"/>
      <c r="BF146" s="36"/>
      <c r="BG146" s="36"/>
      <c r="BH146" s="36"/>
      <c r="BI146" s="36"/>
      <c r="BJ146" s="36"/>
      <c r="BK146" s="36"/>
      <c r="BL146" s="36"/>
      <c r="BM146" s="36"/>
      <c r="BN146" s="36"/>
      <c r="BO146" s="36"/>
      <c r="BP146" s="36"/>
      <c r="BQ146" s="36"/>
    </row>
    <row r="147">
      <c r="A147" s="45"/>
      <c r="B147" s="45"/>
      <c r="C147" s="45"/>
      <c r="D147" s="45"/>
      <c r="E147" s="45"/>
      <c r="F147" s="45"/>
      <c r="G147" s="46"/>
      <c r="H147" s="46"/>
      <c r="I147" s="46"/>
      <c r="J147" s="46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21"/>
      <c r="AH147" s="21"/>
      <c r="AI147" s="45"/>
      <c r="AJ147" s="45"/>
      <c r="AK147" s="45"/>
      <c r="AL147" s="45"/>
      <c r="AM147" s="45"/>
      <c r="AN147" s="45"/>
      <c r="AO147" s="45"/>
      <c r="AP147" s="45"/>
      <c r="AQ147" s="36"/>
      <c r="AR147" s="36"/>
      <c r="AS147" s="36"/>
      <c r="AT147" s="36"/>
      <c r="AU147" s="36"/>
      <c r="AV147" s="36"/>
      <c r="AW147" s="36"/>
      <c r="AX147" s="36"/>
      <c r="AY147" s="36"/>
      <c r="AZ147" s="36"/>
      <c r="BA147" s="36"/>
      <c r="BB147" s="36"/>
      <c r="BC147" s="36"/>
      <c r="BD147" s="36"/>
      <c r="BE147" s="36"/>
      <c r="BF147" s="36"/>
      <c r="BG147" s="36"/>
      <c r="BH147" s="36"/>
      <c r="BI147" s="36"/>
      <c r="BJ147" s="36"/>
      <c r="BK147" s="36"/>
      <c r="BL147" s="36"/>
      <c r="BM147" s="36"/>
      <c r="BN147" s="36"/>
      <c r="BO147" s="36"/>
      <c r="BP147" s="36"/>
      <c r="BQ147" s="36"/>
    </row>
    <row r="148">
      <c r="A148" s="45"/>
      <c r="B148" s="45"/>
      <c r="C148" s="45"/>
      <c r="D148" s="45"/>
      <c r="E148" s="45"/>
      <c r="F148" s="45"/>
      <c r="G148" s="46"/>
      <c r="H148" s="46"/>
      <c r="I148" s="46"/>
      <c r="J148" s="46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21"/>
      <c r="AH148" s="21"/>
      <c r="AI148" s="45"/>
      <c r="AJ148" s="45"/>
      <c r="AK148" s="45"/>
      <c r="AL148" s="45"/>
      <c r="AM148" s="45"/>
      <c r="AN148" s="45"/>
      <c r="AO148" s="45"/>
      <c r="AP148" s="45"/>
      <c r="AQ148" s="36"/>
      <c r="AR148" s="36"/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  <c r="BC148" s="36"/>
      <c r="BD148" s="36"/>
      <c r="BE148" s="36"/>
      <c r="BF148" s="36"/>
      <c r="BG148" s="36"/>
      <c r="BH148" s="36"/>
      <c r="BI148" s="36"/>
      <c r="BJ148" s="36"/>
      <c r="BK148" s="36"/>
      <c r="BL148" s="36"/>
      <c r="BM148" s="36"/>
      <c r="BN148" s="36"/>
      <c r="BO148" s="36"/>
      <c r="BP148" s="36"/>
      <c r="BQ148" s="36"/>
    </row>
    <row r="149">
      <c r="A149" s="45"/>
      <c r="B149" s="45"/>
      <c r="C149" s="45"/>
      <c r="D149" s="45"/>
      <c r="E149" s="45"/>
      <c r="F149" s="45"/>
      <c r="G149" s="46"/>
      <c r="H149" s="46"/>
      <c r="I149" s="46"/>
      <c r="J149" s="46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21"/>
      <c r="AH149" s="21"/>
      <c r="AI149" s="45"/>
      <c r="AJ149" s="45"/>
      <c r="AK149" s="45"/>
      <c r="AL149" s="45"/>
      <c r="AM149" s="45"/>
      <c r="AN149" s="45"/>
      <c r="AO149" s="45"/>
      <c r="AP149" s="45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6"/>
      <c r="BC149" s="36"/>
      <c r="BD149" s="36"/>
      <c r="BE149" s="36"/>
      <c r="BF149" s="36"/>
      <c r="BG149" s="36"/>
      <c r="BH149" s="36"/>
      <c r="BI149" s="36"/>
      <c r="BJ149" s="36"/>
      <c r="BK149" s="36"/>
      <c r="BL149" s="36"/>
      <c r="BM149" s="36"/>
      <c r="BN149" s="36"/>
      <c r="BO149" s="36"/>
      <c r="BP149" s="36"/>
      <c r="BQ149" s="36"/>
    </row>
    <row r="150">
      <c r="A150" s="45"/>
      <c r="B150" s="45"/>
      <c r="C150" s="45"/>
      <c r="D150" s="45"/>
      <c r="E150" s="45"/>
      <c r="F150" s="45"/>
      <c r="G150" s="46"/>
      <c r="H150" s="46"/>
      <c r="I150" s="46"/>
      <c r="J150" s="46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21"/>
      <c r="AH150" s="21"/>
      <c r="AI150" s="45"/>
      <c r="AJ150" s="45"/>
      <c r="AK150" s="45"/>
      <c r="AL150" s="45"/>
      <c r="AM150" s="45"/>
      <c r="AN150" s="45"/>
      <c r="AO150" s="45"/>
      <c r="AP150" s="45"/>
      <c r="AQ150" s="36"/>
      <c r="AR150" s="36"/>
      <c r="AS150" s="36"/>
      <c r="AT150" s="36"/>
      <c r="AU150" s="36"/>
      <c r="AV150" s="36"/>
      <c r="AW150" s="36"/>
      <c r="AX150" s="36"/>
      <c r="AY150" s="36"/>
      <c r="AZ150" s="36"/>
      <c r="BA150" s="36"/>
      <c r="BB150" s="36"/>
      <c r="BC150" s="36"/>
      <c r="BD150" s="36"/>
      <c r="BE150" s="36"/>
      <c r="BF150" s="36"/>
      <c r="BG150" s="36"/>
      <c r="BH150" s="36"/>
      <c r="BI150" s="36"/>
      <c r="BJ150" s="36"/>
      <c r="BK150" s="36"/>
      <c r="BL150" s="36"/>
      <c r="BM150" s="36"/>
      <c r="BN150" s="36"/>
      <c r="BO150" s="36"/>
      <c r="BP150" s="36"/>
      <c r="BQ150" s="36"/>
    </row>
    <row r="151">
      <c r="A151" s="45"/>
      <c r="B151" s="45"/>
      <c r="C151" s="45"/>
      <c r="D151" s="45"/>
      <c r="E151" s="45"/>
      <c r="F151" s="45"/>
      <c r="G151" s="46"/>
      <c r="H151" s="46"/>
      <c r="I151" s="46"/>
      <c r="J151" s="46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21"/>
      <c r="AH151" s="21"/>
      <c r="AI151" s="45"/>
      <c r="AJ151" s="45"/>
      <c r="AK151" s="45"/>
      <c r="AL151" s="45"/>
      <c r="AM151" s="45"/>
      <c r="AN151" s="45"/>
      <c r="AO151" s="45"/>
      <c r="AP151" s="45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  <c r="BC151" s="36"/>
      <c r="BD151" s="36"/>
      <c r="BE151" s="36"/>
      <c r="BF151" s="36"/>
      <c r="BG151" s="36"/>
      <c r="BH151" s="36"/>
      <c r="BI151" s="36"/>
      <c r="BJ151" s="36"/>
      <c r="BK151" s="36"/>
      <c r="BL151" s="36"/>
      <c r="BM151" s="36"/>
      <c r="BN151" s="36"/>
      <c r="BO151" s="36"/>
      <c r="BP151" s="36"/>
      <c r="BQ151" s="36"/>
    </row>
    <row r="152">
      <c r="A152" s="45"/>
      <c r="B152" s="45"/>
      <c r="C152" s="45"/>
      <c r="D152" s="45"/>
      <c r="E152" s="45"/>
      <c r="F152" s="45"/>
      <c r="G152" s="46"/>
      <c r="H152" s="46"/>
      <c r="I152" s="46"/>
      <c r="J152" s="46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21"/>
      <c r="AH152" s="21"/>
      <c r="AI152" s="45"/>
      <c r="AJ152" s="45"/>
      <c r="AK152" s="45"/>
      <c r="AL152" s="45"/>
      <c r="AM152" s="45"/>
      <c r="AN152" s="45"/>
      <c r="AO152" s="45"/>
      <c r="AP152" s="45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  <c r="BC152" s="36"/>
      <c r="BD152" s="36"/>
      <c r="BE152" s="36"/>
      <c r="BF152" s="36"/>
      <c r="BG152" s="36"/>
      <c r="BH152" s="36"/>
      <c r="BI152" s="36"/>
      <c r="BJ152" s="36"/>
      <c r="BK152" s="36"/>
      <c r="BL152" s="36"/>
      <c r="BM152" s="36"/>
      <c r="BN152" s="36"/>
      <c r="BO152" s="36"/>
      <c r="BP152" s="36"/>
      <c r="BQ152" s="36"/>
    </row>
    <row r="153">
      <c r="A153" s="45"/>
      <c r="B153" s="45"/>
      <c r="C153" s="45"/>
      <c r="D153" s="45"/>
      <c r="E153" s="45"/>
      <c r="F153" s="45"/>
      <c r="G153" s="46"/>
      <c r="H153" s="46"/>
      <c r="I153" s="46"/>
      <c r="J153" s="46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21"/>
      <c r="AH153" s="21"/>
      <c r="AI153" s="45"/>
      <c r="AJ153" s="45"/>
      <c r="AK153" s="45"/>
      <c r="AL153" s="45"/>
      <c r="AM153" s="45"/>
      <c r="AN153" s="45"/>
      <c r="AO153" s="45"/>
      <c r="AP153" s="45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  <c r="BC153" s="36"/>
      <c r="BD153" s="36"/>
      <c r="BE153" s="36"/>
      <c r="BF153" s="36"/>
      <c r="BG153" s="36"/>
      <c r="BH153" s="36"/>
      <c r="BI153" s="36"/>
      <c r="BJ153" s="36"/>
      <c r="BK153" s="36"/>
      <c r="BL153" s="36"/>
      <c r="BM153" s="36"/>
      <c r="BN153" s="36"/>
      <c r="BO153" s="36"/>
      <c r="BP153" s="36"/>
      <c r="BQ153" s="36"/>
    </row>
    <row r="154">
      <c r="A154" s="45"/>
      <c r="B154" s="45"/>
      <c r="C154" s="45"/>
      <c r="D154" s="45"/>
      <c r="E154" s="45"/>
      <c r="F154" s="45"/>
      <c r="G154" s="46"/>
      <c r="H154" s="46"/>
      <c r="I154" s="46"/>
      <c r="J154" s="46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21"/>
      <c r="AH154" s="21"/>
      <c r="AI154" s="45"/>
      <c r="AJ154" s="45"/>
      <c r="AK154" s="45"/>
      <c r="AL154" s="45"/>
      <c r="AM154" s="45"/>
      <c r="AN154" s="45"/>
      <c r="AO154" s="45"/>
      <c r="AP154" s="45"/>
      <c r="AQ154" s="36"/>
      <c r="AR154" s="36"/>
      <c r="AS154" s="36"/>
      <c r="AT154" s="36"/>
      <c r="AU154" s="36"/>
      <c r="AV154" s="36"/>
      <c r="AW154" s="36"/>
      <c r="AX154" s="36"/>
      <c r="AY154" s="36"/>
      <c r="AZ154" s="36"/>
      <c r="BA154" s="36"/>
      <c r="BB154" s="36"/>
      <c r="BC154" s="36"/>
      <c r="BD154" s="36"/>
      <c r="BE154" s="36"/>
      <c r="BF154" s="36"/>
      <c r="BG154" s="36"/>
      <c r="BH154" s="36"/>
      <c r="BI154" s="36"/>
      <c r="BJ154" s="36"/>
      <c r="BK154" s="36"/>
      <c r="BL154" s="36"/>
      <c r="BM154" s="36"/>
      <c r="BN154" s="36"/>
      <c r="BO154" s="36"/>
      <c r="BP154" s="36"/>
      <c r="BQ154" s="36"/>
    </row>
    <row r="155">
      <c r="A155" s="45"/>
      <c r="B155" s="45"/>
      <c r="C155" s="45"/>
      <c r="D155" s="45"/>
      <c r="E155" s="45"/>
      <c r="F155" s="45"/>
      <c r="G155" s="46"/>
      <c r="H155" s="46"/>
      <c r="I155" s="46"/>
      <c r="J155" s="46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21"/>
      <c r="AH155" s="21"/>
      <c r="AI155" s="45"/>
      <c r="AJ155" s="45"/>
      <c r="AK155" s="45"/>
      <c r="AL155" s="45"/>
      <c r="AM155" s="45"/>
      <c r="AN155" s="45"/>
      <c r="AO155" s="45"/>
      <c r="AP155" s="45"/>
      <c r="AQ155" s="36"/>
      <c r="AR155" s="36"/>
      <c r="AS155" s="36"/>
      <c r="AT155" s="36"/>
      <c r="AU155" s="36"/>
      <c r="AV155" s="36"/>
      <c r="AW155" s="36"/>
      <c r="AX155" s="36"/>
      <c r="AY155" s="36"/>
      <c r="AZ155" s="36"/>
      <c r="BA155" s="36"/>
      <c r="BB155" s="36"/>
      <c r="BC155" s="36"/>
      <c r="BD155" s="36"/>
      <c r="BE155" s="36"/>
      <c r="BF155" s="36"/>
      <c r="BG155" s="36"/>
      <c r="BH155" s="36"/>
      <c r="BI155" s="36"/>
      <c r="BJ155" s="36"/>
      <c r="BK155" s="36"/>
      <c r="BL155" s="36"/>
      <c r="BM155" s="36"/>
      <c r="BN155" s="36"/>
      <c r="BO155" s="36"/>
      <c r="BP155" s="36"/>
      <c r="BQ155" s="36"/>
    </row>
    <row r="156">
      <c r="A156" s="45"/>
      <c r="B156" s="45"/>
      <c r="C156" s="45"/>
      <c r="D156" s="45"/>
      <c r="E156" s="45"/>
      <c r="F156" s="45"/>
      <c r="G156" s="46"/>
      <c r="H156" s="46"/>
      <c r="I156" s="46"/>
      <c r="J156" s="46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21"/>
      <c r="AH156" s="21"/>
      <c r="AI156" s="45"/>
      <c r="AJ156" s="45"/>
      <c r="AK156" s="45"/>
      <c r="AL156" s="45"/>
      <c r="AM156" s="45"/>
      <c r="AN156" s="45"/>
      <c r="AO156" s="45"/>
      <c r="AP156" s="45"/>
      <c r="AQ156" s="36"/>
      <c r="AR156" s="36"/>
      <c r="AS156" s="36"/>
      <c r="AT156" s="36"/>
      <c r="AU156" s="36"/>
      <c r="AV156" s="36"/>
      <c r="AW156" s="36"/>
      <c r="AX156" s="36"/>
      <c r="AY156" s="36"/>
      <c r="AZ156" s="36"/>
      <c r="BA156" s="36"/>
      <c r="BB156" s="36"/>
      <c r="BC156" s="36"/>
      <c r="BD156" s="36"/>
      <c r="BE156" s="36"/>
      <c r="BF156" s="36"/>
      <c r="BG156" s="36"/>
      <c r="BH156" s="36"/>
      <c r="BI156" s="36"/>
      <c r="BJ156" s="36"/>
      <c r="BK156" s="36"/>
      <c r="BL156" s="36"/>
      <c r="BM156" s="36"/>
      <c r="BN156" s="36"/>
      <c r="BO156" s="36"/>
      <c r="BP156" s="36"/>
      <c r="BQ156" s="36"/>
    </row>
    <row r="157">
      <c r="A157" s="45"/>
      <c r="B157" s="45"/>
      <c r="C157" s="45"/>
      <c r="D157" s="45"/>
      <c r="E157" s="45"/>
      <c r="F157" s="45"/>
      <c r="G157" s="46"/>
      <c r="H157" s="46"/>
      <c r="I157" s="46"/>
      <c r="J157" s="46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21"/>
      <c r="AH157" s="21"/>
      <c r="AI157" s="45"/>
      <c r="AJ157" s="45"/>
      <c r="AK157" s="45"/>
      <c r="AL157" s="45"/>
      <c r="AM157" s="45"/>
      <c r="AN157" s="45"/>
      <c r="AO157" s="45"/>
      <c r="AP157" s="45"/>
      <c r="AQ157" s="36"/>
      <c r="AR157" s="36"/>
      <c r="AS157" s="36"/>
      <c r="AT157" s="36"/>
      <c r="AU157" s="36"/>
      <c r="AV157" s="36"/>
      <c r="AW157" s="36"/>
      <c r="AX157" s="36"/>
      <c r="AY157" s="36"/>
      <c r="AZ157" s="36"/>
      <c r="BA157" s="36"/>
      <c r="BB157" s="36"/>
      <c r="BC157" s="36"/>
      <c r="BD157" s="36"/>
      <c r="BE157" s="36"/>
      <c r="BF157" s="36"/>
      <c r="BG157" s="36"/>
      <c r="BH157" s="36"/>
      <c r="BI157" s="36"/>
      <c r="BJ157" s="36"/>
      <c r="BK157" s="36"/>
      <c r="BL157" s="36"/>
      <c r="BM157" s="36"/>
      <c r="BN157" s="36"/>
      <c r="BO157" s="36"/>
      <c r="BP157" s="36"/>
      <c r="BQ157" s="36"/>
    </row>
    <row r="158">
      <c r="A158" s="45"/>
      <c r="B158" s="45"/>
      <c r="C158" s="45"/>
      <c r="D158" s="45"/>
      <c r="E158" s="45"/>
      <c r="F158" s="45"/>
      <c r="G158" s="46"/>
      <c r="H158" s="46"/>
      <c r="I158" s="46"/>
      <c r="J158" s="46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21"/>
      <c r="AH158" s="21"/>
      <c r="AI158" s="45"/>
      <c r="AJ158" s="45"/>
      <c r="AK158" s="45"/>
      <c r="AL158" s="45"/>
      <c r="AM158" s="45"/>
      <c r="AN158" s="45"/>
      <c r="AO158" s="45"/>
      <c r="AP158" s="45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  <c r="BA158" s="36"/>
      <c r="BB158" s="36"/>
      <c r="BC158" s="36"/>
      <c r="BD158" s="36"/>
      <c r="BE158" s="36"/>
      <c r="BF158" s="36"/>
      <c r="BG158" s="36"/>
      <c r="BH158" s="36"/>
      <c r="BI158" s="36"/>
      <c r="BJ158" s="36"/>
      <c r="BK158" s="36"/>
      <c r="BL158" s="36"/>
      <c r="BM158" s="36"/>
      <c r="BN158" s="36"/>
      <c r="BO158" s="36"/>
      <c r="BP158" s="36"/>
      <c r="BQ158" s="36"/>
    </row>
    <row r="159">
      <c r="A159" s="45"/>
      <c r="B159" s="45"/>
      <c r="C159" s="45"/>
      <c r="D159" s="45"/>
      <c r="E159" s="45"/>
      <c r="F159" s="45"/>
      <c r="G159" s="46"/>
      <c r="H159" s="46"/>
      <c r="I159" s="46"/>
      <c r="J159" s="46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21"/>
      <c r="AH159" s="21"/>
      <c r="AI159" s="45"/>
      <c r="AJ159" s="45"/>
      <c r="AK159" s="45"/>
      <c r="AL159" s="45"/>
      <c r="AM159" s="45"/>
      <c r="AN159" s="45"/>
      <c r="AO159" s="45"/>
      <c r="AP159" s="45"/>
      <c r="AQ159" s="36"/>
      <c r="AR159" s="36"/>
      <c r="AS159" s="36"/>
      <c r="AT159" s="36"/>
      <c r="AU159" s="36"/>
      <c r="AV159" s="36"/>
      <c r="AW159" s="36"/>
      <c r="AX159" s="36"/>
      <c r="AY159" s="36"/>
      <c r="AZ159" s="36"/>
      <c r="BA159" s="36"/>
      <c r="BB159" s="36"/>
      <c r="BC159" s="36"/>
      <c r="BD159" s="36"/>
      <c r="BE159" s="36"/>
      <c r="BF159" s="36"/>
      <c r="BG159" s="36"/>
      <c r="BH159" s="36"/>
      <c r="BI159" s="36"/>
      <c r="BJ159" s="36"/>
      <c r="BK159" s="36"/>
      <c r="BL159" s="36"/>
      <c r="BM159" s="36"/>
      <c r="BN159" s="36"/>
      <c r="BO159" s="36"/>
      <c r="BP159" s="36"/>
      <c r="BQ159" s="36"/>
    </row>
    <row r="160">
      <c r="A160" s="45"/>
      <c r="B160" s="45"/>
      <c r="C160" s="45"/>
      <c r="D160" s="45"/>
      <c r="E160" s="45"/>
      <c r="F160" s="45"/>
      <c r="G160" s="46"/>
      <c r="H160" s="46"/>
      <c r="I160" s="46"/>
      <c r="J160" s="46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21"/>
      <c r="AH160" s="21"/>
      <c r="AI160" s="45"/>
      <c r="AJ160" s="45"/>
      <c r="AK160" s="45"/>
      <c r="AL160" s="45"/>
      <c r="AM160" s="45"/>
      <c r="AN160" s="45"/>
      <c r="AO160" s="45"/>
      <c r="AP160" s="45"/>
      <c r="AQ160" s="36"/>
      <c r="AR160" s="36"/>
      <c r="AS160" s="36"/>
      <c r="AT160" s="36"/>
      <c r="AU160" s="36"/>
      <c r="AV160" s="36"/>
      <c r="AW160" s="36"/>
      <c r="AX160" s="36"/>
      <c r="AY160" s="36"/>
      <c r="AZ160" s="36"/>
      <c r="BA160" s="36"/>
      <c r="BB160" s="36"/>
      <c r="BC160" s="36"/>
      <c r="BD160" s="36"/>
      <c r="BE160" s="36"/>
      <c r="BF160" s="36"/>
      <c r="BG160" s="36"/>
      <c r="BH160" s="36"/>
      <c r="BI160" s="36"/>
      <c r="BJ160" s="36"/>
      <c r="BK160" s="36"/>
      <c r="BL160" s="36"/>
      <c r="BM160" s="36"/>
      <c r="BN160" s="36"/>
      <c r="BO160" s="36"/>
      <c r="BP160" s="36"/>
      <c r="BQ160" s="36"/>
    </row>
    <row r="161">
      <c r="A161" s="45"/>
      <c r="B161" s="45"/>
      <c r="C161" s="45"/>
      <c r="D161" s="45"/>
      <c r="E161" s="45"/>
      <c r="F161" s="45"/>
      <c r="G161" s="46"/>
      <c r="H161" s="46"/>
      <c r="I161" s="46"/>
      <c r="J161" s="46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21"/>
      <c r="AH161" s="21"/>
      <c r="AI161" s="45"/>
      <c r="AJ161" s="45"/>
      <c r="AK161" s="45"/>
      <c r="AL161" s="45"/>
      <c r="AM161" s="45"/>
      <c r="AN161" s="45"/>
      <c r="AO161" s="45"/>
      <c r="AP161" s="45"/>
      <c r="AQ161" s="36"/>
      <c r="AR161" s="36"/>
      <c r="AS161" s="36"/>
      <c r="AT161" s="36"/>
      <c r="AU161" s="36"/>
      <c r="AV161" s="36"/>
      <c r="AW161" s="36"/>
      <c r="AX161" s="36"/>
      <c r="AY161" s="36"/>
      <c r="AZ161" s="36"/>
      <c r="BA161" s="36"/>
      <c r="BB161" s="36"/>
      <c r="BC161" s="36"/>
      <c r="BD161" s="36"/>
      <c r="BE161" s="36"/>
      <c r="BF161" s="36"/>
      <c r="BG161" s="36"/>
      <c r="BH161" s="36"/>
      <c r="BI161" s="36"/>
      <c r="BJ161" s="36"/>
      <c r="BK161" s="36"/>
      <c r="BL161" s="36"/>
      <c r="BM161" s="36"/>
      <c r="BN161" s="36"/>
      <c r="BO161" s="36"/>
      <c r="BP161" s="36"/>
      <c r="BQ161" s="36"/>
    </row>
    <row r="162">
      <c r="A162" s="45"/>
      <c r="B162" s="45"/>
      <c r="C162" s="45"/>
      <c r="D162" s="45"/>
      <c r="E162" s="45"/>
      <c r="F162" s="45"/>
      <c r="G162" s="46"/>
      <c r="H162" s="46"/>
      <c r="I162" s="46"/>
      <c r="J162" s="46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21"/>
      <c r="AH162" s="21"/>
      <c r="AI162" s="45"/>
      <c r="AJ162" s="45"/>
      <c r="AK162" s="45"/>
      <c r="AL162" s="45"/>
      <c r="AM162" s="45"/>
      <c r="AN162" s="45"/>
      <c r="AO162" s="45"/>
      <c r="AP162" s="45"/>
      <c r="AQ162" s="36"/>
      <c r="AR162" s="36"/>
      <c r="AS162" s="36"/>
      <c r="AT162" s="36"/>
      <c r="AU162" s="36"/>
      <c r="AV162" s="36"/>
      <c r="AW162" s="36"/>
      <c r="AX162" s="36"/>
      <c r="AY162" s="36"/>
      <c r="AZ162" s="36"/>
      <c r="BA162" s="36"/>
      <c r="BB162" s="36"/>
      <c r="BC162" s="36"/>
      <c r="BD162" s="36"/>
      <c r="BE162" s="36"/>
      <c r="BF162" s="36"/>
      <c r="BG162" s="36"/>
      <c r="BH162" s="36"/>
      <c r="BI162" s="36"/>
      <c r="BJ162" s="36"/>
      <c r="BK162" s="36"/>
      <c r="BL162" s="36"/>
      <c r="BM162" s="36"/>
      <c r="BN162" s="36"/>
      <c r="BO162" s="36"/>
      <c r="BP162" s="36"/>
      <c r="BQ162" s="36"/>
    </row>
    <row r="163">
      <c r="A163" s="45"/>
      <c r="B163" s="45"/>
      <c r="C163" s="45"/>
      <c r="D163" s="45"/>
      <c r="E163" s="45"/>
      <c r="F163" s="45"/>
      <c r="G163" s="46"/>
      <c r="H163" s="46"/>
      <c r="I163" s="46"/>
      <c r="J163" s="46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21"/>
      <c r="AH163" s="21"/>
      <c r="AI163" s="45"/>
      <c r="AJ163" s="45"/>
      <c r="AK163" s="45"/>
      <c r="AL163" s="45"/>
      <c r="AM163" s="45"/>
      <c r="AN163" s="45"/>
      <c r="AO163" s="45"/>
      <c r="AP163" s="45"/>
      <c r="AQ163" s="36"/>
      <c r="AR163" s="36"/>
      <c r="AS163" s="36"/>
      <c r="AT163" s="36"/>
      <c r="AU163" s="36"/>
      <c r="AV163" s="36"/>
      <c r="AW163" s="36"/>
      <c r="AX163" s="36"/>
      <c r="AY163" s="36"/>
      <c r="AZ163" s="36"/>
      <c r="BA163" s="36"/>
      <c r="BB163" s="36"/>
      <c r="BC163" s="36"/>
      <c r="BD163" s="36"/>
      <c r="BE163" s="36"/>
      <c r="BF163" s="36"/>
      <c r="BG163" s="36"/>
      <c r="BH163" s="36"/>
      <c r="BI163" s="36"/>
      <c r="BJ163" s="36"/>
      <c r="BK163" s="36"/>
      <c r="BL163" s="36"/>
      <c r="BM163" s="36"/>
      <c r="BN163" s="36"/>
      <c r="BO163" s="36"/>
      <c r="BP163" s="36"/>
      <c r="BQ163" s="36"/>
    </row>
    <row r="164">
      <c r="A164" s="45"/>
      <c r="B164" s="45"/>
      <c r="C164" s="45"/>
      <c r="D164" s="45"/>
      <c r="E164" s="45"/>
      <c r="F164" s="45"/>
      <c r="G164" s="46"/>
      <c r="H164" s="46"/>
      <c r="I164" s="46"/>
      <c r="J164" s="46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21"/>
      <c r="AH164" s="21"/>
      <c r="AI164" s="45"/>
      <c r="AJ164" s="45"/>
      <c r="AK164" s="45"/>
      <c r="AL164" s="45"/>
      <c r="AM164" s="45"/>
      <c r="AN164" s="45"/>
      <c r="AO164" s="45"/>
      <c r="AP164" s="45"/>
      <c r="AQ164" s="36"/>
      <c r="AR164" s="36"/>
      <c r="AS164" s="36"/>
      <c r="AT164" s="36"/>
      <c r="AU164" s="36"/>
      <c r="AV164" s="36"/>
      <c r="AW164" s="36"/>
      <c r="AX164" s="36"/>
      <c r="AY164" s="36"/>
      <c r="AZ164" s="36"/>
      <c r="BA164" s="36"/>
      <c r="BB164" s="36"/>
      <c r="BC164" s="36"/>
      <c r="BD164" s="36"/>
      <c r="BE164" s="36"/>
      <c r="BF164" s="36"/>
      <c r="BG164" s="36"/>
      <c r="BH164" s="36"/>
      <c r="BI164" s="36"/>
      <c r="BJ164" s="36"/>
      <c r="BK164" s="36"/>
      <c r="BL164" s="36"/>
      <c r="BM164" s="36"/>
      <c r="BN164" s="36"/>
      <c r="BO164" s="36"/>
      <c r="BP164" s="36"/>
      <c r="BQ164" s="36"/>
    </row>
    <row r="165">
      <c r="A165" s="45"/>
      <c r="B165" s="45"/>
      <c r="C165" s="45"/>
      <c r="D165" s="45"/>
      <c r="E165" s="45"/>
      <c r="F165" s="45"/>
      <c r="G165" s="46"/>
      <c r="H165" s="46"/>
      <c r="I165" s="46"/>
      <c r="J165" s="46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21"/>
      <c r="AI165" s="21"/>
      <c r="AJ165" s="45"/>
      <c r="AK165" s="45"/>
      <c r="AL165" s="45"/>
      <c r="AM165" s="45"/>
      <c r="AN165" s="45"/>
      <c r="AO165" s="45"/>
      <c r="AP165" s="45"/>
      <c r="AQ165" s="36"/>
      <c r="AR165" s="36"/>
      <c r="AS165" s="36"/>
      <c r="AT165" s="36"/>
      <c r="AU165" s="36"/>
      <c r="AV165" s="36"/>
      <c r="AW165" s="36"/>
      <c r="AX165" s="36"/>
      <c r="AY165" s="36"/>
      <c r="AZ165" s="36"/>
      <c r="BA165" s="36"/>
      <c r="BB165" s="36"/>
      <c r="BC165" s="36"/>
      <c r="BD165" s="36"/>
      <c r="BE165" s="36"/>
      <c r="BF165" s="36"/>
      <c r="BG165" s="36"/>
      <c r="BH165" s="36"/>
      <c r="BI165" s="36"/>
      <c r="BJ165" s="36"/>
      <c r="BK165" s="36"/>
      <c r="BL165" s="36"/>
      <c r="BM165" s="36"/>
      <c r="BN165" s="36"/>
      <c r="BO165" s="36"/>
      <c r="BP165" s="36"/>
      <c r="BQ165" s="36"/>
    </row>
    <row r="166">
      <c r="A166" s="45"/>
      <c r="B166" s="45"/>
      <c r="C166" s="45"/>
      <c r="D166" s="45"/>
      <c r="E166" s="45"/>
      <c r="F166" s="45"/>
      <c r="G166" s="46"/>
      <c r="H166" s="46"/>
      <c r="I166" s="46"/>
      <c r="J166" s="46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21"/>
      <c r="AI166" s="21"/>
      <c r="AJ166" s="45"/>
      <c r="AK166" s="45"/>
      <c r="AL166" s="45"/>
      <c r="AM166" s="45"/>
      <c r="AN166" s="45"/>
      <c r="AO166" s="45"/>
      <c r="AP166" s="45"/>
      <c r="AQ166" s="36"/>
      <c r="AR166" s="36"/>
      <c r="AS166" s="36"/>
      <c r="AT166" s="36"/>
      <c r="AU166" s="36"/>
      <c r="AV166" s="36"/>
      <c r="AW166" s="36"/>
      <c r="AX166" s="36"/>
      <c r="AY166" s="36"/>
      <c r="AZ166" s="36"/>
      <c r="BA166" s="36"/>
      <c r="BB166" s="36"/>
      <c r="BC166" s="36"/>
      <c r="BD166" s="36"/>
      <c r="BE166" s="36"/>
      <c r="BF166" s="36"/>
      <c r="BG166" s="36"/>
      <c r="BH166" s="36"/>
      <c r="BI166" s="36"/>
      <c r="BJ166" s="36"/>
      <c r="BK166" s="36"/>
      <c r="BL166" s="36"/>
      <c r="BM166" s="36"/>
      <c r="BN166" s="36"/>
      <c r="BO166" s="36"/>
      <c r="BP166" s="36"/>
      <c r="BQ166" s="36"/>
    </row>
    <row r="167">
      <c r="A167" s="45"/>
      <c r="B167" s="45"/>
      <c r="C167" s="45"/>
      <c r="D167" s="45"/>
      <c r="E167" s="45"/>
      <c r="F167" s="45"/>
      <c r="G167" s="46"/>
      <c r="H167" s="46"/>
      <c r="I167" s="46"/>
      <c r="J167" s="46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21"/>
      <c r="AI167" s="45"/>
      <c r="AJ167" s="45"/>
      <c r="AK167" s="45"/>
      <c r="AL167" s="45"/>
      <c r="AM167" s="45"/>
      <c r="AN167" s="45"/>
      <c r="AO167" s="45"/>
      <c r="AP167" s="45"/>
      <c r="AQ167" s="36"/>
      <c r="AR167" s="36"/>
      <c r="AS167" s="36"/>
      <c r="AT167" s="36"/>
      <c r="AU167" s="36"/>
      <c r="AV167" s="36"/>
      <c r="AW167" s="36"/>
      <c r="AX167" s="36"/>
      <c r="AY167" s="36"/>
      <c r="AZ167" s="36"/>
      <c r="BA167" s="36"/>
      <c r="BB167" s="36"/>
      <c r="BC167" s="36"/>
      <c r="BD167" s="36"/>
      <c r="BE167" s="36"/>
      <c r="BF167" s="36"/>
      <c r="BG167" s="36"/>
      <c r="BH167" s="36"/>
      <c r="BI167" s="36"/>
      <c r="BJ167" s="36"/>
      <c r="BK167" s="36"/>
      <c r="BL167" s="36"/>
      <c r="BM167" s="36"/>
      <c r="BN167" s="36"/>
      <c r="BO167" s="36"/>
      <c r="BP167" s="36"/>
      <c r="BQ167" s="36"/>
    </row>
    <row r="168">
      <c r="A168" s="45"/>
      <c r="B168" s="45"/>
      <c r="C168" s="45"/>
      <c r="D168" s="45"/>
      <c r="E168" s="45"/>
      <c r="F168" s="45"/>
      <c r="G168" s="46"/>
      <c r="H168" s="46"/>
      <c r="I168" s="46"/>
      <c r="J168" s="46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21"/>
      <c r="AI168" s="45"/>
      <c r="AJ168" s="45"/>
      <c r="AK168" s="45"/>
      <c r="AL168" s="45"/>
      <c r="AM168" s="45"/>
      <c r="AN168" s="45"/>
      <c r="AO168" s="45"/>
      <c r="AP168" s="45"/>
      <c r="AQ168" s="36"/>
      <c r="AR168" s="36"/>
      <c r="AS168" s="36"/>
      <c r="AT168" s="36"/>
      <c r="AU168" s="36"/>
      <c r="AV168" s="36"/>
      <c r="AW168" s="36"/>
      <c r="AX168" s="36"/>
      <c r="AY168" s="36"/>
      <c r="AZ168" s="36"/>
      <c r="BA168" s="36"/>
      <c r="BB168" s="36"/>
      <c r="BC168" s="36"/>
      <c r="BD168" s="36"/>
      <c r="BE168" s="36"/>
      <c r="BF168" s="36"/>
      <c r="BG168" s="36"/>
      <c r="BH168" s="36"/>
      <c r="BI168" s="36"/>
      <c r="BJ168" s="36"/>
      <c r="BK168" s="36"/>
      <c r="BL168" s="36"/>
      <c r="BM168" s="36"/>
      <c r="BN168" s="36"/>
      <c r="BO168" s="36"/>
      <c r="BP168" s="36"/>
      <c r="BQ168" s="36"/>
    </row>
    <row r="169">
      <c r="A169" s="45"/>
      <c r="B169" s="45"/>
      <c r="C169" s="45"/>
      <c r="D169" s="45"/>
      <c r="E169" s="45"/>
      <c r="F169" s="45"/>
      <c r="G169" s="46"/>
      <c r="H169" s="46"/>
      <c r="I169" s="46"/>
      <c r="J169" s="46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34"/>
      <c r="V169" s="21"/>
      <c r="W169" s="21"/>
      <c r="X169" s="21"/>
      <c r="Z169" s="21"/>
      <c r="AA169" s="45"/>
      <c r="AB169" s="45"/>
      <c r="AI169" s="45"/>
      <c r="AJ169" s="45"/>
      <c r="AK169" s="45"/>
      <c r="AL169" s="45"/>
      <c r="AM169" s="45"/>
      <c r="AN169" s="45"/>
      <c r="AO169" s="45"/>
      <c r="AP169" s="45"/>
      <c r="AQ169" s="36"/>
      <c r="AR169" s="36"/>
      <c r="AS169" s="36"/>
      <c r="AT169" s="36"/>
      <c r="AU169" s="36"/>
      <c r="AV169" s="36"/>
      <c r="AW169" s="36"/>
      <c r="AX169" s="36"/>
      <c r="AY169" s="36"/>
      <c r="AZ169" s="36"/>
      <c r="BA169" s="36"/>
      <c r="BB169" s="36"/>
      <c r="BC169" s="36"/>
      <c r="BD169" s="36"/>
      <c r="BE169" s="36"/>
      <c r="BF169" s="36"/>
      <c r="BG169" s="36"/>
      <c r="BH169" s="36"/>
      <c r="BI169" s="36"/>
      <c r="BJ169" s="36"/>
      <c r="BK169" s="36"/>
      <c r="BL169" s="36"/>
      <c r="BM169" s="36"/>
      <c r="BN169" s="36"/>
      <c r="BO169" s="36"/>
      <c r="BP169" s="36"/>
      <c r="BQ169" s="36"/>
    </row>
    <row r="170">
      <c r="A170" s="45"/>
      <c r="B170" s="45"/>
      <c r="C170" s="45"/>
      <c r="D170" s="45"/>
      <c r="E170" s="45"/>
      <c r="F170" s="45"/>
      <c r="G170" s="46"/>
      <c r="H170" s="46"/>
      <c r="I170" s="46"/>
      <c r="J170" s="46"/>
      <c r="K170" s="45"/>
      <c r="L170" s="45"/>
      <c r="M170" s="45"/>
      <c r="N170" s="45"/>
      <c r="O170" s="45"/>
      <c r="P170" s="45"/>
      <c r="Q170" s="45"/>
      <c r="R170" s="49"/>
      <c r="AI170" s="45"/>
      <c r="AJ170" s="45"/>
      <c r="AK170" s="45"/>
      <c r="AL170" s="45"/>
      <c r="AM170" s="45"/>
      <c r="AN170" s="45"/>
      <c r="AO170" s="45"/>
      <c r="AP170" s="45"/>
      <c r="AQ170" s="36"/>
      <c r="AR170" s="36"/>
      <c r="AS170" s="36"/>
      <c r="AT170" s="36"/>
      <c r="AU170" s="36"/>
      <c r="AV170" s="36"/>
      <c r="AW170" s="36"/>
      <c r="AX170" s="36"/>
      <c r="AY170" s="36"/>
      <c r="AZ170" s="36"/>
      <c r="BA170" s="36"/>
      <c r="BB170" s="36"/>
      <c r="BC170" s="36"/>
      <c r="BD170" s="36"/>
      <c r="BE170" s="36"/>
      <c r="BF170" s="36"/>
      <c r="BG170" s="36"/>
      <c r="BH170" s="36"/>
      <c r="BI170" s="36"/>
      <c r="BJ170" s="36"/>
      <c r="BK170" s="36"/>
      <c r="BL170" s="36"/>
      <c r="BM170" s="36"/>
      <c r="BN170" s="36"/>
      <c r="BO170" s="36"/>
      <c r="BP170" s="36"/>
      <c r="BQ170" s="36"/>
    </row>
    <row r="171">
      <c r="A171" s="45"/>
      <c r="B171" s="45"/>
      <c r="C171" s="45"/>
      <c r="D171" s="45"/>
      <c r="E171" s="45"/>
      <c r="F171" s="45"/>
      <c r="G171" s="46"/>
      <c r="H171" s="46"/>
      <c r="I171" s="46"/>
      <c r="J171" s="46"/>
      <c r="K171" s="45"/>
      <c r="L171" s="45"/>
      <c r="M171" s="45"/>
      <c r="N171" s="45"/>
      <c r="O171" s="45"/>
      <c r="P171" s="45"/>
      <c r="Q171" s="45"/>
      <c r="R171" s="50"/>
      <c r="AI171" s="45"/>
      <c r="AJ171" s="45"/>
      <c r="AK171" s="45"/>
      <c r="AL171" s="45"/>
      <c r="AM171" s="45"/>
      <c r="AN171" s="45"/>
      <c r="AO171" s="45"/>
      <c r="AP171" s="45"/>
      <c r="AQ171" s="36"/>
      <c r="AR171" s="36"/>
      <c r="AS171" s="36"/>
      <c r="AT171" s="36"/>
      <c r="AU171" s="36"/>
      <c r="AV171" s="36"/>
      <c r="AW171" s="36"/>
      <c r="AX171" s="36"/>
      <c r="AY171" s="36"/>
      <c r="AZ171" s="36"/>
      <c r="BA171" s="36"/>
      <c r="BB171" s="36"/>
      <c r="BC171" s="36"/>
      <c r="BD171" s="36"/>
      <c r="BE171" s="36"/>
      <c r="BF171" s="36"/>
      <c r="BG171" s="36"/>
      <c r="BH171" s="36"/>
      <c r="BI171" s="36"/>
      <c r="BJ171" s="36"/>
      <c r="BK171" s="36"/>
      <c r="BL171" s="36"/>
      <c r="BM171" s="36"/>
      <c r="BN171" s="36"/>
      <c r="BO171" s="36"/>
      <c r="BP171" s="36"/>
      <c r="BQ171" s="36"/>
    </row>
    <row r="172">
      <c r="A172" s="45"/>
      <c r="B172" s="45"/>
      <c r="C172" s="45"/>
      <c r="D172" s="45"/>
      <c r="E172" s="45"/>
      <c r="F172" s="45"/>
      <c r="G172" s="46"/>
      <c r="H172" s="46"/>
      <c r="I172" s="46"/>
      <c r="J172" s="46"/>
      <c r="K172" s="45"/>
      <c r="L172" s="45"/>
      <c r="M172" s="45"/>
      <c r="N172" s="45"/>
      <c r="O172" s="45"/>
      <c r="P172" s="45"/>
      <c r="Q172" s="45"/>
      <c r="R172" s="50"/>
      <c r="AI172" s="45"/>
      <c r="AJ172" s="42"/>
      <c r="AK172" s="42"/>
      <c r="AL172" s="42"/>
      <c r="AM172" s="42"/>
      <c r="AN172" s="42"/>
      <c r="AO172" s="42"/>
      <c r="AP172" s="42"/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  <c r="BC172" s="36"/>
      <c r="BD172" s="36"/>
      <c r="BE172" s="36"/>
      <c r="BF172" s="36"/>
      <c r="BG172" s="36"/>
      <c r="BH172" s="36"/>
      <c r="BI172" s="36"/>
      <c r="BJ172" s="36"/>
      <c r="BK172" s="36"/>
      <c r="BL172" s="36"/>
      <c r="BM172" s="36"/>
      <c r="BN172" s="36"/>
      <c r="BO172" s="36"/>
      <c r="BP172" s="36"/>
      <c r="BQ172" s="36"/>
    </row>
    <row r="173">
      <c r="A173" s="45"/>
      <c r="B173" s="45"/>
      <c r="C173" s="45"/>
      <c r="D173" s="45"/>
      <c r="E173" s="45"/>
      <c r="F173" s="45"/>
      <c r="G173" s="46"/>
      <c r="H173" s="46"/>
      <c r="I173" s="46"/>
      <c r="J173" s="46"/>
      <c r="K173" s="45"/>
      <c r="L173" s="45"/>
      <c r="M173" s="45"/>
      <c r="N173" s="45"/>
      <c r="O173" s="45"/>
      <c r="P173" s="45"/>
      <c r="Q173" s="45"/>
      <c r="R173" s="50"/>
      <c r="AI173" s="45"/>
      <c r="AJ173" s="42"/>
      <c r="AK173" s="42"/>
      <c r="AL173" s="42"/>
      <c r="AM173" s="42"/>
      <c r="AN173" s="51"/>
      <c r="AO173" s="50"/>
      <c r="AP173" s="50"/>
      <c r="AQ173" s="50"/>
      <c r="AR173" s="50"/>
      <c r="AS173" s="50"/>
      <c r="AT173" s="50"/>
      <c r="AU173" s="50"/>
      <c r="AV173" s="36"/>
      <c r="AW173" s="36"/>
      <c r="AX173" s="36"/>
      <c r="AY173" s="36"/>
      <c r="AZ173" s="36"/>
      <c r="BA173" s="36"/>
      <c r="BB173" s="36"/>
      <c r="BC173" s="36"/>
      <c r="BD173" s="36"/>
      <c r="BE173" s="36"/>
      <c r="BF173" s="36"/>
      <c r="BG173" s="36"/>
      <c r="BH173" s="36"/>
      <c r="BI173" s="36"/>
      <c r="BJ173" s="36"/>
      <c r="BK173" s="36"/>
      <c r="BL173" s="36"/>
      <c r="BM173" s="36"/>
      <c r="BN173" s="36"/>
      <c r="BO173" s="36"/>
      <c r="BP173" s="36"/>
      <c r="BQ173" s="36"/>
    </row>
    <row r="174">
      <c r="A174" s="45"/>
      <c r="B174" s="45"/>
      <c r="C174" s="45"/>
      <c r="D174" s="45"/>
      <c r="E174" s="45"/>
      <c r="F174" s="45"/>
      <c r="G174" s="46"/>
      <c r="H174" s="46"/>
      <c r="I174" s="46"/>
      <c r="J174" s="46"/>
      <c r="K174" s="45"/>
      <c r="L174" s="45"/>
      <c r="M174" s="45"/>
      <c r="N174" s="45"/>
      <c r="O174" s="45"/>
      <c r="P174" s="45"/>
      <c r="Q174" s="45"/>
      <c r="R174" s="50"/>
      <c r="AI174" s="45"/>
      <c r="AJ174" s="42"/>
      <c r="AK174" s="42"/>
      <c r="AL174" s="42"/>
      <c r="AM174" s="42"/>
      <c r="AN174" s="42"/>
      <c r="AO174" s="50"/>
      <c r="AP174" s="50"/>
      <c r="AQ174" s="50"/>
      <c r="AR174" s="50"/>
      <c r="AS174" s="50"/>
      <c r="AT174" s="50"/>
      <c r="AU174" s="50"/>
      <c r="AV174" s="36"/>
      <c r="AW174" s="36"/>
      <c r="AX174" s="36"/>
      <c r="AY174" s="36"/>
      <c r="AZ174" s="36"/>
      <c r="BA174" s="36"/>
      <c r="BB174" s="36"/>
      <c r="BC174" s="36"/>
      <c r="BD174" s="36"/>
      <c r="BE174" s="36"/>
      <c r="BF174" s="36"/>
      <c r="BG174" s="36"/>
      <c r="BH174" s="36"/>
      <c r="BI174" s="36"/>
      <c r="BJ174" s="36"/>
      <c r="BK174" s="36"/>
      <c r="BL174" s="36"/>
      <c r="BM174" s="36"/>
      <c r="BN174" s="36"/>
      <c r="BO174" s="36"/>
      <c r="BP174" s="36"/>
      <c r="BQ174" s="36"/>
    </row>
    <row r="175">
      <c r="A175" s="45"/>
      <c r="B175" s="45"/>
      <c r="C175" s="45"/>
      <c r="D175" s="45"/>
      <c r="E175" s="45"/>
      <c r="F175" s="45"/>
      <c r="G175" s="46"/>
      <c r="H175" s="46"/>
      <c r="I175" s="46"/>
      <c r="J175" s="46"/>
      <c r="K175" s="45"/>
      <c r="L175" s="45"/>
      <c r="M175" s="45"/>
      <c r="N175" s="45"/>
      <c r="O175" s="45"/>
      <c r="P175" s="45"/>
      <c r="Q175" s="45"/>
      <c r="R175" s="50"/>
      <c r="AI175" s="45"/>
      <c r="AJ175" s="42"/>
      <c r="AK175" s="42"/>
      <c r="AL175" s="42"/>
      <c r="AM175" s="42"/>
      <c r="AN175" s="42"/>
      <c r="AO175" s="50"/>
      <c r="AP175" s="50"/>
      <c r="AQ175" s="50"/>
      <c r="AR175" s="50"/>
      <c r="AS175" s="50"/>
      <c r="AT175" s="50"/>
      <c r="AU175" s="50"/>
      <c r="AV175" s="36"/>
      <c r="AW175" s="36"/>
      <c r="AX175" s="36"/>
      <c r="AY175" s="36"/>
      <c r="AZ175" s="36"/>
      <c r="BA175" s="36"/>
      <c r="BB175" s="36"/>
      <c r="BC175" s="36"/>
      <c r="BD175" s="36"/>
      <c r="BE175" s="36"/>
      <c r="BF175" s="36"/>
      <c r="BG175" s="36"/>
      <c r="BH175" s="36"/>
      <c r="BI175" s="36"/>
      <c r="BJ175" s="36"/>
      <c r="BK175" s="36"/>
      <c r="BL175" s="36"/>
      <c r="BM175" s="36"/>
      <c r="BN175" s="36"/>
      <c r="BO175" s="36"/>
      <c r="BP175" s="36"/>
      <c r="BQ175" s="36"/>
    </row>
    <row r="176">
      <c r="A176" s="45"/>
      <c r="B176" s="45"/>
      <c r="C176" s="45"/>
      <c r="D176" s="45"/>
      <c r="E176" s="45"/>
      <c r="F176" s="45"/>
      <c r="G176" s="46"/>
      <c r="H176" s="46"/>
      <c r="I176" s="46"/>
      <c r="J176" s="46"/>
      <c r="K176" s="45"/>
      <c r="L176" s="45"/>
      <c r="M176" s="45"/>
      <c r="N176" s="45"/>
      <c r="O176" s="45"/>
      <c r="P176" s="45"/>
      <c r="Q176" s="45"/>
      <c r="R176" s="50"/>
      <c r="AI176" s="45"/>
      <c r="AJ176" s="42"/>
      <c r="AK176" s="42"/>
      <c r="AL176" s="42"/>
      <c r="AM176" s="42"/>
      <c r="AN176" s="42"/>
      <c r="AO176" s="42"/>
      <c r="AP176" s="42"/>
      <c r="AQ176" s="36"/>
      <c r="AR176" s="36"/>
      <c r="AS176" s="36"/>
      <c r="AT176" s="36"/>
      <c r="AU176" s="36"/>
      <c r="AV176" s="36"/>
      <c r="AW176" s="36"/>
      <c r="AX176" s="36"/>
      <c r="AY176" s="36"/>
      <c r="AZ176" s="36"/>
      <c r="BA176" s="36"/>
      <c r="BB176" s="36"/>
      <c r="BC176" s="36"/>
      <c r="BD176" s="36"/>
      <c r="BE176" s="36"/>
      <c r="BF176" s="36"/>
      <c r="BG176" s="36"/>
      <c r="BH176" s="36"/>
      <c r="BI176" s="36"/>
      <c r="BJ176" s="36"/>
      <c r="BK176" s="36"/>
      <c r="BL176" s="36"/>
      <c r="BM176" s="36"/>
      <c r="BN176" s="36"/>
      <c r="BO176" s="36"/>
      <c r="BP176" s="36"/>
      <c r="BQ176" s="36"/>
    </row>
    <row r="177">
      <c r="A177" s="45"/>
      <c r="B177" s="45"/>
      <c r="C177" s="45"/>
      <c r="D177" s="45"/>
      <c r="E177" s="45"/>
      <c r="F177" s="45"/>
      <c r="G177" s="46"/>
      <c r="H177" s="46"/>
      <c r="I177" s="46"/>
      <c r="J177" s="46"/>
      <c r="K177" s="45"/>
      <c r="L177" s="45"/>
      <c r="M177" s="45"/>
      <c r="N177" s="45"/>
      <c r="O177" s="45"/>
      <c r="P177" s="45"/>
      <c r="Q177" s="45"/>
      <c r="R177" s="50"/>
      <c r="AI177" s="45"/>
      <c r="AJ177" s="51"/>
      <c r="AK177" s="42"/>
      <c r="AL177" s="42"/>
      <c r="AM177" s="42"/>
      <c r="AN177" s="42"/>
      <c r="AO177" s="42"/>
      <c r="AP177" s="42"/>
      <c r="AQ177" s="36"/>
      <c r="AR177" s="36"/>
      <c r="AS177" s="36"/>
      <c r="AT177" s="36"/>
      <c r="AU177" s="36"/>
      <c r="AV177" s="36"/>
      <c r="AW177" s="36"/>
      <c r="AX177" s="36"/>
      <c r="AY177" s="36"/>
      <c r="AZ177" s="36"/>
      <c r="BA177" s="36"/>
      <c r="BB177" s="36"/>
      <c r="BC177" s="36"/>
      <c r="BD177" s="36"/>
      <c r="BE177" s="36"/>
      <c r="BF177" s="36"/>
      <c r="BG177" s="36"/>
      <c r="BH177" s="36"/>
      <c r="BI177" s="36"/>
      <c r="BJ177" s="36"/>
      <c r="BK177" s="36"/>
      <c r="BL177" s="36"/>
      <c r="BM177" s="36"/>
      <c r="BN177" s="36"/>
      <c r="BO177" s="36"/>
      <c r="BP177" s="36"/>
      <c r="BQ177" s="36"/>
    </row>
    <row r="178">
      <c r="A178" s="45"/>
      <c r="B178" s="45"/>
      <c r="C178" s="45"/>
      <c r="D178" s="45"/>
      <c r="E178" s="45"/>
      <c r="F178" s="45"/>
      <c r="G178" s="46"/>
      <c r="H178" s="46"/>
      <c r="I178" s="46"/>
      <c r="J178" s="46"/>
      <c r="K178" s="45"/>
      <c r="L178" s="45"/>
      <c r="M178" s="45"/>
      <c r="N178" s="45"/>
      <c r="O178" s="45"/>
      <c r="P178" s="45"/>
      <c r="Q178" s="45"/>
      <c r="R178" s="50"/>
      <c r="AJ178" s="42"/>
      <c r="AK178" s="51"/>
      <c r="AL178" s="51"/>
      <c r="AM178" s="42"/>
      <c r="AN178" s="42"/>
      <c r="AO178" s="42"/>
      <c r="AP178" s="51"/>
      <c r="AQ178" s="36"/>
      <c r="AR178" s="36"/>
      <c r="AS178" s="36"/>
      <c r="AT178" s="36"/>
      <c r="AU178" s="36"/>
      <c r="AV178" s="36"/>
      <c r="AW178" s="36"/>
      <c r="AX178" s="36"/>
      <c r="AY178" s="36"/>
      <c r="AZ178" s="36"/>
      <c r="BA178" s="36"/>
      <c r="BB178" s="36"/>
      <c r="BC178" s="36"/>
      <c r="BD178" s="36"/>
      <c r="BE178" s="36"/>
      <c r="BF178" s="36"/>
      <c r="BG178" s="36"/>
      <c r="BH178" s="36"/>
      <c r="BI178" s="36"/>
      <c r="BJ178" s="36"/>
      <c r="BK178" s="36"/>
      <c r="BL178" s="36"/>
      <c r="BM178" s="36"/>
      <c r="BN178" s="36"/>
      <c r="BO178" s="36"/>
      <c r="BP178" s="36"/>
      <c r="BQ178" s="36"/>
    </row>
    <row r="179">
      <c r="A179" s="45"/>
      <c r="B179" s="45"/>
      <c r="C179" s="45"/>
      <c r="D179" s="45"/>
      <c r="E179" s="45"/>
      <c r="F179" s="45"/>
      <c r="G179" s="46"/>
      <c r="H179" s="46"/>
      <c r="I179" s="46"/>
      <c r="J179" s="46"/>
      <c r="K179" s="45"/>
      <c r="L179" s="45"/>
      <c r="M179" s="45"/>
      <c r="N179" s="45"/>
      <c r="O179" s="45"/>
      <c r="P179" s="45"/>
      <c r="Q179" s="45"/>
      <c r="R179" s="50"/>
      <c r="AJ179" s="51"/>
      <c r="AK179" s="51"/>
      <c r="AL179" s="51"/>
      <c r="AM179" s="42"/>
      <c r="AN179" s="51"/>
      <c r="AO179" s="42"/>
      <c r="AP179" s="42"/>
      <c r="AQ179" s="36"/>
      <c r="AR179" s="36"/>
      <c r="AS179" s="36"/>
      <c r="AT179" s="36"/>
      <c r="AU179" s="36"/>
      <c r="AV179" s="36"/>
      <c r="AW179" s="36"/>
      <c r="AX179" s="36"/>
      <c r="AY179" s="36"/>
      <c r="AZ179" s="36"/>
      <c r="BA179" s="36"/>
      <c r="BB179" s="36"/>
      <c r="BC179" s="36"/>
      <c r="BD179" s="36"/>
      <c r="BE179" s="36"/>
      <c r="BF179" s="36"/>
      <c r="BG179" s="36"/>
      <c r="BH179" s="36"/>
      <c r="BI179" s="36"/>
      <c r="BJ179" s="36"/>
      <c r="BK179" s="36"/>
      <c r="BL179" s="36"/>
      <c r="BM179" s="36"/>
      <c r="BN179" s="36"/>
      <c r="BO179" s="36"/>
      <c r="BP179" s="36"/>
      <c r="BQ179" s="36"/>
    </row>
    <row r="180">
      <c r="A180" s="45"/>
      <c r="B180" s="45"/>
      <c r="C180" s="45"/>
      <c r="D180" s="45"/>
      <c r="E180" s="45"/>
      <c r="F180" s="45"/>
      <c r="G180" s="46"/>
      <c r="H180" s="46"/>
      <c r="I180" s="46"/>
      <c r="J180" s="46"/>
      <c r="K180" s="45"/>
      <c r="L180" s="45"/>
      <c r="M180" s="45"/>
      <c r="N180" s="45"/>
      <c r="O180" s="45"/>
      <c r="P180" s="45"/>
      <c r="Q180" s="45"/>
      <c r="R180" s="50"/>
      <c r="AD180" s="50"/>
      <c r="AE180" s="50"/>
      <c r="AF180" s="50"/>
      <c r="AG180" s="50"/>
      <c r="AH180" s="50"/>
      <c r="AI180" s="50"/>
      <c r="AJ180" s="42"/>
      <c r="AK180" s="42"/>
      <c r="AL180" s="42"/>
      <c r="AM180" s="51"/>
      <c r="AN180" s="42"/>
      <c r="AO180" s="42"/>
      <c r="AP180" s="42"/>
      <c r="AQ180" s="36"/>
      <c r="AR180" s="36"/>
      <c r="AS180" s="36"/>
      <c r="AT180" s="36"/>
      <c r="AU180" s="36"/>
      <c r="AV180" s="36"/>
      <c r="AW180" s="36"/>
      <c r="AX180" s="36"/>
      <c r="AY180" s="36"/>
      <c r="AZ180" s="36"/>
      <c r="BA180" s="36"/>
      <c r="BB180" s="36"/>
      <c r="BC180" s="36"/>
      <c r="BD180" s="36"/>
      <c r="BE180" s="36"/>
      <c r="BF180" s="36"/>
      <c r="BG180" s="36"/>
      <c r="BH180" s="36"/>
      <c r="BI180" s="36"/>
      <c r="BJ180" s="36"/>
      <c r="BK180" s="36"/>
      <c r="BL180" s="36"/>
      <c r="BM180" s="36"/>
      <c r="BN180" s="36"/>
      <c r="BO180" s="36"/>
      <c r="BP180" s="36"/>
      <c r="BQ180" s="36"/>
    </row>
    <row r="181">
      <c r="A181" s="45"/>
      <c r="B181" s="45"/>
      <c r="C181" s="45"/>
      <c r="D181" s="45"/>
      <c r="E181" s="45"/>
      <c r="F181" s="45"/>
      <c r="G181" s="46"/>
      <c r="H181" s="46"/>
      <c r="I181" s="46"/>
      <c r="J181" s="46"/>
      <c r="K181" s="45"/>
      <c r="L181" s="45"/>
      <c r="M181" s="45"/>
      <c r="N181" s="45"/>
      <c r="O181" s="45"/>
      <c r="P181" s="45"/>
      <c r="Q181" s="45"/>
      <c r="R181" s="50"/>
      <c r="AD181" s="50"/>
      <c r="AE181" s="50"/>
      <c r="AF181" s="50"/>
      <c r="AG181" s="50"/>
      <c r="AH181" s="50"/>
      <c r="AI181" s="50"/>
      <c r="AJ181" s="45"/>
      <c r="AK181" s="45"/>
      <c r="AL181" s="45"/>
      <c r="AM181" s="45"/>
      <c r="AN181" s="45"/>
      <c r="AO181" s="45"/>
      <c r="AP181" s="45"/>
      <c r="AQ181" s="36"/>
      <c r="AR181" s="36"/>
      <c r="AS181" s="36"/>
      <c r="AT181" s="36"/>
      <c r="AU181" s="36"/>
      <c r="AV181" s="36"/>
      <c r="AW181" s="36"/>
      <c r="AX181" s="36"/>
      <c r="AY181" s="36"/>
      <c r="AZ181" s="36"/>
      <c r="BA181" s="36"/>
      <c r="BB181" s="36"/>
      <c r="BC181" s="36"/>
      <c r="BD181" s="36"/>
      <c r="BE181" s="36"/>
      <c r="BF181" s="36"/>
      <c r="BG181" s="36"/>
      <c r="BH181" s="36"/>
      <c r="BI181" s="36"/>
      <c r="BJ181" s="36"/>
      <c r="BK181" s="36"/>
      <c r="BL181" s="36"/>
      <c r="BM181" s="36"/>
      <c r="BN181" s="36"/>
      <c r="BO181" s="36"/>
      <c r="BP181" s="36"/>
      <c r="BQ181" s="36"/>
    </row>
    <row r="182">
      <c r="A182" s="45"/>
      <c r="B182" s="45"/>
      <c r="C182" s="45"/>
      <c r="D182" s="45"/>
      <c r="E182" s="45"/>
      <c r="F182" s="45"/>
      <c r="G182" s="46"/>
      <c r="H182" s="46"/>
      <c r="I182" s="46"/>
      <c r="J182" s="46"/>
      <c r="K182" s="45"/>
      <c r="L182" s="45"/>
      <c r="M182" s="45"/>
      <c r="N182" s="45"/>
      <c r="O182" s="45"/>
      <c r="P182" s="45"/>
      <c r="Q182" s="45"/>
      <c r="R182" s="50"/>
      <c r="AD182" s="50"/>
      <c r="AE182" s="50"/>
      <c r="AF182" s="50"/>
      <c r="AG182" s="50"/>
      <c r="AH182" s="50"/>
      <c r="AI182" s="50"/>
      <c r="AJ182" s="45"/>
      <c r="AK182" s="45"/>
      <c r="AL182" s="45"/>
      <c r="AM182" s="45"/>
      <c r="AN182" s="45"/>
      <c r="AO182" s="45"/>
      <c r="AP182" s="45"/>
      <c r="AQ182" s="36"/>
      <c r="AR182" s="36"/>
      <c r="AS182" s="36"/>
      <c r="AT182" s="36"/>
      <c r="AU182" s="36"/>
      <c r="AV182" s="36"/>
      <c r="AW182" s="36"/>
      <c r="AX182" s="36"/>
      <c r="AY182" s="36"/>
      <c r="AZ182" s="36"/>
      <c r="BA182" s="36"/>
      <c r="BB182" s="36"/>
      <c r="BC182" s="36"/>
      <c r="BD182" s="36"/>
      <c r="BE182" s="36"/>
      <c r="BF182" s="36"/>
      <c r="BG182" s="36"/>
      <c r="BH182" s="36"/>
      <c r="BI182" s="36"/>
      <c r="BJ182" s="36"/>
      <c r="BK182" s="36"/>
      <c r="BL182" s="36"/>
      <c r="BM182" s="36"/>
      <c r="BN182" s="36"/>
      <c r="BO182" s="36"/>
      <c r="BP182" s="36"/>
      <c r="BQ182" s="36"/>
    </row>
    <row r="183">
      <c r="A183" s="45"/>
      <c r="B183" s="45"/>
      <c r="C183" s="45"/>
      <c r="D183" s="45"/>
      <c r="E183" s="45"/>
      <c r="F183" s="45"/>
      <c r="G183" s="46"/>
      <c r="H183" s="46"/>
      <c r="I183" s="46"/>
      <c r="J183" s="46"/>
      <c r="K183" s="45"/>
      <c r="L183" s="45"/>
      <c r="M183" s="45"/>
      <c r="N183" s="45"/>
      <c r="O183" s="45"/>
      <c r="P183" s="45"/>
      <c r="Q183" s="45"/>
      <c r="R183" s="50"/>
      <c r="AM183" s="45"/>
      <c r="AN183" s="45"/>
      <c r="AO183" s="45"/>
      <c r="AP183" s="45"/>
      <c r="AQ183" s="36"/>
      <c r="AR183" s="36"/>
      <c r="AS183" s="36"/>
      <c r="AT183" s="36"/>
      <c r="AU183" s="36"/>
      <c r="AV183" s="36"/>
      <c r="AW183" s="36"/>
      <c r="AX183" s="36"/>
      <c r="AY183" s="36"/>
      <c r="AZ183" s="36"/>
      <c r="BA183" s="36"/>
      <c r="BB183" s="36"/>
      <c r="BC183" s="36"/>
      <c r="BD183" s="36"/>
      <c r="BE183" s="36"/>
      <c r="BF183" s="36"/>
      <c r="BG183" s="36"/>
      <c r="BH183" s="36"/>
      <c r="BI183" s="36"/>
      <c r="BJ183" s="36"/>
      <c r="BK183" s="36"/>
      <c r="BL183" s="36"/>
      <c r="BM183" s="36"/>
      <c r="BN183" s="36"/>
      <c r="BO183" s="36"/>
      <c r="BP183" s="36"/>
      <c r="BQ183" s="36"/>
    </row>
    <row r="184">
      <c r="A184" s="45"/>
      <c r="B184" s="45"/>
      <c r="C184" s="45"/>
      <c r="D184" s="45"/>
      <c r="E184" s="45"/>
      <c r="F184" s="45"/>
      <c r="G184" s="46"/>
      <c r="H184" s="46"/>
      <c r="I184" s="46"/>
      <c r="J184" s="46"/>
      <c r="K184" s="45"/>
      <c r="L184" s="45"/>
      <c r="M184" s="45"/>
      <c r="N184" s="45"/>
      <c r="O184" s="45"/>
      <c r="P184" s="45"/>
      <c r="Q184" s="45"/>
      <c r="R184" s="50"/>
      <c r="AM184" s="45"/>
      <c r="AN184" s="45"/>
      <c r="AO184" s="45"/>
      <c r="AP184" s="45"/>
      <c r="AQ184" s="36"/>
      <c r="AR184" s="36"/>
      <c r="AS184" s="36"/>
      <c r="AT184" s="36"/>
      <c r="AU184" s="36"/>
      <c r="AV184" s="36"/>
      <c r="AW184" s="36"/>
      <c r="AX184" s="36"/>
      <c r="AY184" s="36"/>
      <c r="AZ184" s="36"/>
      <c r="BA184" s="36"/>
      <c r="BB184" s="36"/>
      <c r="BC184" s="36"/>
      <c r="BD184" s="36"/>
      <c r="BE184" s="36"/>
      <c r="BF184" s="36"/>
      <c r="BG184" s="36"/>
      <c r="BH184" s="36"/>
      <c r="BI184" s="36"/>
      <c r="BJ184" s="36"/>
      <c r="BK184" s="36"/>
      <c r="BL184" s="36"/>
      <c r="BM184" s="36"/>
      <c r="BN184" s="36"/>
      <c r="BO184" s="36"/>
      <c r="BP184" s="36"/>
      <c r="BQ184" s="36"/>
    </row>
    <row r="185">
      <c r="A185" s="45"/>
      <c r="B185" s="45"/>
      <c r="C185" s="45"/>
      <c r="D185" s="45"/>
      <c r="E185" s="45"/>
      <c r="F185" s="45"/>
      <c r="G185" s="46"/>
      <c r="H185" s="46"/>
      <c r="I185" s="46"/>
      <c r="J185" s="46"/>
      <c r="K185" s="45"/>
      <c r="L185" s="45"/>
      <c r="M185" s="45"/>
      <c r="N185" s="45"/>
      <c r="O185" s="45"/>
      <c r="P185" s="45"/>
      <c r="Q185" s="45"/>
      <c r="R185" s="50"/>
      <c r="AM185" s="45"/>
      <c r="AN185" s="45"/>
      <c r="AO185" s="45"/>
      <c r="AP185" s="45"/>
      <c r="AQ185" s="36"/>
      <c r="AR185" s="36"/>
      <c r="AS185" s="36"/>
      <c r="AT185" s="36"/>
      <c r="AU185" s="36"/>
      <c r="AV185" s="36"/>
      <c r="AW185" s="36"/>
      <c r="AX185" s="36"/>
      <c r="AY185" s="36"/>
      <c r="AZ185" s="36"/>
      <c r="BA185" s="36"/>
      <c r="BB185" s="36"/>
      <c r="BC185" s="36"/>
      <c r="BD185" s="36"/>
      <c r="BE185" s="36"/>
      <c r="BF185" s="36"/>
      <c r="BG185" s="36"/>
      <c r="BH185" s="36"/>
      <c r="BI185" s="36"/>
      <c r="BJ185" s="36"/>
      <c r="BK185" s="36"/>
      <c r="BL185" s="36"/>
      <c r="BM185" s="36"/>
      <c r="BN185" s="36"/>
      <c r="BO185" s="36"/>
      <c r="BP185" s="36"/>
      <c r="BQ185" s="36"/>
    </row>
    <row r="186">
      <c r="A186" s="45"/>
      <c r="B186" s="45"/>
      <c r="C186" s="45"/>
      <c r="D186" s="45"/>
      <c r="E186" s="45"/>
      <c r="F186" s="45"/>
      <c r="G186" s="46"/>
      <c r="H186" s="46"/>
      <c r="I186" s="46"/>
      <c r="J186" s="46"/>
      <c r="K186" s="45"/>
      <c r="L186" s="45"/>
      <c r="M186" s="45"/>
      <c r="N186" s="45"/>
      <c r="O186" s="45"/>
      <c r="P186" s="45"/>
      <c r="Q186" s="45"/>
      <c r="R186" s="50"/>
      <c r="AM186" s="45"/>
      <c r="AN186" s="45"/>
      <c r="AO186" s="45"/>
      <c r="AP186" s="45"/>
      <c r="AQ186" s="36"/>
      <c r="AR186" s="36"/>
      <c r="AS186" s="36"/>
      <c r="AT186" s="36"/>
      <c r="AU186" s="36"/>
      <c r="AV186" s="36"/>
      <c r="AW186" s="36"/>
      <c r="AX186" s="36"/>
      <c r="AY186" s="36"/>
      <c r="AZ186" s="36"/>
      <c r="BA186" s="36"/>
      <c r="BB186" s="36"/>
      <c r="BC186" s="36"/>
      <c r="BD186" s="36"/>
      <c r="BE186" s="36"/>
      <c r="BF186" s="36"/>
      <c r="BG186" s="36"/>
      <c r="BH186" s="36"/>
      <c r="BI186" s="36"/>
      <c r="BJ186" s="36"/>
      <c r="BK186" s="36"/>
      <c r="BL186" s="36"/>
      <c r="BM186" s="36"/>
      <c r="BN186" s="36"/>
      <c r="BO186" s="36"/>
      <c r="BP186" s="36"/>
      <c r="BQ186" s="36"/>
    </row>
    <row r="187">
      <c r="A187" s="45"/>
      <c r="B187" s="45"/>
      <c r="C187" s="45"/>
      <c r="D187" s="45"/>
      <c r="E187" s="45"/>
      <c r="F187" s="45"/>
      <c r="G187" s="46"/>
      <c r="H187" s="46"/>
      <c r="I187" s="46"/>
      <c r="J187" s="46"/>
      <c r="K187" s="45"/>
      <c r="L187" s="45"/>
      <c r="M187" s="45"/>
      <c r="N187" s="45"/>
      <c r="O187" s="45"/>
      <c r="P187" s="45"/>
      <c r="Q187" s="45"/>
      <c r="R187" s="50"/>
      <c r="AM187" s="45"/>
      <c r="AN187" s="45"/>
      <c r="AO187" s="45"/>
      <c r="AP187" s="45"/>
      <c r="AQ187" s="36"/>
      <c r="AR187" s="36"/>
      <c r="AS187" s="36"/>
      <c r="AT187" s="36"/>
      <c r="AU187" s="36"/>
      <c r="AV187" s="36"/>
      <c r="AW187" s="36"/>
      <c r="AX187" s="36"/>
      <c r="AY187" s="36"/>
      <c r="AZ187" s="36"/>
      <c r="BA187" s="36"/>
      <c r="BB187" s="36"/>
      <c r="BC187" s="36"/>
      <c r="BD187" s="36"/>
      <c r="BE187" s="36"/>
      <c r="BF187" s="36"/>
      <c r="BG187" s="36"/>
      <c r="BH187" s="36"/>
      <c r="BI187" s="36"/>
      <c r="BJ187" s="36"/>
      <c r="BK187" s="36"/>
      <c r="BL187" s="36"/>
      <c r="BM187" s="36"/>
      <c r="BN187" s="36"/>
      <c r="BO187" s="36"/>
      <c r="BP187" s="36"/>
      <c r="BQ187" s="36"/>
    </row>
    <row r="188">
      <c r="A188" s="45"/>
      <c r="B188" s="45"/>
      <c r="C188" s="45"/>
      <c r="D188" s="45"/>
      <c r="E188" s="45"/>
      <c r="F188" s="45"/>
      <c r="G188" s="46"/>
      <c r="H188" s="46"/>
      <c r="I188" s="46"/>
      <c r="J188" s="46"/>
      <c r="K188" s="45"/>
      <c r="L188" s="45"/>
      <c r="M188" s="45"/>
      <c r="N188" s="45"/>
      <c r="O188" s="45"/>
      <c r="P188" s="45"/>
      <c r="Q188" s="45"/>
      <c r="R188" s="50"/>
      <c r="AM188" s="45"/>
      <c r="AN188" s="45"/>
      <c r="AO188" s="45"/>
      <c r="AP188" s="45"/>
      <c r="AQ188" s="36"/>
      <c r="AR188" s="36"/>
      <c r="AS188" s="36"/>
      <c r="AT188" s="36"/>
      <c r="AU188" s="36"/>
      <c r="AV188" s="36"/>
      <c r="AW188" s="36"/>
      <c r="AX188" s="36"/>
      <c r="AY188" s="36"/>
      <c r="AZ188" s="36"/>
      <c r="BA188" s="36"/>
      <c r="BB188" s="36"/>
      <c r="BC188" s="36"/>
      <c r="BD188" s="36"/>
      <c r="BE188" s="36"/>
      <c r="BF188" s="36"/>
      <c r="BG188" s="36"/>
      <c r="BH188" s="36"/>
      <c r="BI188" s="36"/>
      <c r="BJ188" s="36"/>
      <c r="BK188" s="36"/>
      <c r="BL188" s="36"/>
      <c r="BM188" s="36"/>
      <c r="BN188" s="36"/>
      <c r="BO188" s="36"/>
      <c r="BP188" s="36"/>
      <c r="BQ188" s="36"/>
    </row>
    <row r="189">
      <c r="A189" s="45"/>
      <c r="B189" s="45"/>
      <c r="C189" s="45"/>
      <c r="D189" s="45"/>
      <c r="E189" s="45"/>
      <c r="F189" s="45"/>
      <c r="G189" s="46"/>
      <c r="H189" s="46"/>
      <c r="I189" s="46"/>
      <c r="J189" s="46"/>
      <c r="K189" s="45"/>
      <c r="L189" s="45"/>
      <c r="M189" s="45"/>
      <c r="N189" s="45"/>
      <c r="O189" s="45"/>
      <c r="P189" s="45"/>
      <c r="Q189" s="45"/>
      <c r="R189" s="50"/>
      <c r="AN189" s="45"/>
      <c r="AO189" s="45"/>
      <c r="AP189" s="45"/>
      <c r="AQ189" s="36"/>
      <c r="AR189" s="36"/>
      <c r="AS189" s="36"/>
      <c r="AT189" s="36"/>
      <c r="AU189" s="36"/>
      <c r="AV189" s="36"/>
      <c r="AW189" s="36"/>
      <c r="AX189" s="36"/>
      <c r="AY189" s="36"/>
      <c r="AZ189" s="36"/>
      <c r="BA189" s="36"/>
      <c r="BB189" s="36"/>
      <c r="BC189" s="36"/>
      <c r="BD189" s="36"/>
      <c r="BE189" s="36"/>
      <c r="BF189" s="36"/>
      <c r="BG189" s="36"/>
      <c r="BH189" s="36"/>
      <c r="BI189" s="36"/>
      <c r="BJ189" s="36"/>
      <c r="BK189" s="36"/>
      <c r="BL189" s="36"/>
      <c r="BM189" s="36"/>
      <c r="BN189" s="36"/>
      <c r="BO189" s="36"/>
      <c r="BP189" s="36"/>
      <c r="BQ189" s="36"/>
    </row>
    <row r="190">
      <c r="A190" s="45"/>
      <c r="B190" s="45"/>
      <c r="C190" s="45"/>
      <c r="D190" s="45"/>
      <c r="E190" s="45"/>
      <c r="F190" s="45"/>
      <c r="G190" s="46"/>
      <c r="H190" s="46"/>
      <c r="I190" s="46"/>
      <c r="J190" s="46"/>
      <c r="K190" s="45"/>
      <c r="L190" s="45"/>
      <c r="M190" s="45"/>
      <c r="N190" s="45"/>
      <c r="O190" s="45"/>
      <c r="P190" s="45"/>
      <c r="Q190" s="45"/>
      <c r="R190" s="50"/>
      <c r="AN190" s="45"/>
      <c r="AO190" s="45"/>
      <c r="AP190" s="45"/>
      <c r="AQ190" s="36"/>
      <c r="AR190" s="36"/>
      <c r="AS190" s="36"/>
      <c r="AT190" s="36"/>
      <c r="AU190" s="36"/>
      <c r="AV190" s="36"/>
      <c r="AW190" s="36"/>
      <c r="AX190" s="36"/>
      <c r="AY190" s="36"/>
      <c r="AZ190" s="36"/>
      <c r="BA190" s="36"/>
      <c r="BB190" s="36"/>
      <c r="BC190" s="36"/>
      <c r="BD190" s="36"/>
      <c r="BE190" s="36"/>
      <c r="BF190" s="36"/>
      <c r="BG190" s="36"/>
      <c r="BH190" s="36"/>
      <c r="BI190" s="36"/>
      <c r="BJ190" s="36"/>
      <c r="BK190" s="36"/>
      <c r="BL190" s="36"/>
      <c r="BM190" s="36"/>
      <c r="BN190" s="36"/>
      <c r="BO190" s="36"/>
      <c r="BP190" s="36"/>
      <c r="BQ190" s="36"/>
    </row>
    <row r="191">
      <c r="A191" s="45"/>
      <c r="B191" s="45"/>
      <c r="C191" s="45"/>
      <c r="D191" s="45"/>
      <c r="E191" s="45"/>
      <c r="F191" s="45"/>
      <c r="G191" s="46"/>
      <c r="H191" s="46"/>
      <c r="I191" s="46"/>
      <c r="J191" s="46"/>
      <c r="K191" s="45"/>
      <c r="L191" s="45"/>
      <c r="M191" s="45"/>
      <c r="N191" s="45"/>
      <c r="O191" s="45"/>
      <c r="P191" s="45"/>
      <c r="Q191" s="45"/>
      <c r="R191" s="50"/>
      <c r="AN191" s="45"/>
      <c r="AO191" s="45"/>
      <c r="AP191" s="45"/>
      <c r="AQ191" s="36"/>
      <c r="AR191" s="36"/>
      <c r="AS191" s="36"/>
      <c r="AT191" s="36"/>
      <c r="AU191" s="36"/>
      <c r="AV191" s="36"/>
      <c r="AW191" s="36"/>
      <c r="AX191" s="36"/>
      <c r="AY191" s="36"/>
      <c r="AZ191" s="36"/>
      <c r="BA191" s="36"/>
      <c r="BB191" s="36"/>
      <c r="BC191" s="36"/>
      <c r="BD191" s="36"/>
      <c r="BE191" s="36"/>
      <c r="BF191" s="36"/>
      <c r="BG191" s="36"/>
      <c r="BH191" s="36"/>
      <c r="BI191" s="36"/>
      <c r="BJ191" s="36"/>
      <c r="BK191" s="36"/>
      <c r="BL191" s="36"/>
      <c r="BM191" s="36"/>
      <c r="BN191" s="36"/>
      <c r="BO191" s="36"/>
      <c r="BP191" s="36"/>
      <c r="BQ191" s="36"/>
    </row>
    <row r="192">
      <c r="A192" s="45"/>
      <c r="B192" s="45"/>
      <c r="C192" s="45"/>
      <c r="D192" s="45"/>
      <c r="E192" s="45"/>
      <c r="F192" s="45"/>
      <c r="G192" s="46"/>
      <c r="H192" s="46"/>
      <c r="I192" s="46"/>
      <c r="J192" s="46"/>
      <c r="K192" s="45"/>
      <c r="L192" s="45"/>
      <c r="M192" s="45"/>
      <c r="N192" s="45"/>
      <c r="O192" s="45"/>
      <c r="P192" s="45"/>
      <c r="Q192" s="45"/>
      <c r="R192" s="50"/>
      <c r="AN192" s="45"/>
      <c r="AO192" s="45"/>
      <c r="AP192" s="45"/>
      <c r="AQ192" s="36"/>
      <c r="AR192" s="36"/>
      <c r="AS192" s="36"/>
      <c r="AT192" s="36"/>
      <c r="AU192" s="36"/>
      <c r="AV192" s="36"/>
      <c r="AW192" s="36"/>
      <c r="AX192" s="36"/>
      <c r="AY192" s="36"/>
      <c r="AZ192" s="36"/>
      <c r="BA192" s="36"/>
      <c r="BB192" s="36"/>
      <c r="BC192" s="36"/>
      <c r="BD192" s="36"/>
      <c r="BE192" s="36"/>
      <c r="BF192" s="36"/>
      <c r="BG192" s="36"/>
      <c r="BH192" s="36"/>
      <c r="BI192" s="36"/>
      <c r="BJ192" s="36"/>
      <c r="BK192" s="36"/>
      <c r="BL192" s="36"/>
      <c r="BM192" s="36"/>
      <c r="BN192" s="36"/>
      <c r="BO192" s="36"/>
      <c r="BP192" s="36"/>
      <c r="BQ192" s="36"/>
    </row>
    <row r="193">
      <c r="A193" s="45"/>
      <c r="B193" s="45"/>
      <c r="C193" s="45"/>
      <c r="D193" s="45"/>
      <c r="E193" s="45"/>
      <c r="F193" s="45"/>
      <c r="G193" s="46"/>
      <c r="H193" s="46"/>
      <c r="I193" s="46"/>
      <c r="J193" s="46"/>
      <c r="K193" s="45"/>
      <c r="L193" s="45"/>
      <c r="M193" s="45"/>
      <c r="N193" s="45"/>
      <c r="O193" s="45"/>
      <c r="P193" s="45"/>
      <c r="Q193" s="45"/>
      <c r="R193" s="50"/>
      <c r="AN193" s="45"/>
      <c r="AO193" s="45"/>
      <c r="AP193" s="45"/>
      <c r="AQ193" s="36"/>
      <c r="AR193" s="36"/>
      <c r="AS193" s="36"/>
      <c r="AT193" s="36"/>
      <c r="AU193" s="36"/>
      <c r="AV193" s="36"/>
      <c r="AW193" s="36"/>
      <c r="AX193" s="36"/>
      <c r="AY193" s="36"/>
      <c r="AZ193" s="36"/>
      <c r="BA193" s="36"/>
      <c r="BB193" s="36"/>
      <c r="BC193" s="36"/>
      <c r="BD193" s="36"/>
      <c r="BE193" s="36"/>
      <c r="BF193" s="36"/>
      <c r="BG193" s="36"/>
      <c r="BH193" s="36"/>
      <c r="BI193" s="36"/>
      <c r="BJ193" s="36"/>
      <c r="BK193" s="36"/>
      <c r="BL193" s="36"/>
      <c r="BM193" s="36"/>
      <c r="BN193" s="36"/>
      <c r="BO193" s="36"/>
      <c r="BP193" s="36"/>
      <c r="BQ193" s="36"/>
    </row>
    <row r="194">
      <c r="A194" s="45"/>
      <c r="B194" s="45"/>
      <c r="C194" s="45"/>
      <c r="D194" s="45"/>
      <c r="E194" s="45"/>
      <c r="F194" s="45"/>
      <c r="G194" s="46"/>
      <c r="H194" s="46"/>
      <c r="I194" s="46"/>
      <c r="J194" s="46"/>
      <c r="K194" s="45"/>
      <c r="L194" s="45"/>
      <c r="M194" s="45"/>
      <c r="N194" s="45"/>
      <c r="O194" s="45"/>
      <c r="P194" s="45"/>
      <c r="Q194" s="45"/>
      <c r="R194" s="50"/>
      <c r="AN194" s="45"/>
      <c r="AO194" s="45"/>
      <c r="AP194" s="45"/>
      <c r="AQ194" s="36"/>
      <c r="AR194" s="36"/>
      <c r="AS194" s="36"/>
      <c r="AT194" s="36"/>
      <c r="AU194" s="36"/>
      <c r="AV194" s="36"/>
      <c r="AW194" s="36"/>
      <c r="AX194" s="36"/>
      <c r="AY194" s="36"/>
      <c r="AZ194" s="36"/>
      <c r="BA194" s="36"/>
      <c r="BB194" s="36"/>
      <c r="BC194" s="36"/>
      <c r="BD194" s="36"/>
      <c r="BE194" s="36"/>
      <c r="BF194" s="36"/>
      <c r="BG194" s="36"/>
      <c r="BH194" s="36"/>
      <c r="BI194" s="36"/>
      <c r="BJ194" s="36"/>
      <c r="BK194" s="36"/>
      <c r="BL194" s="36"/>
      <c r="BM194" s="36"/>
      <c r="BN194" s="36"/>
      <c r="BO194" s="36"/>
      <c r="BP194" s="36"/>
      <c r="BQ194" s="36"/>
    </row>
    <row r="195">
      <c r="A195" s="45"/>
      <c r="B195" s="45"/>
      <c r="C195" s="45"/>
      <c r="D195" s="45"/>
      <c r="E195" s="45"/>
      <c r="F195" s="45"/>
      <c r="G195" s="46"/>
      <c r="H195" s="46"/>
      <c r="I195" s="46"/>
      <c r="J195" s="46"/>
      <c r="K195" s="45"/>
      <c r="L195" s="45"/>
      <c r="M195" s="45"/>
      <c r="N195" s="45"/>
      <c r="O195" s="45"/>
      <c r="P195" s="45"/>
      <c r="Q195" s="45"/>
      <c r="R195" s="50"/>
      <c r="AN195" s="45"/>
      <c r="AO195" s="45"/>
      <c r="AP195" s="45"/>
      <c r="AQ195" s="36"/>
      <c r="AR195" s="36"/>
      <c r="AS195" s="36"/>
      <c r="AT195" s="36"/>
      <c r="AU195" s="36"/>
      <c r="AV195" s="36"/>
      <c r="AW195" s="36"/>
      <c r="AX195" s="36"/>
      <c r="AY195" s="36"/>
      <c r="AZ195" s="36"/>
      <c r="BA195" s="36"/>
      <c r="BB195" s="36"/>
      <c r="BC195" s="36"/>
      <c r="BD195" s="36"/>
      <c r="BE195" s="36"/>
      <c r="BF195" s="36"/>
      <c r="BG195" s="36"/>
      <c r="BH195" s="36"/>
      <c r="BI195" s="36"/>
      <c r="BJ195" s="36"/>
      <c r="BK195" s="36"/>
      <c r="BL195" s="36"/>
      <c r="BM195" s="36"/>
      <c r="BN195" s="36"/>
      <c r="BO195" s="36"/>
      <c r="BP195" s="36"/>
      <c r="BQ195" s="36"/>
    </row>
    <row r="196">
      <c r="A196" s="45"/>
      <c r="B196" s="45"/>
      <c r="C196" s="45"/>
      <c r="D196" s="45"/>
      <c r="E196" s="45"/>
      <c r="F196" s="45"/>
      <c r="G196" s="46"/>
      <c r="H196" s="46"/>
      <c r="I196" s="46"/>
      <c r="J196" s="46"/>
      <c r="K196" s="45"/>
      <c r="L196" s="45"/>
      <c r="M196" s="45"/>
      <c r="N196" s="45"/>
      <c r="O196" s="45"/>
      <c r="P196" s="45"/>
      <c r="Q196" s="45"/>
      <c r="R196" s="50"/>
      <c r="AN196" s="45"/>
      <c r="AO196" s="45"/>
      <c r="AP196" s="45"/>
      <c r="AQ196" s="36"/>
      <c r="AR196" s="36"/>
      <c r="AS196" s="36"/>
      <c r="AT196" s="36"/>
      <c r="AU196" s="36"/>
      <c r="AV196" s="36"/>
      <c r="AW196" s="36"/>
      <c r="AX196" s="36"/>
      <c r="AY196" s="36"/>
      <c r="AZ196" s="36"/>
      <c r="BA196" s="36"/>
      <c r="BB196" s="36"/>
      <c r="BC196" s="36"/>
      <c r="BD196" s="36"/>
      <c r="BE196" s="36"/>
      <c r="BF196" s="36"/>
      <c r="BG196" s="36"/>
      <c r="BH196" s="36"/>
      <c r="BI196" s="36"/>
      <c r="BJ196" s="36"/>
      <c r="BK196" s="36"/>
      <c r="BL196" s="36"/>
      <c r="BM196" s="36"/>
      <c r="BN196" s="36"/>
      <c r="BO196" s="36"/>
      <c r="BP196" s="36"/>
      <c r="BQ196" s="36"/>
    </row>
    <row r="197">
      <c r="A197" s="45"/>
      <c r="B197" s="45"/>
      <c r="C197" s="45"/>
      <c r="D197" s="45"/>
      <c r="E197" s="45"/>
      <c r="F197" s="45"/>
      <c r="G197" s="46"/>
      <c r="H197" s="46"/>
      <c r="I197" s="46"/>
      <c r="J197" s="46"/>
      <c r="K197" s="45"/>
      <c r="L197" s="45"/>
      <c r="M197" s="45"/>
      <c r="N197" s="45"/>
      <c r="O197" s="45"/>
      <c r="P197" s="45"/>
      <c r="Q197" s="45"/>
      <c r="R197" s="50"/>
      <c r="AN197" s="45"/>
      <c r="AO197" s="45"/>
      <c r="AP197" s="45"/>
      <c r="AQ197" s="36"/>
      <c r="AR197" s="36"/>
      <c r="AS197" s="36"/>
      <c r="AT197" s="36"/>
      <c r="AU197" s="36"/>
      <c r="AV197" s="36"/>
      <c r="AW197" s="36"/>
      <c r="AX197" s="36"/>
      <c r="AY197" s="36"/>
      <c r="AZ197" s="36"/>
      <c r="BA197" s="36"/>
      <c r="BB197" s="36"/>
      <c r="BC197" s="36"/>
      <c r="BD197" s="36"/>
      <c r="BE197" s="36"/>
      <c r="BF197" s="36"/>
      <c r="BG197" s="36"/>
      <c r="BH197" s="36"/>
      <c r="BI197" s="36"/>
      <c r="BJ197" s="36"/>
      <c r="BK197" s="36"/>
      <c r="BL197" s="36"/>
      <c r="BM197" s="36"/>
      <c r="BN197" s="36"/>
      <c r="BO197" s="36"/>
      <c r="BP197" s="36"/>
      <c r="BQ197" s="36"/>
    </row>
    <row r="198">
      <c r="A198" s="45"/>
      <c r="B198" s="45"/>
      <c r="C198" s="45"/>
      <c r="D198" s="45"/>
      <c r="E198" s="45"/>
      <c r="F198" s="45"/>
      <c r="G198" s="46"/>
      <c r="H198" s="46"/>
      <c r="I198" s="46"/>
      <c r="J198" s="46"/>
      <c r="K198" s="45"/>
      <c r="L198" s="45"/>
      <c r="M198" s="45"/>
      <c r="N198" s="45"/>
      <c r="O198" s="45"/>
      <c r="P198" s="45"/>
      <c r="Q198" s="45"/>
      <c r="R198" s="50"/>
      <c r="AN198" s="45"/>
      <c r="AO198" s="45"/>
      <c r="AP198" s="45"/>
      <c r="AQ198" s="36"/>
      <c r="AR198" s="36"/>
      <c r="AS198" s="36"/>
      <c r="AT198" s="36"/>
      <c r="AU198" s="36"/>
      <c r="AV198" s="36"/>
      <c r="AW198" s="36"/>
      <c r="AX198" s="36"/>
      <c r="AY198" s="36"/>
      <c r="AZ198" s="36"/>
      <c r="BA198" s="36"/>
      <c r="BB198" s="36"/>
      <c r="BC198" s="36"/>
      <c r="BD198" s="36"/>
      <c r="BE198" s="36"/>
      <c r="BF198" s="36"/>
      <c r="BG198" s="36"/>
      <c r="BH198" s="36"/>
      <c r="BI198" s="36"/>
      <c r="BJ198" s="36"/>
      <c r="BK198" s="36"/>
      <c r="BL198" s="36"/>
      <c r="BM198" s="36"/>
      <c r="BN198" s="36"/>
      <c r="BO198" s="36"/>
      <c r="BP198" s="36"/>
      <c r="BQ198" s="36"/>
    </row>
    <row r="199">
      <c r="A199" s="45"/>
      <c r="B199" s="45"/>
      <c r="C199" s="45"/>
      <c r="D199" s="45"/>
      <c r="E199" s="45"/>
      <c r="F199" s="45"/>
      <c r="G199" s="46"/>
      <c r="H199" s="46"/>
      <c r="I199" s="46"/>
      <c r="J199" s="46"/>
      <c r="K199" s="45"/>
      <c r="L199" s="45"/>
      <c r="M199" s="45"/>
      <c r="N199" s="45"/>
      <c r="O199" s="45"/>
      <c r="P199" s="45"/>
      <c r="Q199" s="45"/>
      <c r="R199" s="50"/>
      <c r="AN199" s="45"/>
      <c r="AO199" s="45"/>
      <c r="AP199" s="45"/>
      <c r="AQ199" s="36"/>
      <c r="AR199" s="36"/>
      <c r="AS199" s="36"/>
      <c r="AT199" s="36"/>
      <c r="AU199" s="36"/>
      <c r="AV199" s="36"/>
      <c r="AW199" s="36"/>
      <c r="AX199" s="36"/>
      <c r="AY199" s="36"/>
      <c r="AZ199" s="36"/>
      <c r="BA199" s="36"/>
      <c r="BB199" s="36"/>
      <c r="BC199" s="36"/>
      <c r="BD199" s="36"/>
      <c r="BE199" s="36"/>
      <c r="BF199" s="36"/>
      <c r="BG199" s="36"/>
      <c r="BH199" s="36"/>
      <c r="BI199" s="36"/>
      <c r="BJ199" s="36"/>
      <c r="BK199" s="36"/>
      <c r="BL199" s="36"/>
      <c r="BM199" s="36"/>
      <c r="BN199" s="36"/>
      <c r="BO199" s="36"/>
      <c r="BP199" s="36"/>
      <c r="BQ199" s="36"/>
    </row>
    <row r="200">
      <c r="A200" s="45"/>
      <c r="B200" s="45"/>
      <c r="C200" s="45"/>
      <c r="D200" s="45"/>
      <c r="E200" s="45"/>
      <c r="F200" s="45"/>
      <c r="G200" s="46"/>
      <c r="H200" s="46"/>
      <c r="I200" s="46"/>
      <c r="J200" s="46"/>
      <c r="K200" s="45"/>
      <c r="L200" s="45"/>
      <c r="M200" s="45"/>
      <c r="N200" s="45"/>
      <c r="O200" s="45"/>
      <c r="P200" s="45"/>
      <c r="Q200" s="45"/>
      <c r="R200" s="50"/>
      <c r="AM200" s="45"/>
      <c r="AN200" s="45"/>
      <c r="AO200" s="45"/>
      <c r="AP200" s="45"/>
      <c r="AQ200" s="36"/>
      <c r="AR200" s="36"/>
      <c r="AS200" s="36"/>
      <c r="AT200" s="36"/>
      <c r="AU200" s="36"/>
      <c r="AV200" s="36"/>
      <c r="AW200" s="36"/>
      <c r="AX200" s="36"/>
      <c r="AY200" s="36"/>
      <c r="AZ200" s="36"/>
      <c r="BA200" s="36"/>
      <c r="BB200" s="36"/>
      <c r="BC200" s="36"/>
      <c r="BD200" s="36"/>
      <c r="BE200" s="36"/>
      <c r="BF200" s="36"/>
      <c r="BG200" s="36"/>
      <c r="BH200" s="36"/>
      <c r="BI200" s="36"/>
      <c r="BJ200" s="36"/>
      <c r="BK200" s="36"/>
      <c r="BL200" s="36"/>
      <c r="BM200" s="36"/>
      <c r="BN200" s="36"/>
      <c r="BO200" s="36"/>
      <c r="BP200" s="36"/>
      <c r="BQ200" s="36"/>
    </row>
    <row r="201">
      <c r="A201" s="45"/>
      <c r="B201" s="45"/>
      <c r="C201" s="45"/>
      <c r="D201" s="45"/>
      <c r="E201" s="45"/>
      <c r="F201" s="45"/>
      <c r="G201" s="46"/>
      <c r="H201" s="46"/>
      <c r="I201" s="46"/>
      <c r="J201" s="46"/>
      <c r="K201" s="45"/>
      <c r="L201" s="45"/>
      <c r="M201" s="45"/>
      <c r="N201" s="45"/>
      <c r="O201" s="45"/>
      <c r="P201" s="45"/>
      <c r="Q201" s="45"/>
      <c r="R201" s="50"/>
      <c r="AD201" s="50"/>
      <c r="AE201" s="50"/>
      <c r="AF201" s="50"/>
      <c r="AG201" s="50"/>
      <c r="AH201" s="50"/>
      <c r="AI201" s="50"/>
      <c r="AJ201" s="45"/>
      <c r="AK201" s="45"/>
      <c r="AL201" s="45"/>
      <c r="AM201" s="45"/>
      <c r="AN201" s="45"/>
      <c r="AO201" s="45"/>
      <c r="AP201" s="45"/>
      <c r="AQ201" s="36"/>
      <c r="AR201" s="36"/>
      <c r="AS201" s="36"/>
      <c r="AT201" s="36"/>
      <c r="AU201" s="36"/>
      <c r="AV201" s="36"/>
      <c r="AW201" s="36"/>
      <c r="AX201" s="36"/>
      <c r="AY201" s="36"/>
      <c r="AZ201" s="36"/>
      <c r="BA201" s="36"/>
      <c r="BB201" s="36"/>
      <c r="BC201" s="36"/>
      <c r="BD201" s="36"/>
      <c r="BE201" s="36"/>
      <c r="BF201" s="36"/>
      <c r="BG201" s="36"/>
      <c r="BH201" s="36"/>
      <c r="BI201" s="36"/>
      <c r="BJ201" s="36"/>
      <c r="BK201" s="36"/>
      <c r="BL201" s="36"/>
      <c r="BM201" s="36"/>
      <c r="BN201" s="36"/>
      <c r="BO201" s="36"/>
      <c r="BP201" s="36"/>
      <c r="BQ201" s="36"/>
    </row>
    <row r="202">
      <c r="A202" s="45"/>
      <c r="B202" s="45"/>
      <c r="C202" s="45"/>
      <c r="D202" s="45"/>
      <c r="E202" s="45"/>
      <c r="F202" s="45"/>
      <c r="G202" s="46"/>
      <c r="H202" s="46"/>
      <c r="I202" s="46"/>
      <c r="J202" s="46"/>
      <c r="K202" s="45"/>
      <c r="L202" s="45"/>
      <c r="M202" s="45"/>
      <c r="N202" s="45"/>
      <c r="O202" s="45"/>
      <c r="P202" s="45"/>
      <c r="Q202" s="45"/>
      <c r="R202" s="50"/>
      <c r="AD202" s="50"/>
      <c r="AE202" s="50"/>
      <c r="AF202" s="50"/>
      <c r="AG202" s="50"/>
      <c r="AH202" s="50"/>
      <c r="AI202" s="50"/>
      <c r="AJ202" s="45"/>
      <c r="AK202" s="45"/>
      <c r="AL202" s="45"/>
      <c r="AM202" s="45"/>
      <c r="AN202" s="45"/>
      <c r="AO202" s="45"/>
      <c r="AP202" s="45"/>
      <c r="AQ202" s="36"/>
      <c r="AR202" s="36"/>
      <c r="AS202" s="36"/>
      <c r="AT202" s="36"/>
      <c r="AU202" s="36"/>
      <c r="AV202" s="36"/>
      <c r="AW202" s="36"/>
      <c r="AX202" s="36"/>
      <c r="AY202" s="36"/>
      <c r="AZ202" s="36"/>
      <c r="BA202" s="36"/>
      <c r="BB202" s="36"/>
      <c r="BC202" s="36"/>
      <c r="BD202" s="36"/>
      <c r="BE202" s="36"/>
      <c r="BF202" s="36"/>
      <c r="BG202" s="36"/>
      <c r="BH202" s="36"/>
      <c r="BI202" s="36"/>
      <c r="BJ202" s="36"/>
      <c r="BK202" s="36"/>
      <c r="BL202" s="36"/>
      <c r="BM202" s="36"/>
      <c r="BN202" s="36"/>
      <c r="BO202" s="36"/>
      <c r="BP202" s="36"/>
      <c r="BQ202" s="36"/>
    </row>
    <row r="203">
      <c r="A203" s="45"/>
      <c r="B203" s="45"/>
      <c r="C203" s="45"/>
      <c r="D203" s="45"/>
      <c r="E203" s="45"/>
      <c r="F203" s="45"/>
      <c r="G203" s="46"/>
      <c r="H203" s="46"/>
      <c r="I203" s="46"/>
      <c r="J203" s="46"/>
      <c r="K203" s="45"/>
      <c r="L203" s="45"/>
      <c r="M203" s="45"/>
      <c r="N203" s="45"/>
      <c r="O203" s="45"/>
      <c r="P203" s="45"/>
      <c r="Q203" s="45"/>
      <c r="R203" s="50"/>
      <c r="AD203" s="50"/>
      <c r="AE203" s="50"/>
      <c r="AF203" s="50"/>
      <c r="AG203" s="50"/>
      <c r="AH203" s="50"/>
      <c r="AI203" s="50"/>
      <c r="AJ203" s="45"/>
      <c r="AK203" s="45"/>
      <c r="AL203" s="45"/>
      <c r="AM203" s="45"/>
      <c r="AN203" s="45"/>
      <c r="AO203" s="45"/>
      <c r="AP203" s="45"/>
      <c r="AQ203" s="36"/>
      <c r="AR203" s="36"/>
      <c r="AS203" s="36"/>
      <c r="AT203" s="36"/>
      <c r="AU203" s="36"/>
      <c r="AV203" s="36"/>
      <c r="AW203" s="36"/>
      <c r="AX203" s="36"/>
      <c r="AY203" s="36"/>
      <c r="AZ203" s="36"/>
      <c r="BA203" s="36"/>
      <c r="BB203" s="36"/>
      <c r="BC203" s="36"/>
      <c r="BD203" s="36"/>
      <c r="BE203" s="36"/>
      <c r="BF203" s="36"/>
      <c r="BG203" s="36"/>
      <c r="BH203" s="36"/>
      <c r="BI203" s="36"/>
      <c r="BJ203" s="36"/>
      <c r="BK203" s="36"/>
      <c r="BL203" s="36"/>
      <c r="BM203" s="36"/>
      <c r="BN203" s="36"/>
      <c r="BO203" s="36"/>
      <c r="BP203" s="36"/>
      <c r="BQ203" s="36"/>
    </row>
    <row r="204">
      <c r="A204" s="45"/>
      <c r="B204" s="45"/>
      <c r="C204" s="45"/>
      <c r="D204" s="45"/>
      <c r="E204" s="45"/>
      <c r="F204" s="45"/>
      <c r="G204" s="46"/>
      <c r="H204" s="46"/>
      <c r="I204" s="46"/>
      <c r="J204" s="46"/>
      <c r="K204" s="45"/>
      <c r="L204" s="45"/>
      <c r="M204" s="45"/>
      <c r="N204" s="45"/>
      <c r="O204" s="45"/>
      <c r="P204" s="45"/>
      <c r="Q204" s="45"/>
      <c r="R204" s="50"/>
      <c r="AD204" s="50"/>
      <c r="AE204" s="50"/>
      <c r="AF204" s="50"/>
      <c r="AG204" s="50"/>
      <c r="AH204" s="50"/>
      <c r="AI204" s="50"/>
      <c r="AJ204" s="45"/>
      <c r="AK204" s="45"/>
      <c r="AL204" s="45"/>
      <c r="AM204" s="45"/>
      <c r="AN204" s="45"/>
      <c r="AO204" s="45"/>
      <c r="AP204" s="45"/>
      <c r="AQ204" s="36"/>
      <c r="AR204" s="36"/>
      <c r="AS204" s="36"/>
      <c r="AT204" s="36"/>
      <c r="AU204" s="36"/>
      <c r="AV204" s="36"/>
      <c r="AW204" s="36"/>
      <c r="AX204" s="36"/>
      <c r="AY204" s="36"/>
      <c r="AZ204" s="36"/>
      <c r="BA204" s="36"/>
      <c r="BB204" s="36"/>
      <c r="BC204" s="36"/>
      <c r="BD204" s="36"/>
      <c r="BE204" s="36"/>
      <c r="BF204" s="36"/>
      <c r="BG204" s="36"/>
      <c r="BH204" s="36"/>
      <c r="BI204" s="36"/>
      <c r="BJ204" s="36"/>
      <c r="BK204" s="36"/>
      <c r="BL204" s="36"/>
      <c r="BM204" s="36"/>
      <c r="BN204" s="36"/>
      <c r="BO204" s="36"/>
      <c r="BP204" s="36"/>
      <c r="BQ204" s="36"/>
    </row>
    <row r="205">
      <c r="A205" s="45"/>
      <c r="B205" s="45"/>
      <c r="C205" s="45"/>
      <c r="D205" s="45"/>
      <c r="E205" s="45"/>
      <c r="F205" s="45"/>
      <c r="G205" s="46"/>
      <c r="H205" s="46"/>
      <c r="I205" s="46"/>
      <c r="J205" s="46"/>
      <c r="K205" s="45"/>
      <c r="L205" s="45"/>
      <c r="M205" s="45"/>
      <c r="N205" s="45"/>
      <c r="O205" s="45"/>
      <c r="P205" s="45"/>
      <c r="Q205" s="45"/>
      <c r="R205" s="50"/>
      <c r="AD205" s="50"/>
      <c r="AE205" s="50"/>
      <c r="AF205" s="50"/>
      <c r="AG205" s="50"/>
      <c r="AH205" s="50"/>
      <c r="AI205" s="50"/>
      <c r="AJ205" s="45"/>
      <c r="AK205" s="45"/>
      <c r="AL205" s="45"/>
      <c r="AM205" s="45"/>
      <c r="AN205" s="45"/>
      <c r="AO205" s="45"/>
      <c r="AP205" s="45"/>
      <c r="AQ205" s="36"/>
      <c r="AR205" s="36"/>
      <c r="AS205" s="36"/>
      <c r="AT205" s="36"/>
      <c r="AU205" s="36"/>
      <c r="AV205" s="36"/>
      <c r="AW205" s="36"/>
      <c r="AX205" s="36"/>
      <c r="AY205" s="36"/>
      <c r="AZ205" s="36"/>
      <c r="BA205" s="36"/>
      <c r="BB205" s="36"/>
      <c r="BC205" s="36"/>
      <c r="BD205" s="36"/>
      <c r="BE205" s="36"/>
      <c r="BF205" s="36"/>
      <c r="BG205" s="36"/>
      <c r="BH205" s="36"/>
      <c r="BI205" s="36"/>
      <c r="BJ205" s="36"/>
      <c r="BK205" s="36"/>
      <c r="BL205" s="36"/>
      <c r="BM205" s="36"/>
      <c r="BN205" s="36"/>
      <c r="BO205" s="36"/>
      <c r="BP205" s="36"/>
      <c r="BQ205" s="36"/>
    </row>
    <row r="206">
      <c r="A206" s="45"/>
      <c r="B206" s="45"/>
      <c r="C206" s="45"/>
      <c r="D206" s="45"/>
      <c r="E206" s="45"/>
      <c r="F206" s="45"/>
      <c r="G206" s="46"/>
      <c r="H206" s="46"/>
      <c r="I206" s="46"/>
      <c r="J206" s="46"/>
      <c r="K206" s="45"/>
      <c r="L206" s="45"/>
      <c r="M206" s="45"/>
      <c r="N206" s="45"/>
      <c r="O206" s="45"/>
      <c r="P206" s="45"/>
      <c r="Q206" s="45"/>
      <c r="R206" s="42"/>
      <c r="AD206" s="42"/>
      <c r="AE206" s="42"/>
      <c r="AF206" s="42"/>
      <c r="AG206" s="42"/>
      <c r="AH206" s="42"/>
      <c r="AI206" s="42"/>
      <c r="AJ206" s="45"/>
      <c r="AK206" s="45"/>
      <c r="AL206" s="45"/>
      <c r="AM206" s="45"/>
      <c r="AN206" s="45"/>
      <c r="AO206" s="45"/>
      <c r="AP206" s="45"/>
      <c r="AQ206" s="36"/>
      <c r="AR206" s="36"/>
      <c r="AS206" s="36"/>
      <c r="AT206" s="36"/>
      <c r="AU206" s="36"/>
      <c r="AV206" s="36"/>
      <c r="AW206" s="36"/>
      <c r="AX206" s="36"/>
      <c r="AY206" s="36"/>
      <c r="AZ206" s="36"/>
      <c r="BA206" s="36"/>
      <c r="BB206" s="36"/>
      <c r="BC206" s="36"/>
      <c r="BD206" s="36"/>
      <c r="BE206" s="36"/>
      <c r="BF206" s="36"/>
      <c r="BG206" s="36"/>
      <c r="BH206" s="36"/>
      <c r="BI206" s="36"/>
      <c r="BJ206" s="36"/>
      <c r="BK206" s="36"/>
      <c r="BL206" s="36"/>
      <c r="BM206" s="36"/>
      <c r="BN206" s="36"/>
      <c r="BO206" s="36"/>
      <c r="BP206" s="36"/>
      <c r="BQ206" s="36"/>
    </row>
    <row r="207">
      <c r="A207" s="45"/>
      <c r="B207" s="45"/>
      <c r="C207" s="45"/>
      <c r="D207" s="45"/>
      <c r="E207" s="45"/>
      <c r="F207" s="45"/>
      <c r="G207" s="46"/>
      <c r="H207" s="46"/>
      <c r="I207" s="46"/>
      <c r="J207" s="46"/>
      <c r="K207" s="45"/>
      <c r="L207" s="45"/>
      <c r="M207" s="45"/>
      <c r="N207" s="45"/>
      <c r="O207" s="45"/>
      <c r="P207" s="45"/>
      <c r="Q207" s="45"/>
      <c r="R207" s="42"/>
      <c r="AD207" s="42"/>
      <c r="AE207" s="42"/>
      <c r="AF207" s="42"/>
      <c r="AG207" s="42"/>
      <c r="AH207" s="42"/>
      <c r="AI207" s="42"/>
      <c r="AJ207" s="45"/>
      <c r="AK207" s="45"/>
      <c r="AL207" s="45"/>
      <c r="AM207" s="45"/>
      <c r="AN207" s="45"/>
      <c r="AO207" s="45"/>
      <c r="AP207" s="45"/>
      <c r="AQ207" s="36"/>
      <c r="AR207" s="36"/>
      <c r="AS207" s="36"/>
      <c r="AT207" s="36"/>
      <c r="AU207" s="36"/>
      <c r="AV207" s="36"/>
      <c r="AW207" s="36"/>
      <c r="AX207" s="36"/>
      <c r="AY207" s="36"/>
      <c r="AZ207" s="36"/>
      <c r="BA207" s="36"/>
      <c r="BB207" s="36"/>
      <c r="BC207" s="36"/>
      <c r="BD207" s="36"/>
      <c r="BE207" s="36"/>
      <c r="BF207" s="36"/>
      <c r="BG207" s="36"/>
      <c r="BH207" s="36"/>
      <c r="BI207" s="36"/>
      <c r="BJ207" s="36"/>
      <c r="BK207" s="36"/>
      <c r="BL207" s="36"/>
      <c r="BM207" s="36"/>
      <c r="BN207" s="36"/>
      <c r="BO207" s="36"/>
      <c r="BP207" s="36"/>
      <c r="BQ207" s="36"/>
    </row>
    <row r="208">
      <c r="A208" s="45"/>
      <c r="B208" s="45"/>
      <c r="C208" s="45"/>
      <c r="D208" s="45"/>
      <c r="E208" s="45"/>
      <c r="F208" s="45"/>
      <c r="G208" s="46"/>
      <c r="H208" s="46"/>
      <c r="I208" s="46"/>
      <c r="J208" s="46"/>
      <c r="K208" s="45"/>
      <c r="L208" s="45"/>
      <c r="M208" s="45"/>
      <c r="N208" s="45"/>
      <c r="O208" s="45"/>
      <c r="P208" s="45"/>
      <c r="Q208" s="45"/>
      <c r="R208" s="42"/>
      <c r="AD208" s="42"/>
      <c r="AE208" s="42"/>
      <c r="AF208" s="42"/>
      <c r="AG208" s="42"/>
      <c r="AH208" s="42"/>
      <c r="AI208" s="42"/>
      <c r="AJ208" s="45"/>
      <c r="AK208" s="45"/>
      <c r="AL208" s="45"/>
      <c r="AM208" s="45"/>
      <c r="AN208" s="45"/>
      <c r="AO208" s="45"/>
      <c r="AP208" s="45"/>
      <c r="AQ208" s="36"/>
      <c r="AR208" s="36"/>
      <c r="AS208" s="36"/>
      <c r="AT208" s="36"/>
      <c r="AU208" s="36"/>
      <c r="AV208" s="36"/>
      <c r="AW208" s="36"/>
      <c r="AX208" s="36"/>
      <c r="AY208" s="36"/>
      <c r="AZ208" s="36"/>
      <c r="BA208" s="36"/>
      <c r="BB208" s="36"/>
      <c r="BC208" s="36"/>
      <c r="BD208" s="36"/>
      <c r="BE208" s="36"/>
      <c r="BF208" s="36"/>
      <c r="BG208" s="36"/>
      <c r="BH208" s="36"/>
      <c r="BI208" s="36"/>
      <c r="BJ208" s="36"/>
      <c r="BK208" s="36"/>
      <c r="BL208" s="36"/>
      <c r="BM208" s="36"/>
      <c r="BN208" s="36"/>
      <c r="BO208" s="36"/>
      <c r="BP208" s="36"/>
      <c r="BQ208" s="36"/>
    </row>
    <row r="209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2"/>
      <c r="AD209" s="42"/>
      <c r="AE209" s="42"/>
      <c r="AF209" s="42"/>
      <c r="AG209" s="42"/>
      <c r="AH209" s="42"/>
      <c r="AI209" s="42"/>
      <c r="AJ209" s="45"/>
      <c r="AK209" s="45"/>
      <c r="AL209" s="45"/>
      <c r="AM209" s="45"/>
      <c r="AN209" s="45"/>
      <c r="AO209" s="45"/>
      <c r="AP209" s="45"/>
      <c r="AQ209" s="36"/>
      <c r="AR209" s="36"/>
      <c r="AS209" s="36"/>
      <c r="AT209" s="36"/>
      <c r="AU209" s="36"/>
      <c r="AV209" s="36"/>
      <c r="AW209" s="36"/>
      <c r="AX209" s="36"/>
      <c r="AY209" s="36"/>
      <c r="AZ209" s="36"/>
      <c r="BA209" s="36"/>
      <c r="BB209" s="36"/>
      <c r="BC209" s="36"/>
      <c r="BD209" s="36"/>
      <c r="BE209" s="36"/>
      <c r="BF209" s="36"/>
      <c r="BG209" s="36"/>
      <c r="BH209" s="36"/>
      <c r="BI209" s="36"/>
      <c r="BJ209" s="36"/>
      <c r="BK209" s="36"/>
      <c r="BL209" s="36"/>
      <c r="BM209" s="36"/>
      <c r="BN209" s="36"/>
      <c r="BO209" s="36"/>
      <c r="BP209" s="36"/>
      <c r="BQ209" s="36"/>
    </row>
    <row r="210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2"/>
      <c r="AD210" s="42"/>
      <c r="AE210" s="42"/>
      <c r="AF210" s="42"/>
      <c r="AG210" s="42"/>
      <c r="AH210" s="42"/>
      <c r="AI210" s="42"/>
      <c r="AJ210" s="45"/>
      <c r="AK210" s="45"/>
      <c r="AL210" s="45"/>
      <c r="AM210" s="45"/>
      <c r="AN210" s="45"/>
      <c r="AO210" s="45"/>
      <c r="AP210" s="45"/>
      <c r="AQ210" s="36"/>
      <c r="AR210" s="36"/>
      <c r="AS210" s="36"/>
      <c r="AT210" s="36"/>
      <c r="AU210" s="36"/>
      <c r="AV210" s="36"/>
      <c r="AW210" s="36"/>
      <c r="AX210" s="36"/>
      <c r="AY210" s="36"/>
      <c r="AZ210" s="36"/>
      <c r="BA210" s="36"/>
      <c r="BB210" s="36"/>
      <c r="BC210" s="36"/>
      <c r="BD210" s="36"/>
      <c r="BE210" s="36"/>
      <c r="BF210" s="36"/>
      <c r="BG210" s="36"/>
      <c r="BH210" s="36"/>
      <c r="BI210" s="36"/>
      <c r="BJ210" s="36"/>
      <c r="BK210" s="36"/>
      <c r="BL210" s="36"/>
      <c r="BM210" s="36"/>
      <c r="BN210" s="36"/>
      <c r="BO210" s="36"/>
      <c r="BP210" s="36"/>
      <c r="BQ210" s="36"/>
    </row>
    <row r="21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2"/>
      <c r="AD211" s="42"/>
      <c r="AE211" s="42"/>
      <c r="AF211" s="42"/>
      <c r="AG211" s="42"/>
      <c r="AH211" s="42"/>
      <c r="AI211" s="42"/>
      <c r="AJ211" s="45"/>
      <c r="AK211" s="45"/>
      <c r="AL211" s="45"/>
      <c r="AM211" s="45"/>
      <c r="AN211" s="45"/>
      <c r="AO211" s="45"/>
      <c r="AP211" s="45"/>
      <c r="AQ211" s="36"/>
      <c r="AR211" s="36"/>
      <c r="AS211" s="36"/>
      <c r="AT211" s="36"/>
      <c r="AU211" s="36"/>
      <c r="AV211" s="36"/>
      <c r="AW211" s="36"/>
      <c r="AX211" s="36"/>
      <c r="AY211" s="36"/>
      <c r="AZ211" s="36"/>
      <c r="BA211" s="36"/>
      <c r="BB211" s="36"/>
      <c r="BC211" s="36"/>
      <c r="BD211" s="36"/>
      <c r="BE211" s="36"/>
      <c r="BF211" s="36"/>
      <c r="BG211" s="36"/>
      <c r="BH211" s="36"/>
      <c r="BI211" s="36"/>
      <c r="BJ211" s="36"/>
      <c r="BK211" s="36"/>
      <c r="BL211" s="36"/>
      <c r="BM211" s="36"/>
      <c r="BN211" s="36"/>
      <c r="BO211" s="36"/>
      <c r="BP211" s="36"/>
      <c r="BQ211" s="36"/>
    </row>
    <row r="212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2"/>
      <c r="AD212" s="42"/>
      <c r="AE212" s="42"/>
      <c r="AF212" s="42"/>
      <c r="AG212" s="42"/>
      <c r="AH212" s="42"/>
      <c r="AI212" s="42"/>
      <c r="AJ212" s="45"/>
      <c r="AK212" s="45"/>
      <c r="AL212" s="45"/>
      <c r="AM212" s="45"/>
      <c r="AN212" s="45"/>
      <c r="AO212" s="45"/>
      <c r="AP212" s="45"/>
      <c r="AQ212" s="36"/>
      <c r="AR212" s="36"/>
      <c r="AS212" s="36"/>
      <c r="AT212" s="36"/>
      <c r="AU212" s="36"/>
      <c r="AV212" s="36"/>
      <c r="AW212" s="36"/>
      <c r="AX212" s="36"/>
      <c r="AY212" s="36"/>
      <c r="AZ212" s="36"/>
      <c r="BA212" s="36"/>
      <c r="BB212" s="36"/>
      <c r="BC212" s="36"/>
      <c r="BD212" s="36"/>
      <c r="BE212" s="36"/>
      <c r="BF212" s="36"/>
      <c r="BG212" s="36"/>
      <c r="BH212" s="36"/>
      <c r="BI212" s="36"/>
      <c r="BJ212" s="36"/>
      <c r="BK212" s="36"/>
      <c r="BL212" s="36"/>
      <c r="BM212" s="36"/>
      <c r="BN212" s="36"/>
      <c r="BO212" s="36"/>
      <c r="BP212" s="36"/>
      <c r="BQ212" s="36"/>
    </row>
    <row r="213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2"/>
      <c r="AD213" s="42"/>
      <c r="AE213" s="42"/>
      <c r="AF213" s="42"/>
      <c r="AG213" s="42"/>
      <c r="AH213" s="42"/>
      <c r="AI213" s="42"/>
      <c r="AJ213" s="45"/>
      <c r="AK213" s="45"/>
      <c r="AL213" s="45"/>
      <c r="AM213" s="45"/>
      <c r="AN213" s="45"/>
      <c r="AO213" s="45"/>
      <c r="AP213" s="45"/>
      <c r="AQ213" s="36"/>
      <c r="AR213" s="36"/>
      <c r="AS213" s="36"/>
      <c r="AT213" s="36"/>
      <c r="AU213" s="36"/>
      <c r="AV213" s="36"/>
      <c r="AW213" s="36"/>
      <c r="AX213" s="36"/>
      <c r="AY213" s="36"/>
      <c r="AZ213" s="36"/>
      <c r="BA213" s="36"/>
      <c r="BB213" s="36"/>
      <c r="BC213" s="36"/>
      <c r="BD213" s="36"/>
      <c r="BE213" s="36"/>
      <c r="BF213" s="36"/>
      <c r="BG213" s="36"/>
      <c r="BH213" s="36"/>
      <c r="BI213" s="36"/>
      <c r="BJ213" s="36"/>
      <c r="BK213" s="36"/>
      <c r="BL213" s="36"/>
      <c r="BM213" s="36"/>
      <c r="BN213" s="36"/>
      <c r="BO213" s="36"/>
      <c r="BP213" s="36"/>
      <c r="BQ213" s="36"/>
    </row>
    <row r="214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2"/>
      <c r="AD214" s="42"/>
      <c r="AE214" s="42"/>
      <c r="AF214" s="42"/>
      <c r="AG214" s="42"/>
      <c r="AH214" s="42"/>
      <c r="AI214" s="42"/>
      <c r="AJ214" s="45"/>
      <c r="AK214" s="45"/>
      <c r="AL214" s="45"/>
      <c r="AM214" s="45"/>
      <c r="AN214" s="45"/>
      <c r="AO214" s="45"/>
      <c r="AP214" s="45"/>
      <c r="AQ214" s="36"/>
      <c r="AR214" s="36"/>
      <c r="AS214" s="36"/>
      <c r="AT214" s="36"/>
      <c r="AU214" s="36"/>
      <c r="AV214" s="36"/>
      <c r="AW214" s="36"/>
      <c r="AX214" s="36"/>
      <c r="AY214" s="36"/>
      <c r="AZ214" s="36"/>
      <c r="BA214" s="36"/>
      <c r="BB214" s="36"/>
      <c r="BC214" s="36"/>
      <c r="BD214" s="36"/>
      <c r="BE214" s="36"/>
      <c r="BF214" s="36"/>
      <c r="BG214" s="36"/>
      <c r="BH214" s="36"/>
      <c r="BI214" s="36"/>
      <c r="BJ214" s="36"/>
      <c r="BK214" s="36"/>
      <c r="BL214" s="36"/>
      <c r="BM214" s="36"/>
      <c r="BN214" s="36"/>
      <c r="BO214" s="36"/>
      <c r="BP214" s="36"/>
      <c r="BQ214" s="36"/>
    </row>
    <row r="21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2"/>
      <c r="AD215" s="42"/>
      <c r="AE215" s="42"/>
      <c r="AF215" s="42"/>
      <c r="AG215" s="42"/>
      <c r="AH215" s="42"/>
      <c r="AI215" s="42"/>
      <c r="AJ215" s="45"/>
      <c r="AK215" s="45"/>
      <c r="AL215" s="45"/>
      <c r="AM215" s="45"/>
      <c r="AN215" s="45"/>
      <c r="AO215" s="45"/>
      <c r="AP215" s="45"/>
      <c r="AQ215" s="36"/>
      <c r="AR215" s="36"/>
      <c r="AS215" s="36"/>
      <c r="AT215" s="36"/>
      <c r="AU215" s="36"/>
      <c r="AV215" s="36"/>
      <c r="AW215" s="36"/>
      <c r="AX215" s="36"/>
      <c r="AY215" s="36"/>
      <c r="AZ215" s="36"/>
      <c r="BA215" s="36"/>
      <c r="BB215" s="36"/>
      <c r="BC215" s="36"/>
      <c r="BD215" s="36"/>
      <c r="BE215" s="36"/>
      <c r="BF215" s="36"/>
      <c r="BG215" s="36"/>
      <c r="BH215" s="36"/>
      <c r="BI215" s="36"/>
      <c r="BJ215" s="36"/>
      <c r="BK215" s="36"/>
      <c r="BL215" s="36"/>
      <c r="BM215" s="36"/>
      <c r="BN215" s="36"/>
      <c r="BO215" s="36"/>
      <c r="BP215" s="36"/>
      <c r="BQ215" s="36"/>
    </row>
    <row r="216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2"/>
      <c r="AD216" s="42"/>
      <c r="AE216" s="42"/>
      <c r="AF216" s="42"/>
      <c r="AG216" s="42"/>
      <c r="AH216" s="42"/>
      <c r="AI216" s="42"/>
      <c r="AJ216" s="45"/>
      <c r="AK216" s="45"/>
      <c r="AL216" s="45"/>
      <c r="AM216" s="45"/>
      <c r="AN216" s="45"/>
      <c r="AO216" s="45"/>
      <c r="AP216" s="45"/>
      <c r="AQ216" s="36"/>
      <c r="AR216" s="36"/>
      <c r="AS216" s="36"/>
      <c r="AT216" s="36"/>
      <c r="AU216" s="36"/>
      <c r="AV216" s="36"/>
      <c r="AW216" s="36"/>
      <c r="AX216" s="36"/>
      <c r="AY216" s="36"/>
      <c r="AZ216" s="36"/>
      <c r="BA216" s="36"/>
      <c r="BB216" s="36"/>
      <c r="BC216" s="36"/>
      <c r="BD216" s="36"/>
      <c r="BE216" s="36"/>
      <c r="BF216" s="36"/>
      <c r="BG216" s="36"/>
      <c r="BH216" s="36"/>
      <c r="BI216" s="36"/>
      <c r="BJ216" s="36"/>
      <c r="BK216" s="36"/>
      <c r="BL216" s="36"/>
      <c r="BM216" s="36"/>
      <c r="BN216" s="36"/>
      <c r="BO216" s="36"/>
      <c r="BP216" s="36"/>
      <c r="BQ216" s="36"/>
    </row>
    <row r="217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2"/>
      <c r="AD217" s="42"/>
      <c r="AE217" s="42"/>
      <c r="AF217" s="42"/>
      <c r="AG217" s="42"/>
      <c r="AH217" s="42"/>
      <c r="AI217" s="42"/>
      <c r="AJ217" s="45"/>
      <c r="AK217" s="45"/>
      <c r="AL217" s="45"/>
      <c r="AM217" s="45"/>
      <c r="AN217" s="45"/>
      <c r="AO217" s="45"/>
      <c r="AP217" s="45"/>
      <c r="AQ217" s="36"/>
      <c r="AR217" s="36"/>
      <c r="AS217" s="36"/>
      <c r="AT217" s="36"/>
      <c r="AU217" s="36"/>
      <c r="AV217" s="36"/>
      <c r="AW217" s="36"/>
      <c r="AX217" s="36"/>
      <c r="AY217" s="36"/>
      <c r="AZ217" s="36"/>
      <c r="BA217" s="36"/>
      <c r="BB217" s="36"/>
      <c r="BC217" s="36"/>
      <c r="BD217" s="36"/>
      <c r="BE217" s="36"/>
      <c r="BF217" s="36"/>
      <c r="BG217" s="36"/>
      <c r="BH217" s="36"/>
      <c r="BI217" s="36"/>
      <c r="BJ217" s="36"/>
      <c r="BK217" s="36"/>
      <c r="BL217" s="36"/>
      <c r="BM217" s="36"/>
      <c r="BN217" s="36"/>
      <c r="BO217" s="36"/>
      <c r="BP217" s="36"/>
      <c r="BQ217" s="36"/>
    </row>
    <row r="218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2"/>
      <c r="AD218" s="42"/>
      <c r="AE218" s="42"/>
      <c r="AF218" s="42"/>
      <c r="AG218" s="42"/>
      <c r="AH218" s="42"/>
      <c r="AI218" s="42"/>
      <c r="AJ218" s="45"/>
      <c r="AK218" s="45"/>
      <c r="AL218" s="45"/>
      <c r="AM218" s="45"/>
      <c r="AN218" s="45"/>
      <c r="AO218" s="45"/>
      <c r="AP218" s="45"/>
      <c r="AQ218" s="36"/>
      <c r="AR218" s="36"/>
      <c r="AS218" s="36"/>
      <c r="AT218" s="36"/>
      <c r="AU218" s="36"/>
      <c r="AV218" s="36"/>
      <c r="AW218" s="36"/>
      <c r="AX218" s="36"/>
      <c r="AY218" s="36"/>
      <c r="AZ218" s="36"/>
      <c r="BA218" s="36"/>
      <c r="BB218" s="36"/>
      <c r="BC218" s="36"/>
      <c r="BD218" s="36"/>
      <c r="BE218" s="36"/>
      <c r="BF218" s="36"/>
      <c r="BG218" s="36"/>
      <c r="BH218" s="36"/>
      <c r="BI218" s="36"/>
      <c r="BJ218" s="36"/>
      <c r="BK218" s="36"/>
      <c r="BL218" s="36"/>
      <c r="BM218" s="36"/>
      <c r="BN218" s="36"/>
      <c r="BO218" s="36"/>
      <c r="BP218" s="36"/>
      <c r="BQ218" s="36"/>
    </row>
    <row r="219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2"/>
      <c r="AD219" s="42"/>
      <c r="AE219" s="42"/>
      <c r="AF219" s="42"/>
      <c r="AG219" s="42"/>
      <c r="AH219" s="42"/>
      <c r="AI219" s="42"/>
      <c r="AJ219" s="45"/>
      <c r="AK219" s="45"/>
      <c r="AL219" s="45"/>
      <c r="AM219" s="45"/>
      <c r="AN219" s="45"/>
      <c r="AO219" s="45"/>
      <c r="AP219" s="45"/>
      <c r="AQ219" s="36"/>
      <c r="AR219" s="36"/>
      <c r="AS219" s="36"/>
      <c r="AT219" s="36"/>
      <c r="AU219" s="36"/>
      <c r="AV219" s="36"/>
      <c r="AW219" s="36"/>
      <c r="AX219" s="36"/>
      <c r="AY219" s="36"/>
      <c r="AZ219" s="36"/>
      <c r="BA219" s="36"/>
      <c r="BB219" s="36"/>
      <c r="BC219" s="36"/>
      <c r="BD219" s="36"/>
      <c r="BE219" s="36"/>
      <c r="BF219" s="36"/>
      <c r="BG219" s="36"/>
      <c r="BH219" s="36"/>
      <c r="BI219" s="36"/>
      <c r="BJ219" s="36"/>
      <c r="BK219" s="36"/>
      <c r="BL219" s="36"/>
      <c r="BM219" s="36"/>
      <c r="BN219" s="36"/>
      <c r="BO219" s="36"/>
      <c r="BP219" s="36"/>
      <c r="BQ219" s="36"/>
    </row>
    <row r="220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2"/>
      <c r="AD220" s="42"/>
      <c r="AE220" s="42"/>
      <c r="AF220" s="42"/>
      <c r="AG220" s="42"/>
      <c r="AH220" s="42"/>
      <c r="AI220" s="42"/>
      <c r="AJ220" s="45"/>
      <c r="AK220" s="45"/>
      <c r="AL220" s="45"/>
      <c r="AM220" s="45"/>
      <c r="AN220" s="45"/>
      <c r="AO220" s="45"/>
      <c r="AP220" s="45"/>
      <c r="AQ220" s="36"/>
      <c r="AR220" s="36"/>
      <c r="AS220" s="36"/>
      <c r="AT220" s="36"/>
      <c r="AU220" s="36"/>
      <c r="AV220" s="36"/>
      <c r="AW220" s="36"/>
      <c r="AX220" s="36"/>
      <c r="AY220" s="36"/>
      <c r="AZ220" s="36"/>
      <c r="BA220" s="36"/>
      <c r="BB220" s="36"/>
      <c r="BC220" s="36"/>
      <c r="BD220" s="36"/>
      <c r="BE220" s="36"/>
      <c r="BF220" s="36"/>
      <c r="BG220" s="36"/>
      <c r="BH220" s="36"/>
      <c r="BI220" s="36"/>
      <c r="BJ220" s="36"/>
      <c r="BK220" s="36"/>
      <c r="BL220" s="36"/>
      <c r="BM220" s="36"/>
      <c r="BN220" s="36"/>
      <c r="BO220" s="36"/>
      <c r="BP220" s="36"/>
      <c r="BQ220" s="36"/>
    </row>
    <row r="22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2"/>
      <c r="AD221" s="42"/>
      <c r="AE221" s="42"/>
      <c r="AF221" s="42"/>
      <c r="AG221" s="42"/>
      <c r="AH221" s="42"/>
      <c r="AI221" s="42"/>
      <c r="AJ221" s="45"/>
      <c r="AK221" s="45"/>
      <c r="AL221" s="45"/>
      <c r="AM221" s="45"/>
      <c r="AN221" s="45"/>
      <c r="AO221" s="45"/>
      <c r="AP221" s="45"/>
      <c r="AQ221" s="36"/>
      <c r="AR221" s="36"/>
      <c r="AS221" s="36"/>
      <c r="AT221" s="36"/>
      <c r="AU221" s="36"/>
      <c r="AV221" s="36"/>
      <c r="AW221" s="36"/>
      <c r="AX221" s="36"/>
      <c r="AY221" s="36"/>
      <c r="AZ221" s="36"/>
      <c r="BA221" s="36"/>
      <c r="BB221" s="36"/>
      <c r="BC221" s="36"/>
      <c r="BD221" s="36"/>
      <c r="BE221" s="36"/>
      <c r="BF221" s="36"/>
      <c r="BG221" s="36"/>
      <c r="BH221" s="36"/>
      <c r="BI221" s="36"/>
      <c r="BJ221" s="36"/>
      <c r="BK221" s="36"/>
      <c r="BL221" s="36"/>
      <c r="BM221" s="36"/>
      <c r="BN221" s="36"/>
      <c r="BO221" s="36"/>
      <c r="BP221" s="36"/>
      <c r="BQ221" s="36"/>
    </row>
    <row r="222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2"/>
      <c r="AD222" s="42"/>
      <c r="AE222" s="42"/>
      <c r="AF222" s="42"/>
      <c r="AG222" s="42"/>
      <c r="AH222" s="42"/>
      <c r="AI222" s="42"/>
      <c r="AK222" s="45"/>
      <c r="AL222" s="45"/>
      <c r="AM222" s="45"/>
      <c r="AN222" s="45"/>
      <c r="AO222" s="45"/>
      <c r="AP222" s="45"/>
      <c r="AQ222" s="36"/>
      <c r="AR222" s="36"/>
      <c r="AS222" s="36"/>
      <c r="AT222" s="36"/>
      <c r="AU222" s="36"/>
      <c r="AV222" s="36"/>
      <c r="AW222" s="36"/>
      <c r="AX222" s="36"/>
      <c r="AY222" s="36"/>
      <c r="AZ222" s="36"/>
      <c r="BA222" s="36"/>
      <c r="BB222" s="36"/>
      <c r="BC222" s="36"/>
      <c r="BD222" s="36"/>
      <c r="BE222" s="36"/>
      <c r="BF222" s="36"/>
      <c r="BG222" s="36"/>
      <c r="BH222" s="36"/>
      <c r="BI222" s="36"/>
      <c r="BJ222" s="36"/>
      <c r="BK222" s="36"/>
      <c r="BL222" s="36"/>
      <c r="BM222" s="36"/>
      <c r="BN222" s="36"/>
      <c r="BO222" s="36"/>
      <c r="BP222" s="36"/>
      <c r="BQ222" s="36"/>
    </row>
    <row r="223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2"/>
      <c r="AD223" s="42"/>
      <c r="AE223" s="42"/>
      <c r="AF223" s="42"/>
      <c r="AG223" s="42"/>
      <c r="AH223" s="42"/>
      <c r="AI223" s="42"/>
      <c r="AK223" s="45"/>
      <c r="AL223" s="45"/>
      <c r="AM223" s="45"/>
      <c r="AN223" s="45"/>
      <c r="AO223" s="45"/>
      <c r="AP223" s="45"/>
      <c r="AQ223" s="36"/>
      <c r="AR223" s="36"/>
      <c r="AS223" s="36"/>
      <c r="AT223" s="36"/>
      <c r="AU223" s="36"/>
      <c r="AV223" s="36"/>
      <c r="AW223" s="36"/>
      <c r="AX223" s="36"/>
      <c r="AY223" s="36"/>
      <c r="AZ223" s="36"/>
      <c r="BA223" s="36"/>
      <c r="BB223" s="36"/>
      <c r="BC223" s="36"/>
      <c r="BD223" s="36"/>
      <c r="BE223" s="36"/>
      <c r="BF223" s="36"/>
      <c r="BG223" s="36"/>
      <c r="BH223" s="36"/>
      <c r="BI223" s="36"/>
      <c r="BJ223" s="36"/>
      <c r="BK223" s="36"/>
      <c r="BL223" s="36"/>
      <c r="BM223" s="36"/>
      <c r="BN223" s="36"/>
      <c r="BO223" s="36"/>
      <c r="BP223" s="36"/>
      <c r="BQ223" s="36"/>
    </row>
    <row r="224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2"/>
      <c r="AD224" s="42"/>
      <c r="AE224" s="42"/>
      <c r="AF224" s="42"/>
      <c r="AG224" s="42"/>
      <c r="AH224" s="42"/>
      <c r="AI224" s="42"/>
      <c r="AK224" s="45"/>
      <c r="AL224" s="45"/>
      <c r="AM224" s="45"/>
      <c r="AN224" s="45"/>
      <c r="AO224" s="45"/>
      <c r="AP224" s="45"/>
      <c r="AQ224" s="36"/>
      <c r="AR224" s="36"/>
      <c r="AS224" s="36"/>
      <c r="AT224" s="36"/>
      <c r="AU224" s="36"/>
      <c r="AV224" s="36"/>
      <c r="AW224" s="36"/>
      <c r="AX224" s="36"/>
      <c r="AY224" s="36"/>
      <c r="AZ224" s="36"/>
      <c r="BA224" s="36"/>
      <c r="BB224" s="36"/>
      <c r="BC224" s="36"/>
      <c r="BD224" s="36"/>
      <c r="BE224" s="36"/>
      <c r="BF224" s="36"/>
      <c r="BG224" s="36"/>
      <c r="BH224" s="36"/>
      <c r="BI224" s="36"/>
      <c r="BJ224" s="36"/>
      <c r="BK224" s="36"/>
      <c r="BL224" s="36"/>
      <c r="BM224" s="36"/>
      <c r="BN224" s="36"/>
      <c r="BO224" s="36"/>
      <c r="BP224" s="36"/>
      <c r="BQ224" s="36"/>
    </row>
    <row r="22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2"/>
      <c r="AD225" s="42"/>
      <c r="AE225" s="42"/>
      <c r="AF225" s="42"/>
      <c r="AG225" s="42"/>
      <c r="AH225" s="42"/>
      <c r="AI225" s="42"/>
      <c r="AK225" s="45"/>
      <c r="AL225" s="45"/>
      <c r="AM225" s="45"/>
      <c r="AN225" s="45"/>
      <c r="AO225" s="45"/>
      <c r="AP225" s="45"/>
      <c r="AQ225" s="36"/>
      <c r="AR225" s="36"/>
      <c r="AS225" s="36"/>
      <c r="AT225" s="36"/>
      <c r="AU225" s="36"/>
      <c r="AV225" s="36"/>
      <c r="AW225" s="36"/>
      <c r="AX225" s="36"/>
      <c r="AY225" s="36"/>
      <c r="AZ225" s="36"/>
      <c r="BA225" s="36"/>
      <c r="BB225" s="36"/>
      <c r="BC225" s="36"/>
      <c r="BD225" s="36"/>
      <c r="BE225" s="36"/>
      <c r="BF225" s="36"/>
      <c r="BG225" s="36"/>
      <c r="BH225" s="36"/>
      <c r="BI225" s="36"/>
      <c r="BJ225" s="36"/>
      <c r="BK225" s="36"/>
      <c r="BL225" s="36"/>
      <c r="BM225" s="36"/>
      <c r="BN225" s="36"/>
      <c r="BO225" s="36"/>
      <c r="BP225" s="36"/>
      <c r="BQ225" s="36"/>
    </row>
    <row r="226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2"/>
      <c r="AD226" s="42"/>
      <c r="AE226" s="42"/>
      <c r="AF226" s="42"/>
      <c r="AG226" s="42"/>
      <c r="AH226" s="42"/>
      <c r="AI226" s="42"/>
      <c r="AK226" s="45"/>
      <c r="AL226" s="45"/>
      <c r="AM226" s="45"/>
      <c r="AN226" s="45"/>
      <c r="AO226" s="45"/>
      <c r="AP226" s="45"/>
      <c r="AQ226" s="36"/>
      <c r="AR226" s="36"/>
      <c r="AS226" s="36"/>
      <c r="AT226" s="36"/>
      <c r="AU226" s="36"/>
      <c r="AV226" s="36"/>
      <c r="AW226" s="36"/>
      <c r="AX226" s="36"/>
      <c r="AY226" s="36"/>
      <c r="AZ226" s="36"/>
      <c r="BA226" s="36"/>
      <c r="BB226" s="36"/>
      <c r="BC226" s="36"/>
      <c r="BD226" s="36"/>
      <c r="BE226" s="36"/>
      <c r="BF226" s="36"/>
      <c r="BG226" s="36"/>
      <c r="BH226" s="36"/>
      <c r="BI226" s="36"/>
      <c r="BJ226" s="36"/>
      <c r="BK226" s="36"/>
      <c r="BL226" s="36"/>
      <c r="BM226" s="36"/>
      <c r="BN226" s="36"/>
      <c r="BO226" s="36"/>
      <c r="BP226" s="36"/>
      <c r="BQ226" s="36"/>
    </row>
    <row r="227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2"/>
      <c r="AD227" s="42"/>
      <c r="AE227" s="42"/>
      <c r="AF227" s="42"/>
      <c r="AG227" s="42"/>
      <c r="AH227" s="42"/>
      <c r="AI227" s="42"/>
      <c r="AK227" s="45"/>
      <c r="AL227" s="45"/>
      <c r="AM227" s="45"/>
      <c r="AN227" s="45"/>
      <c r="AO227" s="45"/>
      <c r="AP227" s="45"/>
      <c r="AQ227" s="36"/>
      <c r="AR227" s="36"/>
      <c r="AS227" s="36"/>
      <c r="AT227" s="36"/>
      <c r="AU227" s="36"/>
      <c r="AV227" s="36"/>
      <c r="AW227" s="36"/>
      <c r="AX227" s="36"/>
      <c r="AY227" s="36"/>
      <c r="AZ227" s="36"/>
      <c r="BA227" s="36"/>
      <c r="BB227" s="36"/>
      <c r="BC227" s="36"/>
      <c r="BD227" s="36"/>
      <c r="BE227" s="36"/>
      <c r="BF227" s="36"/>
      <c r="BG227" s="36"/>
      <c r="BH227" s="36"/>
      <c r="BI227" s="36"/>
      <c r="BJ227" s="36"/>
      <c r="BK227" s="36"/>
      <c r="BL227" s="36"/>
      <c r="BM227" s="36"/>
      <c r="BN227" s="36"/>
      <c r="BO227" s="36"/>
      <c r="BP227" s="36"/>
      <c r="BQ227" s="36"/>
    </row>
    <row r="228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2"/>
      <c r="AD228" s="42"/>
      <c r="AE228" s="42"/>
      <c r="AF228" s="42"/>
      <c r="AG228" s="42"/>
      <c r="AH228" s="42"/>
      <c r="AI228" s="42"/>
      <c r="AK228" s="45"/>
      <c r="AL228" s="45"/>
      <c r="AM228" s="45"/>
      <c r="AN228" s="45"/>
      <c r="AO228" s="45"/>
      <c r="AP228" s="45"/>
      <c r="AQ228" s="36"/>
      <c r="AR228" s="36"/>
      <c r="AS228" s="36"/>
      <c r="AT228" s="36"/>
      <c r="AU228" s="36"/>
      <c r="AV228" s="36"/>
      <c r="AW228" s="36"/>
      <c r="AX228" s="36"/>
      <c r="AY228" s="36"/>
      <c r="AZ228" s="36"/>
      <c r="BA228" s="36"/>
      <c r="BB228" s="36"/>
      <c r="BC228" s="36"/>
      <c r="BD228" s="36"/>
      <c r="BE228" s="36"/>
      <c r="BF228" s="36"/>
      <c r="BG228" s="36"/>
      <c r="BH228" s="36"/>
      <c r="BI228" s="36"/>
      <c r="BJ228" s="36"/>
      <c r="BK228" s="36"/>
      <c r="BL228" s="36"/>
      <c r="BM228" s="36"/>
      <c r="BN228" s="36"/>
      <c r="BO228" s="36"/>
      <c r="BP228" s="36"/>
      <c r="BQ228" s="36"/>
    </row>
    <row r="229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2"/>
      <c r="AD229" s="42"/>
      <c r="AE229" s="42"/>
      <c r="AF229" s="42"/>
      <c r="AG229" s="42"/>
      <c r="AH229" s="42"/>
      <c r="AI229" s="42"/>
      <c r="AK229" s="45"/>
      <c r="AL229" s="45"/>
      <c r="AM229" s="45"/>
      <c r="AN229" s="45"/>
      <c r="AO229" s="45"/>
      <c r="AP229" s="45"/>
      <c r="AQ229" s="36"/>
      <c r="AR229" s="36"/>
      <c r="AS229" s="36"/>
      <c r="AT229" s="36"/>
      <c r="AU229" s="36"/>
      <c r="AV229" s="36"/>
      <c r="AW229" s="36"/>
      <c r="AX229" s="36"/>
      <c r="AY229" s="36"/>
      <c r="AZ229" s="36"/>
      <c r="BA229" s="36"/>
      <c r="BB229" s="36"/>
      <c r="BC229" s="36"/>
      <c r="BD229" s="36"/>
      <c r="BE229" s="36"/>
      <c r="BF229" s="36"/>
      <c r="BG229" s="36"/>
      <c r="BH229" s="36"/>
      <c r="BI229" s="36"/>
      <c r="BJ229" s="36"/>
      <c r="BK229" s="36"/>
      <c r="BL229" s="36"/>
      <c r="BM229" s="36"/>
      <c r="BN229" s="36"/>
      <c r="BO229" s="36"/>
      <c r="BP229" s="36"/>
      <c r="BQ229" s="36"/>
    </row>
    <row r="230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2"/>
      <c r="AD230" s="42"/>
      <c r="AE230" s="42"/>
      <c r="AF230" s="42"/>
      <c r="AG230" s="42"/>
      <c r="AH230" s="42"/>
      <c r="AI230" s="42"/>
      <c r="AK230" s="45"/>
      <c r="AL230" s="45"/>
      <c r="AM230" s="45"/>
      <c r="AN230" s="45"/>
      <c r="AO230" s="45"/>
      <c r="AP230" s="45"/>
      <c r="AQ230" s="36"/>
      <c r="AR230" s="36"/>
      <c r="AS230" s="36"/>
      <c r="AT230" s="36"/>
      <c r="AU230" s="36"/>
      <c r="AV230" s="36"/>
      <c r="AW230" s="36"/>
      <c r="AX230" s="36"/>
      <c r="AY230" s="36"/>
      <c r="AZ230" s="36"/>
      <c r="BA230" s="36"/>
      <c r="BB230" s="36"/>
      <c r="BC230" s="36"/>
      <c r="BD230" s="36"/>
      <c r="BE230" s="36"/>
      <c r="BF230" s="36"/>
      <c r="BG230" s="36"/>
      <c r="BH230" s="36"/>
      <c r="BI230" s="36"/>
      <c r="BJ230" s="36"/>
      <c r="BK230" s="36"/>
      <c r="BL230" s="36"/>
      <c r="BM230" s="36"/>
      <c r="BN230" s="36"/>
      <c r="BO230" s="36"/>
      <c r="BP230" s="36"/>
      <c r="BQ230" s="36"/>
    </row>
    <row r="23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2"/>
      <c r="AD231" s="42"/>
      <c r="AE231" s="42"/>
      <c r="AF231" s="42"/>
      <c r="AG231" s="42"/>
      <c r="AH231" s="42"/>
      <c r="AI231" s="42"/>
      <c r="AK231" s="45"/>
      <c r="AL231" s="45"/>
      <c r="AM231" s="45"/>
      <c r="AN231" s="45"/>
      <c r="AO231" s="45"/>
      <c r="AP231" s="45"/>
      <c r="AQ231" s="36"/>
      <c r="AR231" s="36"/>
      <c r="AS231" s="36"/>
      <c r="AT231" s="36"/>
      <c r="AU231" s="36"/>
      <c r="AV231" s="36"/>
      <c r="AW231" s="36"/>
      <c r="AX231" s="36"/>
      <c r="AY231" s="36"/>
      <c r="AZ231" s="36"/>
      <c r="BA231" s="36"/>
      <c r="BB231" s="36"/>
      <c r="BC231" s="36"/>
      <c r="BD231" s="36"/>
      <c r="BE231" s="36"/>
      <c r="BF231" s="36"/>
      <c r="BG231" s="36"/>
      <c r="BH231" s="36"/>
      <c r="BI231" s="36"/>
      <c r="BJ231" s="36"/>
      <c r="BK231" s="36"/>
      <c r="BL231" s="36"/>
      <c r="BM231" s="36"/>
      <c r="BN231" s="36"/>
      <c r="BO231" s="36"/>
      <c r="BP231" s="36"/>
      <c r="BQ231" s="36"/>
    </row>
    <row r="232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2"/>
      <c r="AD232" s="42"/>
      <c r="AE232" s="42"/>
      <c r="AF232" s="42"/>
      <c r="AG232" s="42"/>
      <c r="AH232" s="42"/>
      <c r="AI232" s="42"/>
      <c r="AK232" s="45"/>
      <c r="AL232" s="45"/>
      <c r="AM232" s="45"/>
      <c r="AN232" s="45"/>
      <c r="AO232" s="45"/>
      <c r="AP232" s="45"/>
      <c r="AQ232" s="36"/>
      <c r="AR232" s="36"/>
      <c r="AS232" s="36"/>
      <c r="AT232" s="36"/>
      <c r="AU232" s="36"/>
      <c r="AV232" s="36"/>
      <c r="AW232" s="36"/>
      <c r="AX232" s="36"/>
      <c r="AY232" s="36"/>
      <c r="AZ232" s="36"/>
      <c r="BA232" s="36"/>
      <c r="BB232" s="36"/>
      <c r="BC232" s="36"/>
      <c r="BD232" s="36"/>
      <c r="BE232" s="36"/>
      <c r="BF232" s="36"/>
      <c r="BG232" s="36"/>
      <c r="BH232" s="36"/>
      <c r="BI232" s="36"/>
      <c r="BJ232" s="36"/>
      <c r="BK232" s="36"/>
      <c r="BL232" s="36"/>
      <c r="BM232" s="36"/>
      <c r="BN232" s="36"/>
      <c r="BO232" s="36"/>
      <c r="BP232" s="36"/>
      <c r="BQ232" s="36"/>
    </row>
    <row r="233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2"/>
      <c r="AD233" s="42"/>
      <c r="AE233" s="42"/>
      <c r="AF233" s="42"/>
      <c r="AG233" s="42"/>
      <c r="AH233" s="42"/>
      <c r="AI233" s="42"/>
      <c r="AK233" s="45"/>
      <c r="AL233" s="45"/>
      <c r="AM233" s="45"/>
      <c r="AN233" s="45"/>
      <c r="AO233" s="45"/>
      <c r="AP233" s="45"/>
      <c r="AQ233" s="36"/>
      <c r="AR233" s="36"/>
      <c r="AS233" s="36"/>
      <c r="AT233" s="36"/>
      <c r="AU233" s="36"/>
      <c r="AV233" s="36"/>
      <c r="AW233" s="36"/>
      <c r="AX233" s="36"/>
      <c r="AY233" s="36"/>
      <c r="AZ233" s="36"/>
      <c r="BA233" s="36"/>
      <c r="BB233" s="36"/>
      <c r="BC233" s="36"/>
      <c r="BD233" s="36"/>
      <c r="BE233" s="36"/>
      <c r="BF233" s="36"/>
      <c r="BG233" s="36"/>
      <c r="BH233" s="36"/>
      <c r="BI233" s="36"/>
      <c r="BJ233" s="36"/>
      <c r="BK233" s="36"/>
      <c r="BL233" s="36"/>
      <c r="BM233" s="36"/>
      <c r="BN233" s="36"/>
      <c r="BO233" s="36"/>
      <c r="BP233" s="36"/>
      <c r="BQ233" s="36"/>
    </row>
    <row r="234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2"/>
      <c r="AD234" s="42"/>
      <c r="AE234" s="42"/>
      <c r="AF234" s="42"/>
      <c r="AG234" s="42"/>
      <c r="AH234" s="42"/>
      <c r="AI234" s="42"/>
      <c r="AK234" s="45"/>
      <c r="AL234" s="45"/>
      <c r="AM234" s="45"/>
      <c r="AN234" s="45"/>
      <c r="AO234" s="45"/>
      <c r="AP234" s="45"/>
      <c r="AQ234" s="36"/>
      <c r="AR234" s="36"/>
      <c r="AS234" s="36"/>
      <c r="AT234" s="36"/>
      <c r="AU234" s="36"/>
      <c r="AV234" s="36"/>
      <c r="AW234" s="36"/>
      <c r="AX234" s="36"/>
      <c r="AY234" s="36"/>
      <c r="AZ234" s="36"/>
      <c r="BA234" s="36"/>
      <c r="BB234" s="36"/>
      <c r="BC234" s="36"/>
      <c r="BD234" s="36"/>
      <c r="BE234" s="36"/>
      <c r="BF234" s="36"/>
      <c r="BG234" s="36"/>
      <c r="BH234" s="36"/>
      <c r="BI234" s="36"/>
      <c r="BJ234" s="36"/>
      <c r="BK234" s="36"/>
      <c r="BL234" s="36"/>
      <c r="BM234" s="36"/>
      <c r="BN234" s="36"/>
      <c r="BO234" s="36"/>
      <c r="BP234" s="36"/>
      <c r="BQ234" s="36"/>
    </row>
    <row r="23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2"/>
      <c r="AD235" s="42"/>
      <c r="AE235" s="42"/>
      <c r="AF235" s="42"/>
      <c r="AG235" s="42"/>
      <c r="AH235" s="42"/>
      <c r="AI235" s="42"/>
      <c r="AK235" s="45"/>
      <c r="AL235" s="45"/>
      <c r="AM235" s="45"/>
      <c r="AN235" s="45"/>
      <c r="AO235" s="45"/>
      <c r="AP235" s="45"/>
      <c r="AQ235" s="36"/>
      <c r="AR235" s="36"/>
      <c r="AS235" s="36"/>
      <c r="AT235" s="36"/>
      <c r="AU235" s="36"/>
      <c r="AV235" s="36"/>
      <c r="AW235" s="36"/>
      <c r="AX235" s="36"/>
      <c r="AY235" s="36"/>
      <c r="AZ235" s="36"/>
      <c r="BA235" s="36"/>
      <c r="BB235" s="36"/>
      <c r="BC235" s="36"/>
      <c r="BD235" s="36"/>
      <c r="BE235" s="36"/>
      <c r="BF235" s="36"/>
      <c r="BG235" s="36"/>
      <c r="BH235" s="36"/>
      <c r="BI235" s="36"/>
      <c r="BJ235" s="36"/>
      <c r="BK235" s="36"/>
      <c r="BL235" s="36"/>
      <c r="BM235" s="36"/>
      <c r="BN235" s="36"/>
      <c r="BO235" s="36"/>
      <c r="BP235" s="36"/>
      <c r="BQ235" s="36"/>
    </row>
    <row r="236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2"/>
      <c r="AD236" s="42"/>
      <c r="AE236" s="42"/>
      <c r="AF236" s="42"/>
      <c r="AG236" s="42"/>
      <c r="AH236" s="42"/>
      <c r="AI236" s="42"/>
      <c r="AK236" s="45"/>
      <c r="AL236" s="45"/>
      <c r="AM236" s="45"/>
      <c r="AN236" s="45"/>
      <c r="AO236" s="45"/>
      <c r="AP236" s="45"/>
      <c r="AQ236" s="36"/>
      <c r="AR236" s="36"/>
      <c r="AS236" s="36"/>
      <c r="AT236" s="36"/>
      <c r="AU236" s="36"/>
      <c r="AV236" s="36"/>
      <c r="AW236" s="36"/>
      <c r="AX236" s="36"/>
      <c r="AY236" s="36"/>
      <c r="AZ236" s="36"/>
      <c r="BA236" s="36"/>
      <c r="BB236" s="36"/>
      <c r="BC236" s="36"/>
      <c r="BD236" s="36"/>
      <c r="BE236" s="36"/>
      <c r="BF236" s="36"/>
      <c r="BG236" s="36"/>
      <c r="BH236" s="36"/>
      <c r="BI236" s="36"/>
      <c r="BJ236" s="36"/>
      <c r="BK236" s="36"/>
      <c r="BL236" s="36"/>
      <c r="BM236" s="36"/>
      <c r="BN236" s="36"/>
      <c r="BO236" s="36"/>
      <c r="BP236" s="36"/>
      <c r="BQ236" s="36"/>
    </row>
    <row r="237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2"/>
      <c r="AD237" s="42"/>
      <c r="AE237" s="42"/>
      <c r="AF237" s="42"/>
      <c r="AG237" s="42"/>
      <c r="AH237" s="42"/>
      <c r="AI237" s="42"/>
      <c r="AK237" s="45"/>
      <c r="AL237" s="45"/>
      <c r="AM237" s="45"/>
      <c r="AN237" s="45"/>
      <c r="AO237" s="45"/>
      <c r="AP237" s="45"/>
      <c r="AQ237" s="36"/>
      <c r="AR237" s="36"/>
      <c r="AS237" s="36"/>
      <c r="AT237" s="36"/>
      <c r="AU237" s="36"/>
      <c r="AV237" s="36"/>
      <c r="AW237" s="36"/>
      <c r="AX237" s="36"/>
      <c r="AY237" s="36"/>
      <c r="AZ237" s="36"/>
      <c r="BA237" s="36"/>
      <c r="BB237" s="36"/>
      <c r="BC237" s="36"/>
      <c r="BD237" s="36"/>
      <c r="BE237" s="36"/>
      <c r="BF237" s="36"/>
      <c r="BG237" s="36"/>
      <c r="BH237" s="36"/>
      <c r="BI237" s="36"/>
      <c r="BJ237" s="36"/>
      <c r="BK237" s="36"/>
      <c r="BL237" s="36"/>
      <c r="BM237" s="36"/>
      <c r="BN237" s="36"/>
      <c r="BO237" s="36"/>
      <c r="BP237" s="36"/>
      <c r="BQ237" s="36"/>
    </row>
    <row r="238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2"/>
      <c r="AD238" s="42"/>
      <c r="AE238" s="42"/>
      <c r="AF238" s="42"/>
      <c r="AG238" s="42"/>
      <c r="AH238" s="42"/>
      <c r="AI238" s="42"/>
      <c r="AK238" s="45"/>
      <c r="AL238" s="45"/>
      <c r="AM238" s="45"/>
      <c r="AN238" s="45"/>
      <c r="AO238" s="45"/>
      <c r="AP238" s="45"/>
      <c r="AQ238" s="36"/>
      <c r="AR238" s="36"/>
      <c r="AS238" s="36"/>
      <c r="AT238" s="36"/>
      <c r="AU238" s="36"/>
      <c r="AV238" s="36"/>
      <c r="AW238" s="36"/>
      <c r="AX238" s="36"/>
      <c r="AY238" s="36"/>
      <c r="AZ238" s="36"/>
      <c r="BA238" s="36"/>
      <c r="BB238" s="36"/>
      <c r="BC238" s="36"/>
      <c r="BD238" s="36"/>
      <c r="BE238" s="36"/>
      <c r="BF238" s="36"/>
      <c r="BG238" s="36"/>
      <c r="BH238" s="36"/>
      <c r="BI238" s="36"/>
      <c r="BJ238" s="36"/>
      <c r="BK238" s="36"/>
      <c r="BL238" s="36"/>
      <c r="BM238" s="36"/>
      <c r="BN238" s="36"/>
      <c r="BO238" s="36"/>
      <c r="BP238" s="36"/>
      <c r="BQ238" s="36"/>
    </row>
    <row r="239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2"/>
      <c r="AD239" s="42"/>
      <c r="AE239" s="42"/>
      <c r="AF239" s="42"/>
      <c r="AG239" s="42"/>
      <c r="AH239" s="42"/>
      <c r="AI239" s="42"/>
      <c r="AK239" s="45"/>
      <c r="AL239" s="45"/>
      <c r="AM239" s="45"/>
      <c r="AN239" s="45"/>
      <c r="AO239" s="45"/>
      <c r="AP239" s="45"/>
      <c r="AQ239" s="36"/>
      <c r="AR239" s="36"/>
      <c r="AS239" s="36"/>
      <c r="AT239" s="36"/>
      <c r="AU239" s="36"/>
      <c r="AV239" s="36"/>
      <c r="AW239" s="36"/>
      <c r="AX239" s="36"/>
      <c r="AY239" s="36"/>
      <c r="AZ239" s="36"/>
      <c r="BA239" s="36"/>
      <c r="BB239" s="36"/>
      <c r="BC239" s="36"/>
      <c r="BD239" s="36"/>
      <c r="BE239" s="36"/>
      <c r="BF239" s="36"/>
      <c r="BG239" s="36"/>
      <c r="BH239" s="36"/>
      <c r="BI239" s="36"/>
      <c r="BJ239" s="36"/>
      <c r="BK239" s="36"/>
      <c r="BL239" s="36"/>
      <c r="BM239" s="36"/>
      <c r="BN239" s="36"/>
      <c r="BO239" s="36"/>
      <c r="BP239" s="36"/>
      <c r="BQ239" s="36"/>
    </row>
    <row r="240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2"/>
      <c r="AD240" s="42"/>
      <c r="AE240" s="42"/>
      <c r="AF240" s="42"/>
      <c r="AG240" s="42"/>
      <c r="AH240" s="42"/>
      <c r="AI240" s="42"/>
      <c r="AK240" s="45"/>
      <c r="AL240" s="45"/>
      <c r="AM240" s="45"/>
      <c r="AN240" s="45"/>
      <c r="AO240" s="45"/>
      <c r="AP240" s="45"/>
      <c r="AQ240" s="36"/>
      <c r="AR240" s="36"/>
      <c r="AS240" s="36"/>
      <c r="AT240" s="36"/>
      <c r="AU240" s="36"/>
      <c r="AV240" s="36"/>
      <c r="AW240" s="36"/>
      <c r="AX240" s="36"/>
      <c r="AY240" s="36"/>
      <c r="AZ240" s="36"/>
      <c r="BA240" s="36"/>
      <c r="BB240" s="36"/>
      <c r="BC240" s="36"/>
      <c r="BD240" s="36"/>
      <c r="BE240" s="36"/>
      <c r="BF240" s="36"/>
      <c r="BG240" s="36"/>
      <c r="BH240" s="36"/>
      <c r="BI240" s="36"/>
      <c r="BJ240" s="36"/>
      <c r="BK240" s="36"/>
      <c r="BL240" s="36"/>
      <c r="BM240" s="36"/>
      <c r="BN240" s="36"/>
      <c r="BO240" s="36"/>
      <c r="BP240" s="36"/>
      <c r="BQ240" s="36"/>
    </row>
    <row r="24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2"/>
      <c r="AD241" s="42"/>
      <c r="AE241" s="42"/>
      <c r="AF241" s="42"/>
      <c r="AG241" s="42"/>
      <c r="AH241" s="42"/>
      <c r="AI241" s="42"/>
      <c r="AK241" s="45"/>
      <c r="AL241" s="45"/>
      <c r="AM241" s="45"/>
      <c r="AN241" s="45"/>
      <c r="AO241" s="45"/>
      <c r="AP241" s="45"/>
      <c r="AQ241" s="36"/>
      <c r="AR241" s="36"/>
      <c r="AS241" s="36"/>
      <c r="AT241" s="36"/>
      <c r="AU241" s="36"/>
      <c r="AV241" s="36"/>
      <c r="AW241" s="36"/>
      <c r="AX241" s="36"/>
      <c r="AY241" s="36"/>
      <c r="AZ241" s="36"/>
      <c r="BA241" s="36"/>
      <c r="BB241" s="36"/>
      <c r="BC241" s="36"/>
      <c r="BD241" s="36"/>
      <c r="BE241" s="36"/>
      <c r="BF241" s="36"/>
      <c r="BG241" s="36"/>
      <c r="BH241" s="36"/>
      <c r="BI241" s="36"/>
      <c r="BJ241" s="36"/>
      <c r="BK241" s="36"/>
      <c r="BL241" s="36"/>
      <c r="BM241" s="36"/>
      <c r="BN241" s="36"/>
      <c r="BO241" s="36"/>
      <c r="BP241" s="36"/>
      <c r="BQ241" s="36"/>
    </row>
    <row r="242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2"/>
      <c r="AD242" s="42"/>
      <c r="AE242" s="42"/>
      <c r="AF242" s="42"/>
      <c r="AG242" s="42"/>
      <c r="AH242" s="42"/>
      <c r="AI242" s="42"/>
      <c r="AK242" s="45"/>
      <c r="AL242" s="45"/>
      <c r="AM242" s="45"/>
      <c r="AN242" s="45"/>
      <c r="AO242" s="45"/>
      <c r="AP242" s="45"/>
      <c r="AQ242" s="36"/>
      <c r="AR242" s="36"/>
      <c r="AS242" s="36"/>
      <c r="AT242" s="36"/>
      <c r="AU242" s="36"/>
      <c r="AV242" s="36"/>
      <c r="AW242" s="36"/>
      <c r="AX242" s="36"/>
      <c r="AY242" s="36"/>
      <c r="AZ242" s="36"/>
      <c r="BA242" s="36"/>
      <c r="BB242" s="36"/>
      <c r="BC242" s="36"/>
      <c r="BD242" s="36"/>
      <c r="BE242" s="36"/>
      <c r="BF242" s="36"/>
      <c r="BG242" s="36"/>
      <c r="BH242" s="36"/>
      <c r="BI242" s="36"/>
      <c r="BJ242" s="36"/>
      <c r="BK242" s="36"/>
      <c r="BL242" s="36"/>
      <c r="BM242" s="36"/>
      <c r="BN242" s="36"/>
      <c r="BO242" s="36"/>
      <c r="BP242" s="36"/>
      <c r="BQ242" s="36"/>
    </row>
    <row r="243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2"/>
      <c r="AD243" s="42"/>
      <c r="AE243" s="42"/>
      <c r="AF243" s="42"/>
      <c r="AG243" s="42"/>
      <c r="AH243" s="42"/>
      <c r="AI243" s="42"/>
      <c r="AK243" s="45"/>
      <c r="AL243" s="45"/>
      <c r="AM243" s="45"/>
      <c r="AN243" s="45"/>
      <c r="AO243" s="45"/>
      <c r="AP243" s="45"/>
      <c r="AQ243" s="36"/>
      <c r="AR243" s="36"/>
      <c r="AS243" s="36"/>
      <c r="AT243" s="36"/>
      <c r="AU243" s="36"/>
      <c r="AV243" s="36"/>
      <c r="AW243" s="36"/>
      <c r="AX243" s="36"/>
      <c r="AY243" s="36"/>
      <c r="AZ243" s="36"/>
      <c r="BA243" s="36"/>
      <c r="BB243" s="36"/>
      <c r="BC243" s="36"/>
      <c r="BD243" s="36"/>
      <c r="BE243" s="36"/>
      <c r="BF243" s="36"/>
      <c r="BG243" s="36"/>
      <c r="BH243" s="36"/>
      <c r="BI243" s="36"/>
      <c r="BJ243" s="36"/>
      <c r="BK243" s="36"/>
      <c r="BL243" s="36"/>
      <c r="BM243" s="36"/>
      <c r="BN243" s="36"/>
      <c r="BO243" s="36"/>
      <c r="BP243" s="36"/>
      <c r="BQ243" s="36"/>
    </row>
    <row r="244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2"/>
      <c r="AD244" s="42"/>
      <c r="AE244" s="42"/>
      <c r="AF244" s="42"/>
      <c r="AG244" s="42"/>
      <c r="AH244" s="42"/>
      <c r="AI244" s="42"/>
      <c r="AK244" s="45"/>
      <c r="AL244" s="45"/>
      <c r="AM244" s="45"/>
      <c r="AN244" s="45"/>
      <c r="AO244" s="45"/>
      <c r="AP244" s="45"/>
      <c r="AQ244" s="36"/>
      <c r="AR244" s="36"/>
      <c r="AS244" s="36"/>
      <c r="AT244" s="36"/>
      <c r="AU244" s="36"/>
      <c r="AV244" s="36"/>
      <c r="AW244" s="36"/>
      <c r="AX244" s="36"/>
      <c r="AY244" s="36"/>
      <c r="AZ244" s="36"/>
      <c r="BA244" s="36"/>
      <c r="BB244" s="36"/>
      <c r="BC244" s="36"/>
      <c r="BD244" s="36"/>
      <c r="BE244" s="36"/>
      <c r="BF244" s="36"/>
      <c r="BG244" s="36"/>
      <c r="BH244" s="36"/>
      <c r="BI244" s="36"/>
      <c r="BJ244" s="36"/>
      <c r="BK244" s="36"/>
      <c r="BL244" s="36"/>
      <c r="BM244" s="36"/>
      <c r="BN244" s="36"/>
      <c r="BO244" s="36"/>
      <c r="BP244" s="36"/>
      <c r="BQ244" s="36"/>
    </row>
    <row r="24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2"/>
      <c r="AD245" s="42"/>
      <c r="AE245" s="42"/>
      <c r="AF245" s="42"/>
      <c r="AG245" s="42"/>
      <c r="AH245" s="42"/>
      <c r="AI245" s="42"/>
      <c r="AK245" s="45"/>
      <c r="AL245" s="45"/>
      <c r="AM245" s="45"/>
      <c r="AN245" s="45"/>
      <c r="AO245" s="45"/>
      <c r="AP245" s="45"/>
      <c r="AQ245" s="36"/>
      <c r="AR245" s="36"/>
      <c r="AS245" s="36"/>
      <c r="AT245" s="36"/>
      <c r="AU245" s="36"/>
      <c r="AV245" s="36"/>
      <c r="AW245" s="36"/>
      <c r="AX245" s="36"/>
      <c r="AY245" s="36"/>
      <c r="AZ245" s="36"/>
      <c r="BA245" s="36"/>
      <c r="BB245" s="36"/>
      <c r="BC245" s="36"/>
      <c r="BD245" s="36"/>
      <c r="BE245" s="36"/>
      <c r="BF245" s="36"/>
      <c r="BG245" s="36"/>
      <c r="BH245" s="36"/>
      <c r="BI245" s="36"/>
      <c r="BJ245" s="36"/>
      <c r="BK245" s="36"/>
      <c r="BL245" s="36"/>
      <c r="BM245" s="36"/>
      <c r="BN245" s="36"/>
      <c r="BO245" s="36"/>
      <c r="BP245" s="36"/>
      <c r="BQ245" s="36"/>
    </row>
    <row r="246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2"/>
      <c r="AD246" s="42"/>
      <c r="AE246" s="42"/>
      <c r="AF246" s="42"/>
      <c r="AG246" s="42"/>
      <c r="AH246" s="42"/>
      <c r="AI246" s="42"/>
      <c r="AJ246" s="45"/>
      <c r="AK246" s="45"/>
      <c r="AL246" s="45"/>
      <c r="AM246" s="45"/>
      <c r="AN246" s="45"/>
      <c r="AO246" s="45"/>
      <c r="AP246" s="45"/>
      <c r="AQ246" s="36"/>
      <c r="AR246" s="36"/>
      <c r="AS246" s="36"/>
      <c r="AT246" s="36"/>
      <c r="AU246" s="36"/>
      <c r="AV246" s="36"/>
      <c r="AW246" s="36"/>
      <c r="AX246" s="36"/>
      <c r="AY246" s="36"/>
      <c r="AZ246" s="36"/>
      <c r="BA246" s="36"/>
      <c r="BB246" s="36"/>
      <c r="BC246" s="36"/>
      <c r="BD246" s="36"/>
      <c r="BE246" s="36"/>
      <c r="BF246" s="36"/>
      <c r="BG246" s="36"/>
      <c r="BH246" s="36"/>
      <c r="BI246" s="36"/>
      <c r="BJ246" s="36"/>
      <c r="BK246" s="36"/>
      <c r="BL246" s="36"/>
      <c r="BM246" s="36"/>
      <c r="BN246" s="36"/>
      <c r="BO246" s="36"/>
      <c r="BP246" s="36"/>
      <c r="BQ246" s="36"/>
    </row>
    <row r="247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2"/>
      <c r="AD247" s="42"/>
      <c r="AE247" s="42"/>
      <c r="AF247" s="42"/>
      <c r="AG247" s="42"/>
      <c r="AH247" s="42"/>
      <c r="AI247" s="42"/>
      <c r="AJ247" s="45"/>
      <c r="AK247" s="45"/>
      <c r="AL247" s="45"/>
      <c r="AM247" s="45"/>
      <c r="AN247" s="45"/>
      <c r="AO247" s="45"/>
      <c r="AP247" s="45"/>
      <c r="AQ247" s="36"/>
      <c r="AR247" s="36"/>
      <c r="AS247" s="36"/>
      <c r="AT247" s="36"/>
      <c r="AU247" s="36"/>
      <c r="AV247" s="36"/>
      <c r="AW247" s="36"/>
      <c r="AX247" s="36"/>
      <c r="AY247" s="36"/>
      <c r="AZ247" s="36"/>
      <c r="BA247" s="36"/>
      <c r="BB247" s="36"/>
      <c r="BC247" s="36"/>
      <c r="BD247" s="36"/>
      <c r="BE247" s="36"/>
      <c r="BF247" s="36"/>
      <c r="BG247" s="36"/>
      <c r="BH247" s="36"/>
      <c r="BI247" s="36"/>
      <c r="BJ247" s="36"/>
      <c r="BK247" s="36"/>
      <c r="BL247" s="36"/>
      <c r="BM247" s="36"/>
      <c r="BN247" s="36"/>
      <c r="BO247" s="36"/>
      <c r="BP247" s="36"/>
      <c r="BQ247" s="36"/>
    </row>
    <row r="248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2"/>
      <c r="AD248" s="42"/>
      <c r="AE248" s="42"/>
      <c r="AF248" s="42"/>
      <c r="AG248" s="42"/>
      <c r="AH248" s="42"/>
      <c r="AI248" s="42"/>
      <c r="AJ248" s="45"/>
      <c r="AK248" s="45"/>
      <c r="AL248" s="45"/>
      <c r="AM248" s="45"/>
      <c r="AN248" s="45"/>
      <c r="AO248" s="45"/>
      <c r="AP248" s="45"/>
      <c r="AQ248" s="36"/>
      <c r="AR248" s="36"/>
      <c r="AS248" s="36"/>
      <c r="AT248" s="36"/>
      <c r="AU248" s="36"/>
      <c r="AV248" s="36"/>
      <c r="AW248" s="36"/>
      <c r="AX248" s="36"/>
      <c r="AY248" s="36"/>
      <c r="AZ248" s="36"/>
      <c r="BA248" s="36"/>
      <c r="BB248" s="36"/>
      <c r="BC248" s="36"/>
      <c r="BD248" s="36"/>
      <c r="BE248" s="36"/>
      <c r="BF248" s="36"/>
      <c r="BG248" s="36"/>
      <c r="BH248" s="36"/>
      <c r="BI248" s="36"/>
      <c r="BJ248" s="36"/>
      <c r="BK248" s="36"/>
      <c r="BL248" s="36"/>
      <c r="BM248" s="36"/>
      <c r="BN248" s="36"/>
      <c r="BO248" s="36"/>
      <c r="BP248" s="36"/>
      <c r="BQ248" s="36"/>
    </row>
    <row r="249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2"/>
      <c r="AD249" s="42"/>
      <c r="AE249" s="42"/>
      <c r="AF249" s="42"/>
      <c r="AG249" s="42"/>
      <c r="AH249" s="42"/>
      <c r="AI249" s="42"/>
      <c r="AJ249" s="45"/>
      <c r="AK249" s="45"/>
      <c r="AL249" s="45"/>
      <c r="AM249" s="45"/>
      <c r="AN249" s="45"/>
      <c r="AO249" s="45"/>
      <c r="AP249" s="45"/>
      <c r="AQ249" s="36"/>
      <c r="AR249" s="36"/>
      <c r="AS249" s="36"/>
      <c r="AT249" s="36"/>
      <c r="AU249" s="36"/>
      <c r="AV249" s="36"/>
      <c r="AW249" s="36"/>
      <c r="AX249" s="36"/>
      <c r="AY249" s="36"/>
      <c r="AZ249" s="36"/>
      <c r="BA249" s="36"/>
      <c r="BB249" s="36"/>
      <c r="BC249" s="36"/>
      <c r="BD249" s="36"/>
      <c r="BE249" s="36"/>
      <c r="BF249" s="36"/>
      <c r="BG249" s="36"/>
      <c r="BH249" s="36"/>
      <c r="BI249" s="36"/>
      <c r="BJ249" s="36"/>
      <c r="BK249" s="36"/>
      <c r="BL249" s="36"/>
      <c r="BM249" s="36"/>
      <c r="BN249" s="36"/>
      <c r="BO249" s="36"/>
      <c r="BP249" s="36"/>
      <c r="BQ249" s="36"/>
    </row>
    <row r="250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2"/>
      <c r="AD250" s="42"/>
      <c r="AE250" s="42"/>
      <c r="AF250" s="42"/>
      <c r="AG250" s="42"/>
      <c r="AH250" s="42"/>
      <c r="AI250" s="42"/>
      <c r="AJ250" s="45"/>
      <c r="AK250" s="45"/>
      <c r="AL250" s="45"/>
      <c r="AM250" s="45"/>
      <c r="AN250" s="45"/>
      <c r="AO250" s="45"/>
      <c r="AP250" s="45"/>
      <c r="AQ250" s="36"/>
      <c r="AR250" s="36"/>
      <c r="AS250" s="36"/>
      <c r="AT250" s="36"/>
      <c r="AU250" s="36"/>
      <c r="AV250" s="36"/>
      <c r="AW250" s="36"/>
      <c r="AX250" s="36"/>
      <c r="AY250" s="36"/>
      <c r="AZ250" s="36"/>
      <c r="BA250" s="36"/>
      <c r="BB250" s="36"/>
      <c r="BC250" s="36"/>
      <c r="BD250" s="36"/>
      <c r="BE250" s="36"/>
      <c r="BF250" s="36"/>
      <c r="BG250" s="36"/>
      <c r="BH250" s="36"/>
      <c r="BI250" s="36"/>
      <c r="BJ250" s="36"/>
      <c r="BK250" s="36"/>
      <c r="BL250" s="36"/>
      <c r="BM250" s="36"/>
      <c r="BN250" s="36"/>
      <c r="BO250" s="36"/>
      <c r="BP250" s="36"/>
      <c r="BQ250" s="36"/>
    </row>
    <row r="25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2"/>
      <c r="AD251" s="42"/>
      <c r="AE251" s="42"/>
      <c r="AF251" s="42"/>
      <c r="AG251" s="42"/>
      <c r="AH251" s="42"/>
      <c r="AI251" s="42"/>
      <c r="AJ251" s="45"/>
      <c r="AK251" s="45"/>
      <c r="AL251" s="45"/>
      <c r="AM251" s="45"/>
      <c r="AN251" s="45"/>
      <c r="AO251" s="45"/>
      <c r="AP251" s="45"/>
      <c r="AQ251" s="36"/>
      <c r="AR251" s="36"/>
      <c r="AS251" s="36"/>
      <c r="AT251" s="36"/>
      <c r="AU251" s="36"/>
      <c r="AV251" s="36"/>
      <c r="AW251" s="36"/>
      <c r="AX251" s="36"/>
      <c r="AY251" s="36"/>
      <c r="AZ251" s="36"/>
      <c r="BA251" s="36"/>
      <c r="BB251" s="36"/>
      <c r="BC251" s="36"/>
      <c r="BD251" s="36"/>
      <c r="BE251" s="36"/>
      <c r="BF251" s="36"/>
      <c r="BG251" s="36"/>
      <c r="BH251" s="36"/>
      <c r="BI251" s="36"/>
      <c r="BJ251" s="36"/>
      <c r="BK251" s="36"/>
      <c r="BL251" s="36"/>
      <c r="BM251" s="36"/>
      <c r="BN251" s="36"/>
      <c r="BO251" s="36"/>
      <c r="BP251" s="36"/>
      <c r="BQ251" s="36"/>
    </row>
    <row r="252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2"/>
      <c r="AD252" s="42"/>
      <c r="AE252" s="42"/>
      <c r="AF252" s="42"/>
      <c r="AG252" s="42"/>
      <c r="AH252" s="42"/>
      <c r="AI252" s="42"/>
      <c r="AJ252" s="45"/>
      <c r="AK252" s="45"/>
      <c r="AL252" s="45"/>
      <c r="AM252" s="45"/>
      <c r="AN252" s="45"/>
      <c r="AO252" s="45"/>
      <c r="AP252" s="45"/>
      <c r="AQ252" s="36"/>
      <c r="AR252" s="36"/>
      <c r="AS252" s="36"/>
      <c r="AT252" s="36"/>
      <c r="AU252" s="36"/>
      <c r="AV252" s="36"/>
      <c r="AW252" s="36"/>
      <c r="AX252" s="36"/>
      <c r="AY252" s="36"/>
      <c r="AZ252" s="36"/>
      <c r="BA252" s="36"/>
      <c r="BB252" s="36"/>
      <c r="BC252" s="36"/>
      <c r="BD252" s="36"/>
      <c r="BE252" s="36"/>
      <c r="BF252" s="36"/>
      <c r="BG252" s="36"/>
      <c r="BH252" s="36"/>
      <c r="BI252" s="36"/>
      <c r="BJ252" s="36"/>
      <c r="BK252" s="36"/>
      <c r="BL252" s="36"/>
      <c r="BM252" s="36"/>
      <c r="BN252" s="36"/>
      <c r="BO252" s="36"/>
      <c r="BP252" s="36"/>
      <c r="BQ252" s="36"/>
    </row>
    <row r="253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2"/>
      <c r="AD253" s="42"/>
      <c r="AE253" s="42"/>
      <c r="AF253" s="42"/>
      <c r="AG253" s="42"/>
      <c r="AH253" s="42"/>
      <c r="AI253" s="42"/>
      <c r="AJ253" s="45"/>
      <c r="AK253" s="45"/>
      <c r="AL253" s="45"/>
      <c r="AM253" s="45"/>
      <c r="AN253" s="45"/>
      <c r="AO253" s="45"/>
      <c r="AP253" s="45"/>
      <c r="AQ253" s="36"/>
      <c r="AR253" s="36"/>
      <c r="AS253" s="36"/>
      <c r="AT253" s="36"/>
      <c r="AU253" s="36"/>
      <c r="AV253" s="36"/>
      <c r="AW253" s="36"/>
      <c r="AX253" s="36"/>
      <c r="AY253" s="36"/>
      <c r="AZ253" s="36"/>
      <c r="BA253" s="36"/>
      <c r="BB253" s="36"/>
      <c r="BC253" s="36"/>
      <c r="BD253" s="36"/>
      <c r="BE253" s="36"/>
      <c r="BF253" s="36"/>
      <c r="BG253" s="36"/>
      <c r="BH253" s="36"/>
      <c r="BI253" s="36"/>
      <c r="BJ253" s="36"/>
      <c r="BK253" s="36"/>
      <c r="BL253" s="36"/>
      <c r="BM253" s="36"/>
      <c r="BN253" s="36"/>
      <c r="BO253" s="36"/>
      <c r="BP253" s="36"/>
      <c r="BQ253" s="36"/>
    </row>
    <row r="254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2"/>
      <c r="AD254" s="42"/>
      <c r="AE254" s="42"/>
      <c r="AF254" s="42"/>
      <c r="AG254" s="42"/>
      <c r="AH254" s="42"/>
      <c r="AI254" s="42"/>
      <c r="AJ254" s="45"/>
      <c r="AK254" s="45"/>
      <c r="AL254" s="45"/>
      <c r="AM254" s="45"/>
      <c r="AN254" s="45"/>
      <c r="AO254" s="45"/>
      <c r="AP254" s="45"/>
      <c r="AQ254" s="36"/>
      <c r="AR254" s="36"/>
      <c r="AS254" s="36"/>
      <c r="AT254" s="36"/>
      <c r="AU254" s="36"/>
      <c r="AV254" s="36"/>
      <c r="AW254" s="36"/>
      <c r="AX254" s="36"/>
      <c r="AY254" s="36"/>
      <c r="AZ254" s="36"/>
      <c r="BA254" s="36"/>
      <c r="BB254" s="36"/>
      <c r="BC254" s="36"/>
      <c r="BD254" s="36"/>
      <c r="BE254" s="36"/>
      <c r="BF254" s="36"/>
      <c r="BG254" s="36"/>
      <c r="BH254" s="36"/>
      <c r="BI254" s="36"/>
      <c r="BJ254" s="36"/>
      <c r="BK254" s="36"/>
      <c r="BL254" s="36"/>
      <c r="BM254" s="36"/>
      <c r="BN254" s="36"/>
      <c r="BO254" s="36"/>
      <c r="BP254" s="36"/>
      <c r="BQ254" s="36"/>
    </row>
    <row r="25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2"/>
      <c r="AD255" s="42"/>
      <c r="AE255" s="42"/>
      <c r="AF255" s="42"/>
      <c r="AG255" s="42"/>
      <c r="AH255" s="42"/>
      <c r="AI255" s="42"/>
      <c r="AJ255" s="45"/>
      <c r="AK255" s="45"/>
      <c r="AL255" s="45"/>
      <c r="AM255" s="45"/>
      <c r="AN255" s="45"/>
      <c r="AO255" s="45"/>
      <c r="AP255" s="45"/>
      <c r="AQ255" s="36"/>
      <c r="AR255" s="36"/>
      <c r="AS255" s="36"/>
      <c r="AT255" s="36"/>
      <c r="AU255" s="36"/>
      <c r="AV255" s="36"/>
      <c r="AW255" s="36"/>
      <c r="AX255" s="36"/>
      <c r="AY255" s="36"/>
      <c r="AZ255" s="36"/>
      <c r="BA255" s="36"/>
      <c r="BB255" s="36"/>
      <c r="BC255" s="36"/>
      <c r="BD255" s="36"/>
      <c r="BE255" s="36"/>
      <c r="BF255" s="36"/>
      <c r="BG255" s="36"/>
      <c r="BH255" s="36"/>
      <c r="BI255" s="36"/>
      <c r="BJ255" s="36"/>
      <c r="BK255" s="36"/>
      <c r="BL255" s="36"/>
      <c r="BM255" s="36"/>
      <c r="BN255" s="36"/>
      <c r="BO255" s="36"/>
      <c r="BP255" s="36"/>
      <c r="BQ255" s="36"/>
    </row>
    <row r="256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2"/>
      <c r="AD256" s="42"/>
      <c r="AE256" s="42"/>
      <c r="AF256" s="42"/>
      <c r="AG256" s="42"/>
      <c r="AH256" s="42"/>
      <c r="AI256" s="42"/>
      <c r="AJ256" s="45"/>
      <c r="AK256" s="45"/>
      <c r="AL256" s="45"/>
      <c r="AM256" s="45"/>
      <c r="AN256" s="45"/>
      <c r="AO256" s="45"/>
      <c r="AP256" s="45"/>
      <c r="AQ256" s="36"/>
      <c r="AR256" s="36"/>
      <c r="AS256" s="36"/>
      <c r="AT256" s="36"/>
      <c r="AU256" s="36"/>
      <c r="AV256" s="36"/>
      <c r="AW256" s="36"/>
      <c r="AX256" s="36"/>
      <c r="AY256" s="36"/>
      <c r="AZ256" s="36"/>
      <c r="BA256" s="36"/>
      <c r="BB256" s="36"/>
      <c r="BC256" s="36"/>
      <c r="BD256" s="36"/>
      <c r="BE256" s="36"/>
      <c r="BF256" s="36"/>
      <c r="BG256" s="36"/>
      <c r="BH256" s="36"/>
      <c r="BI256" s="36"/>
      <c r="BJ256" s="36"/>
      <c r="BK256" s="36"/>
      <c r="BL256" s="36"/>
      <c r="BM256" s="36"/>
      <c r="BN256" s="36"/>
      <c r="BO256" s="36"/>
      <c r="BP256" s="36"/>
      <c r="BQ256" s="36"/>
    </row>
    <row r="257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2"/>
      <c r="AD257" s="42"/>
      <c r="AE257" s="42"/>
      <c r="AF257" s="42"/>
      <c r="AG257" s="42"/>
      <c r="AH257" s="42"/>
      <c r="AI257" s="42"/>
      <c r="AJ257" s="45"/>
      <c r="AK257" s="45"/>
      <c r="AL257" s="45"/>
      <c r="AM257" s="45"/>
      <c r="AN257" s="45"/>
      <c r="AO257" s="45"/>
      <c r="AP257" s="45"/>
      <c r="AQ257" s="36"/>
      <c r="AR257" s="36"/>
      <c r="AS257" s="36"/>
      <c r="AT257" s="36"/>
      <c r="AU257" s="36"/>
      <c r="AV257" s="36"/>
      <c r="AW257" s="36"/>
      <c r="AX257" s="36"/>
      <c r="AY257" s="36"/>
      <c r="AZ257" s="36"/>
      <c r="BA257" s="36"/>
      <c r="BB257" s="36"/>
      <c r="BC257" s="36"/>
      <c r="BD257" s="36"/>
      <c r="BE257" s="36"/>
      <c r="BF257" s="36"/>
      <c r="BG257" s="36"/>
      <c r="BH257" s="36"/>
      <c r="BI257" s="36"/>
      <c r="BJ257" s="36"/>
      <c r="BK257" s="36"/>
      <c r="BL257" s="36"/>
      <c r="BM257" s="36"/>
      <c r="BN257" s="36"/>
      <c r="BO257" s="36"/>
      <c r="BP257" s="36"/>
      <c r="BQ257" s="36"/>
    </row>
    <row r="258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2"/>
      <c r="AD258" s="42"/>
      <c r="AE258" s="42"/>
      <c r="AF258" s="42"/>
      <c r="AG258" s="42"/>
      <c r="AH258" s="42"/>
      <c r="AI258" s="42"/>
      <c r="AJ258" s="45"/>
      <c r="AK258" s="45"/>
      <c r="AL258" s="45"/>
      <c r="AM258" s="45"/>
      <c r="AN258" s="45"/>
      <c r="AO258" s="45"/>
      <c r="AP258" s="45"/>
      <c r="AQ258" s="36"/>
      <c r="AR258" s="36"/>
      <c r="AS258" s="36"/>
      <c r="AT258" s="36"/>
      <c r="AU258" s="36"/>
      <c r="AV258" s="36"/>
      <c r="AW258" s="36"/>
      <c r="AX258" s="36"/>
      <c r="AY258" s="36"/>
      <c r="AZ258" s="36"/>
      <c r="BA258" s="36"/>
      <c r="BB258" s="36"/>
      <c r="BC258" s="36"/>
      <c r="BD258" s="36"/>
      <c r="BE258" s="36"/>
      <c r="BF258" s="36"/>
      <c r="BG258" s="36"/>
      <c r="BH258" s="36"/>
      <c r="BI258" s="36"/>
      <c r="BJ258" s="36"/>
      <c r="BK258" s="36"/>
      <c r="BL258" s="36"/>
      <c r="BM258" s="36"/>
      <c r="BN258" s="36"/>
      <c r="BO258" s="36"/>
      <c r="BP258" s="36"/>
      <c r="BQ258" s="36"/>
    </row>
    <row r="259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2"/>
      <c r="AD259" s="42"/>
      <c r="AE259" s="42"/>
      <c r="AF259" s="42"/>
      <c r="AG259" s="42"/>
      <c r="AH259" s="42"/>
      <c r="AI259" s="42"/>
      <c r="AJ259" s="45"/>
      <c r="AK259" s="45"/>
      <c r="AL259" s="45"/>
      <c r="AM259" s="45"/>
      <c r="AN259" s="45"/>
      <c r="AO259" s="45"/>
      <c r="AP259" s="45"/>
      <c r="AQ259" s="36"/>
      <c r="AR259" s="36"/>
      <c r="AS259" s="36"/>
      <c r="AT259" s="36"/>
      <c r="AU259" s="36"/>
      <c r="AV259" s="36"/>
      <c r="AW259" s="36"/>
      <c r="AX259" s="36"/>
      <c r="AY259" s="36"/>
      <c r="AZ259" s="36"/>
      <c r="BA259" s="36"/>
      <c r="BB259" s="36"/>
      <c r="BC259" s="36"/>
      <c r="BD259" s="36"/>
      <c r="BE259" s="36"/>
      <c r="BF259" s="36"/>
      <c r="BG259" s="36"/>
      <c r="BH259" s="36"/>
      <c r="BI259" s="36"/>
      <c r="BJ259" s="36"/>
      <c r="BK259" s="36"/>
      <c r="BL259" s="36"/>
      <c r="BM259" s="36"/>
      <c r="BN259" s="36"/>
      <c r="BO259" s="36"/>
      <c r="BP259" s="36"/>
      <c r="BQ259" s="36"/>
    </row>
    <row r="260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2"/>
      <c r="AD260" s="42"/>
      <c r="AE260" s="42"/>
      <c r="AF260" s="42"/>
      <c r="AG260" s="42"/>
      <c r="AH260" s="42"/>
      <c r="AI260" s="42"/>
      <c r="AJ260" s="45"/>
      <c r="AK260" s="45"/>
      <c r="AL260" s="45"/>
      <c r="AM260" s="45"/>
      <c r="AN260" s="45"/>
      <c r="AO260" s="45"/>
      <c r="AP260" s="45"/>
      <c r="AQ260" s="36"/>
      <c r="AR260" s="36"/>
      <c r="AS260" s="36"/>
      <c r="AT260" s="36"/>
      <c r="AU260" s="36"/>
      <c r="AV260" s="36"/>
      <c r="AW260" s="36"/>
      <c r="AX260" s="36"/>
      <c r="AY260" s="36"/>
      <c r="AZ260" s="36"/>
      <c r="BA260" s="36"/>
      <c r="BB260" s="36"/>
      <c r="BC260" s="36"/>
      <c r="BD260" s="36"/>
      <c r="BE260" s="36"/>
      <c r="BF260" s="36"/>
      <c r="BG260" s="36"/>
      <c r="BH260" s="36"/>
      <c r="BI260" s="36"/>
      <c r="BJ260" s="36"/>
      <c r="BK260" s="36"/>
      <c r="BL260" s="36"/>
      <c r="BM260" s="36"/>
      <c r="BN260" s="36"/>
      <c r="BO260" s="36"/>
      <c r="BP260" s="36"/>
      <c r="BQ260" s="36"/>
    </row>
    <row r="26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2"/>
      <c r="AD261" s="42"/>
      <c r="AE261" s="42"/>
      <c r="AF261" s="42"/>
      <c r="AG261" s="42"/>
      <c r="AH261" s="42"/>
      <c r="AI261" s="42"/>
      <c r="AJ261" s="45"/>
      <c r="AK261" s="45"/>
      <c r="AL261" s="45"/>
      <c r="AM261" s="45"/>
      <c r="AN261" s="45"/>
      <c r="AO261" s="45"/>
      <c r="AP261" s="45"/>
      <c r="AQ261" s="36"/>
      <c r="AR261" s="36"/>
      <c r="AS261" s="36"/>
      <c r="AT261" s="36"/>
      <c r="AU261" s="36"/>
      <c r="AV261" s="36"/>
      <c r="AW261" s="36"/>
      <c r="AX261" s="36"/>
      <c r="AY261" s="36"/>
      <c r="AZ261" s="36"/>
      <c r="BA261" s="36"/>
      <c r="BB261" s="36"/>
      <c r="BC261" s="36"/>
      <c r="BD261" s="36"/>
      <c r="BE261" s="36"/>
      <c r="BF261" s="36"/>
      <c r="BG261" s="36"/>
      <c r="BH261" s="36"/>
      <c r="BI261" s="36"/>
      <c r="BJ261" s="36"/>
      <c r="BK261" s="36"/>
      <c r="BL261" s="36"/>
      <c r="BM261" s="36"/>
      <c r="BN261" s="36"/>
      <c r="BO261" s="36"/>
      <c r="BP261" s="36"/>
      <c r="BQ261" s="36"/>
    </row>
    <row r="262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2"/>
      <c r="AD262" s="42"/>
      <c r="AE262" s="42"/>
      <c r="AF262" s="42"/>
      <c r="AG262" s="42"/>
      <c r="AH262" s="42"/>
      <c r="AI262" s="42"/>
      <c r="AJ262" s="45"/>
      <c r="AK262" s="45"/>
      <c r="AL262" s="45"/>
      <c r="AM262" s="45"/>
      <c r="AN262" s="45"/>
      <c r="AO262" s="45"/>
      <c r="AP262" s="45"/>
      <c r="AQ262" s="36"/>
      <c r="AR262" s="36"/>
      <c r="AS262" s="36"/>
      <c r="AT262" s="36"/>
      <c r="AU262" s="36"/>
      <c r="AV262" s="36"/>
      <c r="AW262" s="36"/>
      <c r="AX262" s="36"/>
      <c r="AY262" s="36"/>
      <c r="AZ262" s="36"/>
      <c r="BA262" s="36"/>
      <c r="BB262" s="36"/>
      <c r="BC262" s="36"/>
      <c r="BD262" s="36"/>
      <c r="BE262" s="36"/>
      <c r="BF262" s="36"/>
      <c r="BG262" s="36"/>
      <c r="BH262" s="36"/>
      <c r="BI262" s="36"/>
      <c r="BJ262" s="36"/>
      <c r="BK262" s="36"/>
      <c r="BL262" s="36"/>
      <c r="BM262" s="36"/>
      <c r="BN262" s="36"/>
      <c r="BO262" s="36"/>
      <c r="BP262" s="36"/>
      <c r="BQ262" s="36"/>
    </row>
    <row r="263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2"/>
      <c r="AD263" s="42"/>
      <c r="AE263" s="42"/>
      <c r="AF263" s="42"/>
      <c r="AG263" s="42"/>
      <c r="AH263" s="42"/>
      <c r="AI263" s="42"/>
      <c r="AJ263" s="45"/>
      <c r="AK263" s="45"/>
      <c r="AL263" s="45"/>
      <c r="AM263" s="45"/>
      <c r="AN263" s="45"/>
      <c r="AO263" s="45"/>
      <c r="AP263" s="45"/>
      <c r="AQ263" s="36"/>
      <c r="AR263" s="36"/>
      <c r="AS263" s="36"/>
      <c r="AT263" s="36"/>
      <c r="AU263" s="36"/>
      <c r="AV263" s="36"/>
      <c r="AW263" s="36"/>
      <c r="AX263" s="36"/>
      <c r="AY263" s="36"/>
      <c r="AZ263" s="36"/>
      <c r="BA263" s="36"/>
      <c r="BB263" s="36"/>
      <c r="BC263" s="36"/>
      <c r="BD263" s="36"/>
      <c r="BE263" s="36"/>
      <c r="BF263" s="36"/>
      <c r="BG263" s="36"/>
      <c r="BH263" s="36"/>
      <c r="BI263" s="36"/>
      <c r="BJ263" s="36"/>
      <c r="BK263" s="36"/>
      <c r="BL263" s="36"/>
      <c r="BM263" s="36"/>
      <c r="BN263" s="36"/>
      <c r="BO263" s="36"/>
      <c r="BP263" s="36"/>
      <c r="BQ263" s="36"/>
    </row>
    <row r="264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2"/>
      <c r="AD264" s="42"/>
      <c r="AE264" s="42"/>
      <c r="AF264" s="42"/>
      <c r="AG264" s="42"/>
      <c r="AH264" s="42"/>
      <c r="AI264" s="42"/>
      <c r="AJ264" s="45"/>
      <c r="AK264" s="45"/>
      <c r="AL264" s="45"/>
      <c r="AM264" s="45"/>
      <c r="AN264" s="45"/>
      <c r="AO264" s="45"/>
      <c r="AP264" s="45"/>
      <c r="AQ264" s="36"/>
      <c r="AR264" s="36"/>
      <c r="AS264" s="36"/>
      <c r="AT264" s="36"/>
      <c r="AU264" s="36"/>
      <c r="AV264" s="36"/>
      <c r="AW264" s="36"/>
      <c r="AX264" s="36"/>
      <c r="AY264" s="36"/>
      <c r="AZ264" s="36"/>
      <c r="BA264" s="36"/>
      <c r="BB264" s="36"/>
      <c r="BC264" s="36"/>
      <c r="BD264" s="36"/>
      <c r="BE264" s="36"/>
      <c r="BF264" s="36"/>
      <c r="BG264" s="36"/>
      <c r="BH264" s="36"/>
      <c r="BI264" s="36"/>
      <c r="BJ264" s="36"/>
      <c r="BK264" s="36"/>
      <c r="BL264" s="36"/>
      <c r="BM264" s="36"/>
      <c r="BN264" s="36"/>
      <c r="BO264" s="36"/>
      <c r="BP264" s="36"/>
      <c r="BQ264" s="36"/>
    </row>
    <row r="26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2"/>
      <c r="AD265" s="42"/>
      <c r="AE265" s="42"/>
      <c r="AF265" s="42"/>
      <c r="AG265" s="42"/>
      <c r="AH265" s="42"/>
      <c r="AI265" s="42"/>
      <c r="AJ265" s="45"/>
      <c r="AK265" s="45"/>
      <c r="AL265" s="45"/>
      <c r="AM265" s="45"/>
      <c r="AN265" s="45"/>
      <c r="AO265" s="45"/>
      <c r="AP265" s="45"/>
      <c r="AQ265" s="36"/>
      <c r="AR265" s="36"/>
      <c r="AS265" s="36"/>
      <c r="AT265" s="36"/>
      <c r="AU265" s="36"/>
      <c r="AV265" s="36"/>
      <c r="AW265" s="36"/>
      <c r="AX265" s="36"/>
      <c r="AY265" s="36"/>
      <c r="AZ265" s="36"/>
      <c r="BA265" s="36"/>
      <c r="BB265" s="36"/>
      <c r="BC265" s="36"/>
      <c r="BD265" s="36"/>
      <c r="BE265" s="36"/>
      <c r="BF265" s="36"/>
      <c r="BG265" s="36"/>
      <c r="BH265" s="36"/>
      <c r="BI265" s="36"/>
      <c r="BJ265" s="36"/>
      <c r="BK265" s="36"/>
      <c r="BL265" s="36"/>
      <c r="BM265" s="36"/>
      <c r="BN265" s="36"/>
      <c r="BO265" s="36"/>
      <c r="BP265" s="36"/>
      <c r="BQ265" s="36"/>
    </row>
    <row r="266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2"/>
      <c r="AD266" s="42"/>
      <c r="AE266" s="42"/>
      <c r="AF266" s="42"/>
      <c r="AG266" s="42"/>
      <c r="AH266" s="42"/>
      <c r="AI266" s="42"/>
      <c r="AJ266" s="45"/>
      <c r="AK266" s="45"/>
      <c r="AL266" s="45"/>
      <c r="AM266" s="45"/>
      <c r="AN266" s="45"/>
      <c r="AO266" s="45"/>
      <c r="AP266" s="45"/>
      <c r="AQ266" s="36"/>
      <c r="AR266" s="36"/>
      <c r="AS266" s="36"/>
      <c r="AT266" s="36"/>
      <c r="AU266" s="36"/>
      <c r="AV266" s="36"/>
      <c r="AW266" s="36"/>
      <c r="AX266" s="36"/>
      <c r="AY266" s="36"/>
      <c r="AZ266" s="36"/>
      <c r="BA266" s="36"/>
      <c r="BB266" s="36"/>
      <c r="BC266" s="36"/>
      <c r="BD266" s="36"/>
      <c r="BE266" s="36"/>
      <c r="BF266" s="36"/>
      <c r="BG266" s="36"/>
      <c r="BH266" s="36"/>
      <c r="BI266" s="36"/>
      <c r="BJ266" s="36"/>
      <c r="BK266" s="36"/>
      <c r="BL266" s="36"/>
      <c r="BM266" s="36"/>
      <c r="BN266" s="36"/>
      <c r="BO266" s="36"/>
      <c r="BP266" s="36"/>
      <c r="BQ266" s="36"/>
    </row>
    <row r="267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2"/>
      <c r="AD267" s="42"/>
      <c r="AE267" s="42"/>
      <c r="AF267" s="42"/>
      <c r="AG267" s="42"/>
      <c r="AH267" s="42"/>
      <c r="AI267" s="42"/>
      <c r="AJ267" s="45"/>
      <c r="AK267" s="45"/>
      <c r="AL267" s="45"/>
      <c r="AM267" s="45"/>
      <c r="AN267" s="45"/>
      <c r="AO267" s="45"/>
      <c r="AP267" s="45"/>
      <c r="AQ267" s="36"/>
      <c r="AR267" s="36"/>
      <c r="AS267" s="36"/>
      <c r="AT267" s="36"/>
      <c r="AU267" s="36"/>
      <c r="AV267" s="36"/>
      <c r="AW267" s="36"/>
      <c r="AX267" s="36"/>
      <c r="AY267" s="36"/>
      <c r="AZ267" s="36"/>
      <c r="BA267" s="36"/>
      <c r="BB267" s="36"/>
      <c r="BC267" s="36"/>
      <c r="BD267" s="36"/>
      <c r="BE267" s="36"/>
      <c r="BF267" s="36"/>
      <c r="BG267" s="36"/>
      <c r="BH267" s="36"/>
      <c r="BI267" s="36"/>
      <c r="BJ267" s="36"/>
      <c r="BK267" s="36"/>
      <c r="BL267" s="36"/>
      <c r="BM267" s="36"/>
      <c r="BN267" s="36"/>
      <c r="BO267" s="36"/>
      <c r="BP267" s="36"/>
      <c r="BQ267" s="36"/>
    </row>
    <row r="268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2"/>
      <c r="AD268" s="42"/>
      <c r="AE268" s="42"/>
      <c r="AF268" s="42"/>
      <c r="AG268" s="42"/>
      <c r="AH268" s="42"/>
      <c r="AI268" s="42"/>
      <c r="AJ268" s="45"/>
      <c r="AK268" s="45"/>
      <c r="AL268" s="45"/>
      <c r="AM268" s="45"/>
      <c r="AN268" s="45"/>
      <c r="AO268" s="45"/>
      <c r="AP268" s="45"/>
      <c r="AQ268" s="36"/>
      <c r="AR268" s="36"/>
      <c r="AS268" s="36"/>
      <c r="AT268" s="36"/>
      <c r="AU268" s="36"/>
      <c r="AV268" s="36"/>
      <c r="AW268" s="36"/>
      <c r="AX268" s="36"/>
      <c r="AY268" s="36"/>
      <c r="AZ268" s="36"/>
      <c r="BA268" s="36"/>
      <c r="BB268" s="36"/>
      <c r="BC268" s="36"/>
      <c r="BD268" s="36"/>
      <c r="BE268" s="36"/>
      <c r="BF268" s="36"/>
      <c r="BG268" s="36"/>
      <c r="BH268" s="36"/>
      <c r="BI268" s="36"/>
      <c r="BJ268" s="36"/>
      <c r="BK268" s="36"/>
      <c r="BL268" s="36"/>
      <c r="BM268" s="36"/>
      <c r="BN268" s="36"/>
      <c r="BO268" s="36"/>
      <c r="BP268" s="36"/>
      <c r="BQ268" s="36"/>
    </row>
    <row r="269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2"/>
      <c r="AD269" s="42"/>
      <c r="AE269" s="42"/>
      <c r="AF269" s="42"/>
      <c r="AG269" s="42"/>
      <c r="AH269" s="42"/>
      <c r="AI269" s="42"/>
      <c r="AJ269" s="45"/>
      <c r="AK269" s="45"/>
      <c r="AL269" s="45"/>
      <c r="AM269" s="45"/>
      <c r="AN269" s="45"/>
      <c r="AO269" s="45"/>
      <c r="AP269" s="45"/>
      <c r="AQ269" s="36"/>
      <c r="AR269" s="36"/>
      <c r="AS269" s="36"/>
      <c r="AT269" s="36"/>
      <c r="AU269" s="36"/>
      <c r="AV269" s="36"/>
      <c r="AW269" s="36"/>
      <c r="AX269" s="36"/>
      <c r="AY269" s="36"/>
      <c r="AZ269" s="36"/>
      <c r="BA269" s="36"/>
      <c r="BB269" s="36"/>
      <c r="BC269" s="36"/>
      <c r="BD269" s="36"/>
      <c r="BE269" s="36"/>
      <c r="BF269" s="36"/>
      <c r="BG269" s="36"/>
      <c r="BH269" s="36"/>
      <c r="BI269" s="36"/>
      <c r="BJ269" s="36"/>
      <c r="BK269" s="36"/>
      <c r="BL269" s="36"/>
      <c r="BM269" s="36"/>
      <c r="BN269" s="36"/>
      <c r="BO269" s="36"/>
      <c r="BP269" s="36"/>
      <c r="BQ269" s="36"/>
    </row>
    <row r="270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2"/>
      <c r="AD270" s="42"/>
      <c r="AE270" s="42"/>
      <c r="AF270" s="42"/>
      <c r="AG270" s="42"/>
      <c r="AH270" s="42"/>
      <c r="AI270" s="42"/>
      <c r="AJ270" s="45"/>
      <c r="AK270" s="45"/>
      <c r="AL270" s="45"/>
      <c r="AM270" s="45"/>
      <c r="AN270" s="45"/>
      <c r="AO270" s="45"/>
      <c r="AP270" s="45"/>
      <c r="AQ270" s="36"/>
      <c r="AR270" s="36"/>
      <c r="AS270" s="36"/>
      <c r="AT270" s="36"/>
      <c r="AU270" s="36"/>
      <c r="AV270" s="36"/>
      <c r="AW270" s="36"/>
      <c r="AX270" s="36"/>
      <c r="AY270" s="36"/>
      <c r="AZ270" s="36"/>
      <c r="BA270" s="36"/>
      <c r="BB270" s="36"/>
      <c r="BC270" s="36"/>
      <c r="BD270" s="36"/>
      <c r="BE270" s="36"/>
      <c r="BF270" s="36"/>
      <c r="BG270" s="36"/>
      <c r="BH270" s="36"/>
      <c r="BI270" s="36"/>
      <c r="BJ270" s="36"/>
      <c r="BK270" s="36"/>
      <c r="BL270" s="36"/>
      <c r="BM270" s="36"/>
      <c r="BN270" s="36"/>
      <c r="BO270" s="36"/>
      <c r="BP270" s="36"/>
      <c r="BQ270" s="36"/>
    </row>
    <row r="27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2"/>
      <c r="AD271" s="42"/>
      <c r="AE271" s="42"/>
      <c r="AF271" s="42"/>
      <c r="AG271" s="42"/>
      <c r="AH271" s="42"/>
      <c r="AI271" s="42"/>
      <c r="AJ271" s="45"/>
      <c r="AK271" s="45"/>
      <c r="AL271" s="45"/>
      <c r="AM271" s="45"/>
      <c r="AN271" s="45"/>
      <c r="AO271" s="45"/>
      <c r="AP271" s="45"/>
      <c r="AQ271" s="36"/>
      <c r="AR271" s="36"/>
      <c r="AS271" s="36"/>
      <c r="AT271" s="36"/>
      <c r="AU271" s="36"/>
      <c r="AV271" s="36"/>
      <c r="AW271" s="36"/>
      <c r="AX271" s="36"/>
      <c r="AY271" s="36"/>
      <c r="AZ271" s="36"/>
      <c r="BA271" s="36"/>
      <c r="BB271" s="36"/>
      <c r="BC271" s="36"/>
      <c r="BD271" s="36"/>
      <c r="BE271" s="36"/>
      <c r="BF271" s="36"/>
      <c r="BG271" s="36"/>
      <c r="BH271" s="36"/>
      <c r="BI271" s="36"/>
      <c r="BJ271" s="36"/>
      <c r="BK271" s="36"/>
      <c r="BL271" s="36"/>
      <c r="BM271" s="36"/>
      <c r="BN271" s="36"/>
      <c r="BO271" s="36"/>
      <c r="BP271" s="36"/>
      <c r="BQ271" s="36"/>
    </row>
    <row r="272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2"/>
      <c r="AD272" s="42"/>
      <c r="AE272" s="42"/>
      <c r="AF272" s="42"/>
      <c r="AG272" s="42"/>
      <c r="AH272" s="42"/>
      <c r="AI272" s="42"/>
      <c r="AJ272" s="45"/>
      <c r="AK272" s="45"/>
      <c r="AL272" s="45"/>
      <c r="AM272" s="45"/>
      <c r="AN272" s="45"/>
      <c r="AO272" s="45"/>
      <c r="AP272" s="45"/>
      <c r="AQ272" s="36"/>
      <c r="AR272" s="36"/>
      <c r="AS272" s="36"/>
      <c r="AT272" s="36"/>
      <c r="AU272" s="36"/>
      <c r="AV272" s="36"/>
      <c r="AW272" s="36"/>
      <c r="AX272" s="36"/>
      <c r="AY272" s="36"/>
      <c r="AZ272" s="36"/>
      <c r="BA272" s="36"/>
      <c r="BB272" s="36"/>
      <c r="BC272" s="36"/>
      <c r="BD272" s="36"/>
      <c r="BE272" s="36"/>
      <c r="BF272" s="36"/>
      <c r="BG272" s="36"/>
      <c r="BH272" s="36"/>
      <c r="BI272" s="36"/>
      <c r="BJ272" s="36"/>
      <c r="BK272" s="36"/>
      <c r="BL272" s="36"/>
      <c r="BM272" s="36"/>
      <c r="BN272" s="36"/>
      <c r="BO272" s="36"/>
      <c r="BP272" s="36"/>
      <c r="BQ272" s="36"/>
    </row>
    <row r="273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2"/>
      <c r="AD273" s="42"/>
      <c r="AE273" s="42"/>
      <c r="AF273" s="42"/>
      <c r="AG273" s="42"/>
      <c r="AH273" s="42"/>
      <c r="AI273" s="42"/>
      <c r="AJ273" s="45"/>
      <c r="AK273" s="45"/>
      <c r="AL273" s="45"/>
      <c r="AM273" s="45"/>
      <c r="AN273" s="45"/>
      <c r="AO273" s="45"/>
      <c r="AP273" s="45"/>
      <c r="AQ273" s="36"/>
      <c r="AR273" s="36"/>
      <c r="AS273" s="36"/>
      <c r="AT273" s="36"/>
      <c r="AU273" s="36"/>
      <c r="AV273" s="36"/>
      <c r="AW273" s="36"/>
      <c r="AX273" s="36"/>
      <c r="AY273" s="36"/>
      <c r="AZ273" s="36"/>
      <c r="BA273" s="36"/>
      <c r="BB273" s="36"/>
      <c r="BC273" s="36"/>
      <c r="BD273" s="36"/>
      <c r="BE273" s="36"/>
      <c r="BF273" s="36"/>
      <c r="BG273" s="36"/>
      <c r="BH273" s="36"/>
      <c r="BI273" s="36"/>
      <c r="BJ273" s="36"/>
      <c r="BK273" s="36"/>
      <c r="BL273" s="36"/>
      <c r="BM273" s="36"/>
      <c r="BN273" s="36"/>
      <c r="BO273" s="36"/>
      <c r="BP273" s="36"/>
      <c r="BQ273" s="36"/>
    </row>
    <row r="274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2"/>
      <c r="AD274" s="42"/>
      <c r="AE274" s="42"/>
      <c r="AF274" s="42"/>
      <c r="AG274" s="42"/>
      <c r="AH274" s="42"/>
      <c r="AI274" s="42"/>
      <c r="AJ274" s="45"/>
      <c r="AK274" s="45"/>
      <c r="AL274" s="45"/>
      <c r="AM274" s="45"/>
      <c r="AN274" s="45"/>
      <c r="AO274" s="45"/>
      <c r="AP274" s="45"/>
      <c r="AQ274" s="36"/>
      <c r="AR274" s="36"/>
      <c r="AS274" s="36"/>
      <c r="AT274" s="36"/>
      <c r="AU274" s="36"/>
      <c r="AV274" s="36"/>
      <c r="AW274" s="36"/>
      <c r="AX274" s="36"/>
      <c r="AY274" s="36"/>
      <c r="AZ274" s="36"/>
      <c r="BA274" s="36"/>
      <c r="BB274" s="36"/>
      <c r="BC274" s="36"/>
      <c r="BD274" s="36"/>
      <c r="BE274" s="36"/>
      <c r="BF274" s="36"/>
      <c r="BG274" s="36"/>
      <c r="BH274" s="36"/>
      <c r="BI274" s="36"/>
      <c r="BJ274" s="36"/>
      <c r="BK274" s="36"/>
      <c r="BL274" s="36"/>
      <c r="BM274" s="36"/>
      <c r="BN274" s="36"/>
      <c r="BO274" s="36"/>
      <c r="BP274" s="36"/>
      <c r="BQ274" s="36"/>
    </row>
    <row r="2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2"/>
      <c r="AD275" s="42"/>
      <c r="AE275" s="42"/>
      <c r="AF275" s="42"/>
      <c r="AG275" s="42"/>
      <c r="AH275" s="42"/>
      <c r="AI275" s="42"/>
      <c r="AJ275" s="45"/>
      <c r="AK275" s="45"/>
      <c r="AL275" s="45"/>
      <c r="AM275" s="45"/>
      <c r="AN275" s="45"/>
      <c r="AO275" s="45"/>
      <c r="AP275" s="45"/>
      <c r="AQ275" s="36"/>
      <c r="AR275" s="36"/>
      <c r="AS275" s="36"/>
      <c r="AT275" s="36"/>
      <c r="AU275" s="36"/>
      <c r="AV275" s="36"/>
      <c r="AW275" s="36"/>
      <c r="AX275" s="36"/>
      <c r="AY275" s="36"/>
      <c r="AZ275" s="36"/>
      <c r="BA275" s="36"/>
      <c r="BB275" s="36"/>
      <c r="BC275" s="36"/>
      <c r="BD275" s="36"/>
      <c r="BE275" s="36"/>
      <c r="BF275" s="36"/>
      <c r="BG275" s="36"/>
      <c r="BH275" s="36"/>
      <c r="BI275" s="36"/>
      <c r="BJ275" s="36"/>
      <c r="BK275" s="36"/>
      <c r="BL275" s="36"/>
      <c r="BM275" s="36"/>
      <c r="BN275" s="36"/>
      <c r="BO275" s="36"/>
      <c r="BP275" s="36"/>
      <c r="BQ275" s="36"/>
    </row>
    <row r="276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2"/>
      <c r="AD276" s="42"/>
      <c r="AE276" s="42"/>
      <c r="AF276" s="42"/>
      <c r="AG276" s="42"/>
      <c r="AH276" s="42"/>
      <c r="AI276" s="42"/>
      <c r="AJ276" s="45"/>
      <c r="AK276" s="45"/>
      <c r="AL276" s="45"/>
      <c r="AM276" s="45"/>
      <c r="AN276" s="45"/>
      <c r="AO276" s="45"/>
      <c r="AP276" s="45"/>
      <c r="AQ276" s="36"/>
      <c r="AR276" s="36"/>
      <c r="AS276" s="36"/>
      <c r="AT276" s="36"/>
      <c r="AU276" s="36"/>
      <c r="AV276" s="36"/>
      <c r="AW276" s="36"/>
      <c r="AX276" s="36"/>
      <c r="AY276" s="36"/>
      <c r="AZ276" s="36"/>
      <c r="BA276" s="36"/>
      <c r="BB276" s="36"/>
      <c r="BC276" s="36"/>
      <c r="BD276" s="36"/>
      <c r="BE276" s="36"/>
      <c r="BF276" s="36"/>
      <c r="BG276" s="36"/>
      <c r="BH276" s="36"/>
      <c r="BI276" s="36"/>
      <c r="BJ276" s="36"/>
      <c r="BK276" s="36"/>
      <c r="BL276" s="36"/>
      <c r="BM276" s="36"/>
      <c r="BN276" s="36"/>
      <c r="BO276" s="36"/>
      <c r="BP276" s="36"/>
      <c r="BQ276" s="36"/>
    </row>
    <row r="277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2"/>
      <c r="AD277" s="42"/>
      <c r="AE277" s="42"/>
      <c r="AF277" s="42"/>
      <c r="AG277" s="42"/>
      <c r="AH277" s="42"/>
      <c r="AI277" s="42"/>
      <c r="AJ277" s="45"/>
      <c r="AK277" s="45"/>
      <c r="AL277" s="45"/>
      <c r="AM277" s="45"/>
      <c r="AN277" s="45"/>
      <c r="AO277" s="45"/>
      <c r="AP277" s="45"/>
      <c r="AQ277" s="36"/>
      <c r="AR277" s="36"/>
      <c r="AS277" s="36"/>
      <c r="AT277" s="36"/>
      <c r="AU277" s="36"/>
      <c r="AV277" s="36"/>
      <c r="AW277" s="36"/>
      <c r="AX277" s="36"/>
      <c r="AY277" s="36"/>
      <c r="AZ277" s="36"/>
      <c r="BA277" s="36"/>
      <c r="BB277" s="36"/>
      <c r="BC277" s="36"/>
      <c r="BD277" s="36"/>
      <c r="BE277" s="36"/>
      <c r="BF277" s="36"/>
      <c r="BG277" s="36"/>
      <c r="BH277" s="36"/>
      <c r="BI277" s="36"/>
      <c r="BJ277" s="36"/>
      <c r="BK277" s="36"/>
      <c r="BL277" s="36"/>
      <c r="BM277" s="36"/>
      <c r="BN277" s="36"/>
      <c r="BO277" s="36"/>
      <c r="BP277" s="36"/>
      <c r="BQ277" s="36"/>
    </row>
    <row r="278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2"/>
      <c r="AD278" s="42"/>
      <c r="AE278" s="42"/>
      <c r="AF278" s="42"/>
      <c r="AG278" s="42"/>
      <c r="AH278" s="42"/>
      <c r="AI278" s="42"/>
      <c r="AJ278" s="45"/>
      <c r="AK278" s="45"/>
      <c r="AL278" s="45"/>
      <c r="AM278" s="45"/>
      <c r="AN278" s="45"/>
      <c r="AO278" s="45"/>
      <c r="AP278" s="45"/>
      <c r="AQ278" s="36"/>
      <c r="AR278" s="36"/>
      <c r="AS278" s="36"/>
      <c r="AT278" s="36"/>
      <c r="AU278" s="36"/>
      <c r="AV278" s="36"/>
      <c r="AW278" s="36"/>
      <c r="AX278" s="36"/>
      <c r="AY278" s="36"/>
      <c r="AZ278" s="36"/>
      <c r="BA278" s="36"/>
      <c r="BB278" s="36"/>
      <c r="BC278" s="36"/>
      <c r="BD278" s="36"/>
      <c r="BE278" s="36"/>
      <c r="BF278" s="36"/>
      <c r="BG278" s="36"/>
      <c r="BH278" s="36"/>
      <c r="BI278" s="36"/>
      <c r="BJ278" s="36"/>
      <c r="BK278" s="36"/>
      <c r="BL278" s="36"/>
      <c r="BM278" s="36"/>
      <c r="BN278" s="36"/>
      <c r="BO278" s="36"/>
      <c r="BP278" s="36"/>
      <c r="BQ278" s="36"/>
    </row>
    <row r="279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2"/>
      <c r="AD279" s="42"/>
      <c r="AE279" s="42"/>
      <c r="AF279" s="42"/>
      <c r="AG279" s="42"/>
      <c r="AH279" s="42"/>
      <c r="AI279" s="42"/>
      <c r="AJ279" s="45"/>
      <c r="AK279" s="45"/>
      <c r="AL279" s="45"/>
      <c r="AM279" s="45"/>
      <c r="AN279" s="45"/>
      <c r="AO279" s="45"/>
      <c r="AP279" s="45"/>
      <c r="AQ279" s="36"/>
      <c r="AR279" s="36"/>
      <c r="AS279" s="36"/>
      <c r="AT279" s="36"/>
      <c r="AU279" s="36"/>
      <c r="AV279" s="36"/>
      <c r="AW279" s="36"/>
      <c r="AX279" s="36"/>
      <c r="AY279" s="36"/>
      <c r="AZ279" s="36"/>
      <c r="BA279" s="36"/>
      <c r="BB279" s="36"/>
      <c r="BC279" s="36"/>
      <c r="BD279" s="36"/>
      <c r="BE279" s="36"/>
      <c r="BF279" s="36"/>
      <c r="BG279" s="36"/>
      <c r="BH279" s="36"/>
      <c r="BI279" s="36"/>
      <c r="BJ279" s="36"/>
      <c r="BK279" s="36"/>
      <c r="BL279" s="36"/>
      <c r="BM279" s="36"/>
      <c r="BN279" s="36"/>
      <c r="BO279" s="36"/>
      <c r="BP279" s="36"/>
      <c r="BQ279" s="36"/>
    </row>
    <row r="280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2"/>
      <c r="AD280" s="42"/>
      <c r="AE280" s="42"/>
      <c r="AF280" s="42"/>
      <c r="AG280" s="42"/>
      <c r="AH280" s="42"/>
      <c r="AI280" s="42"/>
      <c r="AJ280" s="45"/>
      <c r="AK280" s="45"/>
      <c r="AL280" s="45"/>
      <c r="AM280" s="45"/>
      <c r="AN280" s="45"/>
      <c r="AO280" s="45"/>
      <c r="AP280" s="45"/>
      <c r="AQ280" s="36"/>
      <c r="AR280" s="36"/>
      <c r="AS280" s="36"/>
      <c r="AT280" s="36"/>
      <c r="AU280" s="36"/>
      <c r="AV280" s="36"/>
      <c r="AW280" s="36"/>
      <c r="AX280" s="36"/>
      <c r="AY280" s="36"/>
      <c r="AZ280" s="36"/>
      <c r="BA280" s="36"/>
      <c r="BB280" s="36"/>
      <c r="BC280" s="36"/>
      <c r="BD280" s="36"/>
      <c r="BE280" s="36"/>
      <c r="BF280" s="36"/>
      <c r="BG280" s="36"/>
      <c r="BH280" s="36"/>
      <c r="BI280" s="36"/>
      <c r="BJ280" s="36"/>
      <c r="BK280" s="36"/>
      <c r="BL280" s="36"/>
      <c r="BM280" s="36"/>
      <c r="BN280" s="36"/>
      <c r="BO280" s="36"/>
      <c r="BP280" s="36"/>
      <c r="BQ280" s="36"/>
    </row>
    <row r="28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2"/>
      <c r="AD281" s="42"/>
      <c r="AE281" s="42"/>
      <c r="AF281" s="42"/>
      <c r="AG281" s="42"/>
      <c r="AH281" s="42"/>
      <c r="AI281" s="42"/>
      <c r="AJ281" s="45"/>
      <c r="AK281" s="45"/>
      <c r="AL281" s="45"/>
      <c r="AM281" s="45"/>
      <c r="AN281" s="45"/>
      <c r="AO281" s="45"/>
      <c r="AP281" s="45"/>
      <c r="AQ281" s="36"/>
      <c r="AR281" s="36"/>
      <c r="AS281" s="36"/>
      <c r="AT281" s="36"/>
      <c r="AU281" s="36"/>
      <c r="AV281" s="36"/>
      <c r="AW281" s="36"/>
      <c r="AX281" s="36"/>
      <c r="AY281" s="36"/>
      <c r="AZ281" s="36"/>
      <c r="BA281" s="36"/>
      <c r="BB281" s="36"/>
      <c r="BC281" s="36"/>
      <c r="BD281" s="36"/>
      <c r="BE281" s="36"/>
      <c r="BF281" s="36"/>
      <c r="BG281" s="36"/>
      <c r="BH281" s="36"/>
      <c r="BI281" s="36"/>
      <c r="BJ281" s="36"/>
      <c r="BK281" s="36"/>
      <c r="BL281" s="36"/>
      <c r="BM281" s="36"/>
      <c r="BN281" s="36"/>
      <c r="BO281" s="36"/>
      <c r="BP281" s="36"/>
      <c r="BQ281" s="36"/>
    </row>
    <row r="282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2"/>
      <c r="AD282" s="42"/>
      <c r="AE282" s="42"/>
      <c r="AF282" s="42"/>
      <c r="AG282" s="42"/>
      <c r="AH282" s="42"/>
      <c r="AI282" s="42"/>
      <c r="AJ282" s="45"/>
      <c r="AK282" s="45"/>
      <c r="AL282" s="45"/>
      <c r="AM282" s="45"/>
      <c r="AN282" s="45"/>
      <c r="AO282" s="45"/>
      <c r="AP282" s="45"/>
      <c r="AQ282" s="36"/>
      <c r="AR282" s="36"/>
      <c r="AS282" s="36"/>
      <c r="AT282" s="36"/>
      <c r="AU282" s="36"/>
      <c r="AV282" s="36"/>
      <c r="AW282" s="36"/>
      <c r="AX282" s="36"/>
      <c r="AY282" s="36"/>
      <c r="AZ282" s="36"/>
      <c r="BA282" s="36"/>
      <c r="BB282" s="36"/>
      <c r="BC282" s="36"/>
      <c r="BD282" s="36"/>
      <c r="BE282" s="36"/>
      <c r="BF282" s="36"/>
      <c r="BG282" s="36"/>
      <c r="BH282" s="36"/>
      <c r="BI282" s="36"/>
      <c r="BJ282" s="36"/>
      <c r="BK282" s="36"/>
      <c r="BL282" s="36"/>
      <c r="BM282" s="36"/>
      <c r="BN282" s="36"/>
      <c r="BO282" s="36"/>
      <c r="BP282" s="36"/>
      <c r="BQ282" s="36"/>
    </row>
    <row r="283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2"/>
      <c r="AD283" s="42"/>
      <c r="AE283" s="42"/>
      <c r="AF283" s="42"/>
      <c r="AG283" s="42"/>
      <c r="AH283" s="42"/>
      <c r="AI283" s="42"/>
      <c r="AJ283" s="45"/>
      <c r="AK283" s="45"/>
      <c r="AL283" s="45"/>
      <c r="AM283" s="45"/>
      <c r="AN283" s="45"/>
      <c r="AO283" s="45"/>
      <c r="AP283" s="45"/>
      <c r="AQ283" s="36"/>
      <c r="AR283" s="36"/>
      <c r="AS283" s="36"/>
      <c r="AT283" s="36"/>
      <c r="AU283" s="36"/>
      <c r="AV283" s="36"/>
      <c r="AW283" s="36"/>
      <c r="AX283" s="36"/>
      <c r="AY283" s="36"/>
      <c r="AZ283" s="36"/>
      <c r="BA283" s="36"/>
      <c r="BB283" s="36"/>
      <c r="BC283" s="36"/>
      <c r="BD283" s="36"/>
      <c r="BE283" s="36"/>
      <c r="BF283" s="36"/>
      <c r="BG283" s="36"/>
      <c r="BH283" s="36"/>
      <c r="BI283" s="36"/>
      <c r="BJ283" s="36"/>
      <c r="BK283" s="36"/>
      <c r="BL283" s="36"/>
      <c r="BM283" s="36"/>
      <c r="BN283" s="36"/>
      <c r="BO283" s="36"/>
      <c r="BP283" s="36"/>
      <c r="BQ283" s="36"/>
    </row>
    <row r="284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2"/>
      <c r="AD284" s="42"/>
      <c r="AE284" s="42"/>
      <c r="AF284" s="42"/>
      <c r="AG284" s="42"/>
      <c r="AH284" s="42"/>
      <c r="AI284" s="42"/>
      <c r="AJ284" s="45"/>
      <c r="AK284" s="45"/>
      <c r="AL284" s="45"/>
      <c r="AM284" s="45"/>
      <c r="AN284" s="45"/>
      <c r="AO284" s="45"/>
      <c r="AP284" s="45"/>
      <c r="AQ284" s="36"/>
      <c r="AR284" s="36"/>
      <c r="AS284" s="36"/>
      <c r="AT284" s="36"/>
      <c r="AU284" s="36"/>
      <c r="AV284" s="36"/>
      <c r="AW284" s="36"/>
      <c r="AX284" s="36"/>
      <c r="AY284" s="36"/>
      <c r="AZ284" s="36"/>
      <c r="BA284" s="36"/>
      <c r="BB284" s="36"/>
      <c r="BC284" s="36"/>
      <c r="BD284" s="36"/>
      <c r="BE284" s="36"/>
      <c r="BF284" s="36"/>
      <c r="BG284" s="36"/>
      <c r="BH284" s="36"/>
      <c r="BI284" s="36"/>
      <c r="BJ284" s="36"/>
      <c r="BK284" s="36"/>
      <c r="BL284" s="36"/>
      <c r="BM284" s="36"/>
      <c r="BN284" s="36"/>
      <c r="BO284" s="36"/>
      <c r="BP284" s="36"/>
      <c r="BQ284" s="36"/>
    </row>
    <row r="28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2"/>
      <c r="AD285" s="42"/>
      <c r="AE285" s="42"/>
      <c r="AF285" s="42"/>
      <c r="AG285" s="42"/>
      <c r="AH285" s="42"/>
      <c r="AI285" s="42"/>
      <c r="AJ285" s="45"/>
      <c r="AK285" s="45"/>
      <c r="AL285" s="45"/>
      <c r="AM285" s="45"/>
      <c r="AN285" s="45"/>
      <c r="AO285" s="45"/>
      <c r="AP285" s="45"/>
      <c r="AQ285" s="36"/>
      <c r="AR285" s="36"/>
      <c r="AS285" s="36"/>
      <c r="AT285" s="36"/>
      <c r="AU285" s="36"/>
      <c r="AV285" s="36"/>
      <c r="AW285" s="36"/>
      <c r="AX285" s="36"/>
      <c r="AY285" s="36"/>
      <c r="AZ285" s="36"/>
      <c r="BA285" s="36"/>
      <c r="BB285" s="36"/>
      <c r="BC285" s="36"/>
      <c r="BD285" s="36"/>
      <c r="BE285" s="36"/>
      <c r="BF285" s="36"/>
      <c r="BG285" s="36"/>
      <c r="BH285" s="36"/>
      <c r="BI285" s="36"/>
      <c r="BJ285" s="36"/>
      <c r="BK285" s="36"/>
      <c r="BL285" s="36"/>
      <c r="BM285" s="36"/>
      <c r="BN285" s="36"/>
      <c r="BO285" s="36"/>
      <c r="BP285" s="36"/>
      <c r="BQ285" s="36"/>
    </row>
    <row r="286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2"/>
      <c r="AD286" s="42"/>
      <c r="AE286" s="42"/>
      <c r="AF286" s="42"/>
      <c r="AG286" s="42"/>
      <c r="AH286" s="42"/>
      <c r="AI286" s="42"/>
      <c r="AJ286" s="45"/>
      <c r="AK286" s="45"/>
      <c r="AL286" s="45"/>
      <c r="AM286" s="45"/>
      <c r="AN286" s="45"/>
      <c r="AO286" s="45"/>
      <c r="AP286" s="45"/>
      <c r="AQ286" s="36"/>
      <c r="AR286" s="36"/>
      <c r="AS286" s="36"/>
      <c r="AT286" s="36"/>
      <c r="AU286" s="36"/>
      <c r="AV286" s="36"/>
      <c r="AW286" s="36"/>
      <c r="AX286" s="36"/>
      <c r="AY286" s="36"/>
      <c r="AZ286" s="36"/>
      <c r="BA286" s="36"/>
      <c r="BB286" s="36"/>
      <c r="BC286" s="36"/>
      <c r="BD286" s="36"/>
      <c r="BE286" s="36"/>
      <c r="BF286" s="36"/>
      <c r="BG286" s="36"/>
      <c r="BH286" s="36"/>
      <c r="BI286" s="36"/>
      <c r="BJ286" s="36"/>
      <c r="BK286" s="36"/>
      <c r="BL286" s="36"/>
      <c r="BM286" s="36"/>
      <c r="BN286" s="36"/>
      <c r="BO286" s="36"/>
      <c r="BP286" s="36"/>
      <c r="BQ286" s="36"/>
    </row>
    <row r="287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2"/>
      <c r="AD287" s="42"/>
      <c r="AE287" s="42"/>
      <c r="AF287" s="42"/>
      <c r="AG287" s="42"/>
      <c r="AH287" s="42"/>
      <c r="AI287" s="42"/>
      <c r="AJ287" s="45"/>
      <c r="AK287" s="45"/>
      <c r="AL287" s="45"/>
      <c r="AM287" s="45"/>
      <c r="AN287" s="45"/>
      <c r="AO287" s="45"/>
      <c r="AP287" s="45"/>
      <c r="AQ287" s="36"/>
      <c r="AR287" s="36"/>
      <c r="AS287" s="36"/>
      <c r="AT287" s="36"/>
      <c r="AU287" s="36"/>
      <c r="AV287" s="36"/>
      <c r="AW287" s="36"/>
      <c r="AX287" s="36"/>
      <c r="AY287" s="36"/>
      <c r="AZ287" s="36"/>
      <c r="BA287" s="36"/>
      <c r="BB287" s="36"/>
      <c r="BC287" s="36"/>
      <c r="BD287" s="36"/>
      <c r="BE287" s="36"/>
      <c r="BF287" s="36"/>
      <c r="BG287" s="36"/>
      <c r="BH287" s="36"/>
      <c r="BI287" s="36"/>
      <c r="BJ287" s="36"/>
      <c r="BK287" s="36"/>
      <c r="BL287" s="36"/>
      <c r="BM287" s="36"/>
      <c r="BN287" s="36"/>
      <c r="BO287" s="36"/>
      <c r="BP287" s="36"/>
      <c r="BQ287" s="36"/>
    </row>
    <row r="288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2"/>
      <c r="AD288" s="42"/>
      <c r="AE288" s="42"/>
      <c r="AF288" s="42"/>
      <c r="AG288" s="42"/>
      <c r="AH288" s="42"/>
      <c r="AI288" s="42"/>
      <c r="AJ288" s="45"/>
      <c r="AK288" s="45"/>
      <c r="AL288" s="45"/>
      <c r="AM288" s="45"/>
      <c r="AN288" s="45"/>
      <c r="AO288" s="45"/>
      <c r="AP288" s="45"/>
      <c r="AQ288" s="36"/>
      <c r="AR288" s="36"/>
      <c r="AS288" s="36"/>
      <c r="AT288" s="36"/>
      <c r="AU288" s="36"/>
      <c r="AV288" s="36"/>
      <c r="AW288" s="36"/>
      <c r="AX288" s="36"/>
      <c r="AY288" s="36"/>
      <c r="AZ288" s="36"/>
      <c r="BA288" s="36"/>
      <c r="BB288" s="36"/>
      <c r="BC288" s="36"/>
      <c r="BD288" s="36"/>
      <c r="BE288" s="36"/>
      <c r="BF288" s="36"/>
      <c r="BG288" s="36"/>
      <c r="BH288" s="36"/>
      <c r="BI288" s="36"/>
      <c r="BJ288" s="36"/>
      <c r="BK288" s="36"/>
      <c r="BL288" s="36"/>
      <c r="BM288" s="36"/>
      <c r="BN288" s="36"/>
      <c r="BO288" s="36"/>
      <c r="BP288" s="36"/>
      <c r="BQ288" s="36"/>
    </row>
    <row r="289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2"/>
      <c r="AD289" s="42"/>
      <c r="AE289" s="42"/>
      <c r="AF289" s="42"/>
      <c r="AG289" s="42"/>
      <c r="AH289" s="42"/>
      <c r="AI289" s="42"/>
      <c r="AJ289" s="45"/>
      <c r="AK289" s="45"/>
      <c r="AL289" s="45"/>
      <c r="AM289" s="45"/>
      <c r="AN289" s="45"/>
      <c r="AO289" s="45"/>
      <c r="AP289" s="45"/>
      <c r="AQ289" s="36"/>
      <c r="AR289" s="36"/>
      <c r="AS289" s="36"/>
      <c r="AT289" s="36"/>
      <c r="AU289" s="36"/>
      <c r="AV289" s="36"/>
      <c r="AW289" s="36"/>
      <c r="AX289" s="36"/>
      <c r="AY289" s="36"/>
      <c r="AZ289" s="36"/>
      <c r="BA289" s="36"/>
      <c r="BB289" s="36"/>
      <c r="BC289" s="36"/>
      <c r="BD289" s="36"/>
      <c r="BE289" s="36"/>
      <c r="BF289" s="36"/>
      <c r="BG289" s="36"/>
      <c r="BH289" s="36"/>
      <c r="BI289" s="36"/>
      <c r="BJ289" s="36"/>
      <c r="BK289" s="36"/>
      <c r="BL289" s="36"/>
      <c r="BM289" s="36"/>
      <c r="BN289" s="36"/>
      <c r="BO289" s="36"/>
      <c r="BP289" s="36"/>
      <c r="BQ289" s="36"/>
    </row>
    <row r="290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2"/>
      <c r="AD290" s="42"/>
      <c r="AE290" s="42"/>
      <c r="AF290" s="42"/>
      <c r="AG290" s="42"/>
      <c r="AH290" s="42"/>
      <c r="AI290" s="42"/>
      <c r="AJ290" s="45"/>
      <c r="AK290" s="45"/>
      <c r="AL290" s="45"/>
      <c r="AM290" s="45"/>
      <c r="AN290" s="45"/>
      <c r="AO290" s="45"/>
      <c r="AP290" s="45"/>
      <c r="AQ290" s="36"/>
      <c r="AR290" s="36"/>
      <c r="AS290" s="36"/>
      <c r="AT290" s="36"/>
      <c r="AU290" s="36"/>
      <c r="AV290" s="36"/>
      <c r="AW290" s="36"/>
      <c r="AX290" s="36"/>
      <c r="AY290" s="36"/>
      <c r="AZ290" s="36"/>
      <c r="BA290" s="36"/>
      <c r="BB290" s="36"/>
      <c r="BC290" s="36"/>
      <c r="BD290" s="36"/>
      <c r="BE290" s="36"/>
      <c r="BF290" s="36"/>
      <c r="BG290" s="36"/>
      <c r="BH290" s="36"/>
      <c r="BI290" s="36"/>
      <c r="BJ290" s="36"/>
      <c r="BK290" s="36"/>
      <c r="BL290" s="36"/>
      <c r="BM290" s="36"/>
      <c r="BN290" s="36"/>
      <c r="BO290" s="36"/>
      <c r="BP290" s="36"/>
      <c r="BQ290" s="36"/>
    </row>
    <row r="29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2"/>
      <c r="AD291" s="42"/>
      <c r="AE291" s="42"/>
      <c r="AF291" s="42"/>
      <c r="AG291" s="42"/>
      <c r="AH291" s="42"/>
      <c r="AI291" s="42"/>
      <c r="AJ291" s="45"/>
      <c r="AK291" s="45"/>
      <c r="AL291" s="45"/>
      <c r="AM291" s="45"/>
      <c r="AN291" s="45"/>
      <c r="AO291" s="45"/>
      <c r="AP291" s="45"/>
      <c r="AQ291" s="36"/>
      <c r="AR291" s="36"/>
      <c r="AS291" s="36"/>
      <c r="AT291" s="36"/>
      <c r="AU291" s="36"/>
      <c r="AV291" s="36"/>
      <c r="AW291" s="36"/>
      <c r="AX291" s="36"/>
      <c r="AY291" s="36"/>
      <c r="AZ291" s="36"/>
      <c r="BA291" s="36"/>
      <c r="BB291" s="36"/>
      <c r="BC291" s="36"/>
      <c r="BD291" s="36"/>
      <c r="BE291" s="36"/>
      <c r="BF291" s="36"/>
      <c r="BG291" s="36"/>
      <c r="BH291" s="36"/>
      <c r="BI291" s="36"/>
      <c r="BJ291" s="36"/>
      <c r="BK291" s="36"/>
      <c r="BL291" s="36"/>
      <c r="BM291" s="36"/>
      <c r="BN291" s="36"/>
      <c r="BO291" s="36"/>
      <c r="BP291" s="36"/>
      <c r="BQ291" s="36"/>
    </row>
    <row r="292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2"/>
      <c r="AD292" s="42"/>
      <c r="AE292" s="42"/>
      <c r="AF292" s="42"/>
      <c r="AG292" s="42"/>
      <c r="AH292" s="42"/>
      <c r="AI292" s="42"/>
      <c r="AJ292" s="45"/>
      <c r="AK292" s="45"/>
      <c r="AL292" s="45"/>
      <c r="AM292" s="45"/>
      <c r="AN292" s="45"/>
      <c r="AO292" s="45"/>
      <c r="AP292" s="45"/>
      <c r="AQ292" s="36"/>
      <c r="AR292" s="36"/>
      <c r="AS292" s="36"/>
      <c r="AT292" s="36"/>
      <c r="AU292" s="36"/>
      <c r="AV292" s="36"/>
      <c r="AW292" s="36"/>
      <c r="AX292" s="36"/>
      <c r="AY292" s="36"/>
      <c r="AZ292" s="36"/>
      <c r="BA292" s="36"/>
      <c r="BB292" s="36"/>
      <c r="BC292" s="36"/>
      <c r="BD292" s="36"/>
      <c r="BE292" s="36"/>
      <c r="BF292" s="36"/>
      <c r="BG292" s="36"/>
      <c r="BH292" s="36"/>
      <c r="BI292" s="36"/>
      <c r="BJ292" s="36"/>
      <c r="BK292" s="36"/>
      <c r="BL292" s="36"/>
      <c r="BM292" s="36"/>
      <c r="BN292" s="36"/>
      <c r="BO292" s="36"/>
      <c r="BP292" s="36"/>
      <c r="BQ292" s="36"/>
    </row>
    <row r="293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2"/>
      <c r="AD293" s="42"/>
      <c r="AE293" s="42"/>
      <c r="AF293" s="42"/>
      <c r="AG293" s="42"/>
      <c r="AH293" s="42"/>
      <c r="AI293" s="42"/>
      <c r="AJ293" s="45"/>
      <c r="AK293" s="45"/>
      <c r="AL293" s="45"/>
      <c r="AM293" s="45"/>
      <c r="AN293" s="45"/>
      <c r="AO293" s="45"/>
      <c r="AP293" s="45"/>
      <c r="AQ293" s="36"/>
      <c r="AR293" s="36"/>
      <c r="AS293" s="36"/>
      <c r="AT293" s="36"/>
      <c r="AU293" s="36"/>
      <c r="AV293" s="36"/>
      <c r="AW293" s="36"/>
      <c r="AX293" s="36"/>
      <c r="AY293" s="36"/>
      <c r="AZ293" s="36"/>
      <c r="BA293" s="36"/>
      <c r="BB293" s="36"/>
      <c r="BC293" s="36"/>
      <c r="BD293" s="36"/>
      <c r="BE293" s="36"/>
      <c r="BF293" s="36"/>
      <c r="BG293" s="36"/>
      <c r="BH293" s="36"/>
      <c r="BI293" s="36"/>
      <c r="BJ293" s="36"/>
      <c r="BK293" s="36"/>
      <c r="BL293" s="36"/>
      <c r="BM293" s="36"/>
      <c r="BN293" s="36"/>
      <c r="BO293" s="36"/>
      <c r="BP293" s="36"/>
      <c r="BQ293" s="36"/>
    </row>
    <row r="294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2"/>
      <c r="AD294" s="42"/>
      <c r="AE294" s="42"/>
      <c r="AF294" s="42"/>
      <c r="AG294" s="42"/>
      <c r="AH294" s="42"/>
      <c r="AI294" s="42"/>
      <c r="AJ294" s="45"/>
      <c r="AK294" s="45"/>
      <c r="AL294" s="45"/>
      <c r="AM294" s="45"/>
      <c r="AN294" s="45"/>
      <c r="AO294" s="45"/>
      <c r="AP294" s="45"/>
      <c r="AQ294" s="36"/>
      <c r="AR294" s="36"/>
      <c r="AS294" s="36"/>
      <c r="AT294" s="36"/>
      <c r="AU294" s="36"/>
      <c r="AV294" s="36"/>
      <c r="AW294" s="36"/>
      <c r="AX294" s="36"/>
      <c r="AY294" s="36"/>
      <c r="AZ294" s="36"/>
      <c r="BA294" s="36"/>
      <c r="BB294" s="36"/>
      <c r="BC294" s="36"/>
      <c r="BD294" s="36"/>
      <c r="BE294" s="36"/>
      <c r="BF294" s="36"/>
      <c r="BG294" s="36"/>
      <c r="BH294" s="36"/>
      <c r="BI294" s="36"/>
      <c r="BJ294" s="36"/>
      <c r="BK294" s="36"/>
      <c r="BL294" s="36"/>
      <c r="BM294" s="36"/>
      <c r="BN294" s="36"/>
      <c r="BO294" s="36"/>
      <c r="BP294" s="36"/>
      <c r="BQ294" s="36"/>
    </row>
    <row r="29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2"/>
      <c r="AD295" s="42"/>
      <c r="AE295" s="42"/>
      <c r="AF295" s="42"/>
      <c r="AG295" s="42"/>
      <c r="AH295" s="42"/>
      <c r="AI295" s="42"/>
      <c r="AJ295" s="45"/>
      <c r="AK295" s="45"/>
      <c r="AL295" s="45"/>
      <c r="AM295" s="45"/>
      <c r="AN295" s="45"/>
      <c r="AO295" s="45"/>
      <c r="AP295" s="45"/>
      <c r="AQ295" s="36"/>
      <c r="AR295" s="36"/>
      <c r="AS295" s="36"/>
      <c r="AT295" s="36"/>
      <c r="AU295" s="36"/>
      <c r="AV295" s="36"/>
      <c r="AW295" s="36"/>
      <c r="AX295" s="36"/>
      <c r="AY295" s="36"/>
      <c r="AZ295" s="36"/>
      <c r="BA295" s="36"/>
      <c r="BB295" s="36"/>
      <c r="BC295" s="36"/>
      <c r="BD295" s="36"/>
      <c r="BE295" s="36"/>
      <c r="BF295" s="36"/>
      <c r="BG295" s="36"/>
      <c r="BH295" s="36"/>
      <c r="BI295" s="36"/>
      <c r="BJ295" s="36"/>
      <c r="BK295" s="36"/>
      <c r="BL295" s="36"/>
      <c r="BM295" s="36"/>
      <c r="BN295" s="36"/>
      <c r="BO295" s="36"/>
      <c r="BP295" s="36"/>
      <c r="BQ295" s="36"/>
    </row>
    <row r="296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51"/>
      <c r="S296" s="51"/>
      <c r="T296" s="51"/>
      <c r="U296" s="51"/>
      <c r="V296" s="51"/>
      <c r="W296" s="51"/>
      <c r="X296" s="51"/>
      <c r="Y296" s="45"/>
      <c r="Z296" s="45"/>
      <c r="AA296" s="45"/>
      <c r="AB296" s="45"/>
      <c r="AC296" s="45"/>
      <c r="AD296" s="45"/>
      <c r="AE296" s="45"/>
      <c r="AF296" s="45"/>
      <c r="AG296" s="45"/>
      <c r="AH296" s="45"/>
      <c r="AI296" s="45"/>
      <c r="AJ296" s="45"/>
      <c r="AK296" s="45"/>
      <c r="AL296" s="45"/>
      <c r="AM296" s="45"/>
      <c r="AN296" s="45"/>
      <c r="AO296" s="45"/>
      <c r="AP296" s="45"/>
      <c r="AQ296" s="36"/>
      <c r="AR296" s="36"/>
      <c r="AS296" s="36"/>
      <c r="AT296" s="36"/>
      <c r="AU296" s="36"/>
      <c r="AV296" s="36"/>
      <c r="AW296" s="36"/>
      <c r="AX296" s="36"/>
      <c r="AY296" s="36"/>
      <c r="AZ296" s="36"/>
      <c r="BA296" s="36"/>
      <c r="BB296" s="36"/>
      <c r="BC296" s="36"/>
      <c r="BD296" s="36"/>
      <c r="BE296" s="36"/>
      <c r="BF296" s="36"/>
      <c r="BG296" s="36"/>
      <c r="BH296" s="36"/>
      <c r="BI296" s="36"/>
      <c r="BJ296" s="36"/>
      <c r="BK296" s="36"/>
      <c r="BL296" s="36"/>
      <c r="BM296" s="36"/>
      <c r="BN296" s="36"/>
      <c r="BO296" s="36"/>
      <c r="BP296" s="36"/>
      <c r="BQ296" s="36"/>
    </row>
    <row r="297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51"/>
      <c r="S297" s="51"/>
      <c r="T297" s="51"/>
      <c r="U297" s="51"/>
      <c r="V297" s="51"/>
      <c r="W297" s="51"/>
      <c r="X297" s="51"/>
      <c r="Y297" s="45"/>
      <c r="Z297" s="45"/>
      <c r="AA297" s="45"/>
      <c r="AB297" s="45"/>
      <c r="AC297" s="45"/>
      <c r="AD297" s="45"/>
      <c r="AE297" s="45"/>
      <c r="AF297" s="45"/>
      <c r="AG297" s="45"/>
      <c r="AH297" s="45"/>
      <c r="AI297" s="45"/>
      <c r="AJ297" s="45"/>
      <c r="AK297" s="45"/>
      <c r="AL297" s="45"/>
      <c r="AM297" s="45"/>
      <c r="AN297" s="45"/>
      <c r="AO297" s="45"/>
      <c r="AP297" s="45"/>
      <c r="AQ297" s="36"/>
      <c r="AR297" s="36"/>
      <c r="AS297" s="36"/>
      <c r="AT297" s="36"/>
      <c r="AU297" s="36"/>
      <c r="AV297" s="36"/>
      <c r="AW297" s="36"/>
      <c r="AX297" s="36"/>
      <c r="AY297" s="36"/>
      <c r="AZ297" s="36"/>
      <c r="BA297" s="36"/>
      <c r="BB297" s="36"/>
      <c r="BC297" s="36"/>
      <c r="BD297" s="36"/>
      <c r="BE297" s="36"/>
      <c r="BF297" s="36"/>
      <c r="BG297" s="36"/>
      <c r="BH297" s="36"/>
      <c r="BI297" s="36"/>
      <c r="BJ297" s="36"/>
      <c r="BK297" s="36"/>
      <c r="BL297" s="36"/>
      <c r="BM297" s="36"/>
      <c r="BN297" s="36"/>
      <c r="BO297" s="36"/>
      <c r="BP297" s="36"/>
      <c r="BQ297" s="36"/>
    </row>
    <row r="298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51"/>
      <c r="S298" s="51"/>
      <c r="T298" s="51"/>
      <c r="U298" s="51"/>
      <c r="V298" s="51"/>
      <c r="W298" s="51"/>
      <c r="X298" s="51"/>
      <c r="Y298" s="45"/>
      <c r="Z298" s="45"/>
      <c r="AA298" s="45"/>
      <c r="AB298" s="45"/>
      <c r="AC298" s="45"/>
      <c r="AD298" s="45"/>
      <c r="AE298" s="45"/>
      <c r="AF298" s="45"/>
      <c r="AG298" s="45"/>
      <c r="AH298" s="45"/>
      <c r="AI298" s="45"/>
      <c r="AJ298" s="45"/>
      <c r="AK298" s="45"/>
      <c r="AL298" s="45"/>
      <c r="AM298" s="45"/>
      <c r="AN298" s="45"/>
      <c r="AO298" s="45"/>
      <c r="AP298" s="45"/>
      <c r="AQ298" s="36"/>
      <c r="AR298" s="36"/>
      <c r="AS298" s="36"/>
      <c r="AT298" s="36"/>
      <c r="AU298" s="36"/>
      <c r="AV298" s="36"/>
      <c r="AW298" s="36"/>
      <c r="AX298" s="36"/>
      <c r="AY298" s="36"/>
      <c r="AZ298" s="36"/>
      <c r="BA298" s="36"/>
      <c r="BB298" s="36"/>
      <c r="BC298" s="36"/>
      <c r="BD298" s="36"/>
      <c r="BE298" s="36"/>
      <c r="BF298" s="36"/>
      <c r="BG298" s="36"/>
      <c r="BH298" s="36"/>
      <c r="BI298" s="36"/>
      <c r="BJ298" s="36"/>
      <c r="BK298" s="36"/>
      <c r="BL298" s="36"/>
      <c r="BM298" s="36"/>
      <c r="BN298" s="36"/>
      <c r="BO298" s="36"/>
      <c r="BP298" s="36"/>
      <c r="BQ298" s="36"/>
    </row>
    <row r="299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51"/>
      <c r="S299" s="51"/>
      <c r="T299" s="51"/>
      <c r="U299" s="51"/>
      <c r="V299" s="51"/>
      <c r="W299" s="51"/>
      <c r="X299" s="51"/>
      <c r="Y299" s="45"/>
      <c r="Z299" s="45"/>
      <c r="AA299" s="45"/>
      <c r="AB299" s="45"/>
      <c r="AC299" s="45"/>
      <c r="AD299" s="45"/>
      <c r="AE299" s="45"/>
      <c r="AF299" s="45"/>
      <c r="AG299" s="45"/>
      <c r="AH299" s="45"/>
      <c r="AI299" s="45"/>
      <c r="AJ299" s="45"/>
      <c r="AK299" s="45"/>
      <c r="AL299" s="45"/>
      <c r="AM299" s="45"/>
      <c r="AN299" s="45"/>
      <c r="AO299" s="45"/>
      <c r="AP299" s="45"/>
      <c r="AQ299" s="36"/>
      <c r="AR299" s="36"/>
      <c r="AS299" s="36"/>
      <c r="AT299" s="36"/>
      <c r="AU299" s="36"/>
      <c r="AV299" s="36"/>
      <c r="AW299" s="36"/>
      <c r="AX299" s="36"/>
      <c r="AY299" s="36"/>
      <c r="AZ299" s="36"/>
      <c r="BA299" s="36"/>
      <c r="BB299" s="36"/>
      <c r="BC299" s="36"/>
      <c r="BD299" s="36"/>
      <c r="BE299" s="36"/>
      <c r="BF299" s="36"/>
      <c r="BG299" s="36"/>
      <c r="BH299" s="36"/>
      <c r="BI299" s="36"/>
      <c r="BJ299" s="36"/>
      <c r="BK299" s="36"/>
      <c r="BL299" s="36"/>
      <c r="BM299" s="36"/>
      <c r="BN299" s="36"/>
      <c r="BO299" s="36"/>
      <c r="BP299" s="36"/>
      <c r="BQ299" s="36"/>
    </row>
    <row r="300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52"/>
      <c r="S300" s="51"/>
      <c r="T300" s="51"/>
      <c r="U300" s="51"/>
      <c r="V300" s="51"/>
      <c r="W300" s="51"/>
      <c r="X300" s="51"/>
      <c r="Y300" s="45"/>
      <c r="Z300" s="45"/>
      <c r="AA300" s="45"/>
      <c r="AB300" s="45"/>
      <c r="AC300" s="45"/>
      <c r="AD300" s="45"/>
      <c r="AE300" s="45"/>
      <c r="AF300" s="45"/>
      <c r="AG300" s="45"/>
      <c r="AH300" s="45"/>
      <c r="AI300" s="45"/>
      <c r="AJ300" s="45"/>
      <c r="AK300" s="45"/>
      <c r="AL300" s="45"/>
      <c r="AM300" s="45"/>
      <c r="AN300" s="45"/>
      <c r="AO300" s="45"/>
      <c r="AP300" s="45"/>
      <c r="AQ300" s="36"/>
      <c r="AR300" s="36"/>
      <c r="AS300" s="36"/>
      <c r="AT300" s="36"/>
      <c r="AU300" s="36"/>
      <c r="AV300" s="36"/>
      <c r="AW300" s="36"/>
      <c r="AX300" s="36"/>
      <c r="AY300" s="36"/>
      <c r="AZ300" s="36"/>
      <c r="BA300" s="36"/>
      <c r="BB300" s="36"/>
      <c r="BC300" s="36"/>
      <c r="BD300" s="36"/>
      <c r="BE300" s="36"/>
      <c r="BF300" s="36"/>
      <c r="BG300" s="36"/>
      <c r="BH300" s="36"/>
      <c r="BI300" s="36"/>
      <c r="BJ300" s="36"/>
      <c r="BK300" s="36"/>
      <c r="BL300" s="36"/>
      <c r="BM300" s="36"/>
      <c r="BN300" s="36"/>
      <c r="BO300" s="36"/>
      <c r="BP300" s="36"/>
      <c r="BQ300" s="36"/>
    </row>
    <row r="30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51"/>
      <c r="S301" s="51"/>
      <c r="T301" s="51"/>
      <c r="U301" s="51"/>
      <c r="V301" s="51"/>
      <c r="W301" s="51"/>
      <c r="X301" s="51"/>
      <c r="Y301" s="45"/>
      <c r="Z301" s="45"/>
      <c r="AA301" s="45"/>
      <c r="AB301" s="45"/>
      <c r="AC301" s="45"/>
      <c r="AD301" s="45"/>
      <c r="AE301" s="45"/>
      <c r="AF301" s="45"/>
      <c r="AG301" s="45"/>
      <c r="AH301" s="45"/>
      <c r="AI301" s="45"/>
      <c r="AJ301" s="45"/>
      <c r="AK301" s="45"/>
      <c r="AL301" s="45"/>
      <c r="AM301" s="45"/>
      <c r="AN301" s="45"/>
      <c r="AO301" s="45"/>
      <c r="AP301" s="45"/>
      <c r="AQ301" s="36"/>
      <c r="AR301" s="36"/>
      <c r="AS301" s="36"/>
      <c r="AT301" s="36"/>
      <c r="AU301" s="36"/>
      <c r="AV301" s="36"/>
      <c r="AW301" s="36"/>
      <c r="AX301" s="36"/>
      <c r="AY301" s="36"/>
      <c r="AZ301" s="36"/>
      <c r="BA301" s="36"/>
      <c r="BB301" s="36"/>
      <c r="BC301" s="36"/>
      <c r="BD301" s="36"/>
      <c r="BE301" s="36"/>
      <c r="BF301" s="36"/>
      <c r="BG301" s="36"/>
      <c r="BH301" s="36"/>
      <c r="BI301" s="36"/>
      <c r="BJ301" s="36"/>
      <c r="BK301" s="36"/>
      <c r="BL301" s="36"/>
      <c r="BM301" s="36"/>
      <c r="BN301" s="36"/>
      <c r="BO301" s="36"/>
      <c r="BP301" s="36"/>
      <c r="BQ301" s="36"/>
    </row>
    <row r="302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51"/>
      <c r="S302" s="51"/>
      <c r="T302" s="51"/>
      <c r="U302" s="51"/>
      <c r="V302" s="51"/>
      <c r="W302" s="51"/>
      <c r="X302" s="51"/>
      <c r="Y302" s="45"/>
      <c r="Z302" s="45"/>
      <c r="AA302" s="45"/>
      <c r="AB302" s="45"/>
      <c r="AC302" s="45"/>
      <c r="AD302" s="45"/>
      <c r="AE302" s="45"/>
      <c r="AF302" s="45"/>
      <c r="AG302" s="45"/>
      <c r="AH302" s="45"/>
      <c r="AI302" s="45"/>
      <c r="AJ302" s="45"/>
      <c r="AK302" s="45"/>
      <c r="AL302" s="45"/>
      <c r="AM302" s="45"/>
      <c r="AN302" s="45"/>
      <c r="AO302" s="45"/>
      <c r="AP302" s="45"/>
      <c r="AQ302" s="36"/>
      <c r="AR302" s="36"/>
      <c r="AS302" s="36"/>
      <c r="AT302" s="36"/>
      <c r="AU302" s="36"/>
      <c r="AV302" s="36"/>
      <c r="AW302" s="36"/>
      <c r="AX302" s="36"/>
      <c r="AY302" s="36"/>
      <c r="AZ302" s="36"/>
      <c r="BA302" s="36"/>
      <c r="BB302" s="36"/>
      <c r="BC302" s="36"/>
      <c r="BD302" s="36"/>
      <c r="BE302" s="36"/>
      <c r="BF302" s="36"/>
      <c r="BG302" s="36"/>
      <c r="BH302" s="36"/>
      <c r="BI302" s="36"/>
      <c r="BJ302" s="36"/>
      <c r="BK302" s="36"/>
      <c r="BL302" s="36"/>
      <c r="BM302" s="36"/>
      <c r="BN302" s="36"/>
      <c r="BO302" s="36"/>
      <c r="BP302" s="36"/>
      <c r="BQ302" s="36"/>
    </row>
    <row r="303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51"/>
      <c r="S303" s="51"/>
      <c r="T303" s="51"/>
      <c r="U303" s="51"/>
      <c r="V303" s="51"/>
      <c r="W303" s="51"/>
      <c r="X303" s="51"/>
      <c r="Y303" s="45"/>
      <c r="Z303" s="45"/>
      <c r="AA303" s="45"/>
      <c r="AB303" s="45"/>
      <c r="AC303" s="45"/>
      <c r="AD303" s="45"/>
      <c r="AE303" s="45"/>
      <c r="AF303" s="45"/>
      <c r="AG303" s="45"/>
      <c r="AH303" s="45"/>
      <c r="AI303" s="45"/>
      <c r="AJ303" s="45"/>
      <c r="AK303" s="45"/>
      <c r="AL303" s="45"/>
      <c r="AM303" s="45"/>
      <c r="AN303" s="45"/>
      <c r="AO303" s="45"/>
      <c r="AP303" s="45"/>
      <c r="AQ303" s="36"/>
      <c r="AR303" s="36"/>
      <c r="AS303" s="36"/>
      <c r="AT303" s="36"/>
      <c r="AU303" s="36"/>
      <c r="AV303" s="36"/>
      <c r="AW303" s="36"/>
      <c r="AX303" s="36"/>
      <c r="AY303" s="36"/>
      <c r="AZ303" s="36"/>
      <c r="BA303" s="36"/>
      <c r="BB303" s="36"/>
      <c r="BC303" s="36"/>
      <c r="BD303" s="36"/>
      <c r="BE303" s="36"/>
      <c r="BF303" s="36"/>
      <c r="BG303" s="36"/>
      <c r="BH303" s="36"/>
      <c r="BI303" s="36"/>
      <c r="BJ303" s="36"/>
      <c r="BK303" s="36"/>
      <c r="BL303" s="36"/>
      <c r="BM303" s="36"/>
      <c r="BN303" s="36"/>
      <c r="BO303" s="36"/>
      <c r="BP303" s="36"/>
      <c r="BQ303" s="36"/>
    </row>
    <row r="304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51"/>
      <c r="S304" s="51"/>
      <c r="T304" s="51"/>
      <c r="U304" s="51"/>
      <c r="V304" s="51"/>
      <c r="W304" s="51"/>
      <c r="X304" s="51"/>
      <c r="Y304" s="45"/>
      <c r="Z304" s="45"/>
      <c r="AA304" s="45"/>
      <c r="AB304" s="45"/>
      <c r="AC304" s="45"/>
      <c r="AD304" s="45"/>
      <c r="AE304" s="45"/>
      <c r="AF304" s="45"/>
      <c r="AG304" s="45"/>
      <c r="AH304" s="45"/>
      <c r="AI304" s="45"/>
      <c r="AJ304" s="45"/>
      <c r="AK304" s="45"/>
      <c r="AL304" s="45"/>
      <c r="AM304" s="45"/>
      <c r="AN304" s="45"/>
      <c r="AO304" s="45"/>
      <c r="AP304" s="45"/>
      <c r="AQ304" s="36"/>
      <c r="AR304" s="36"/>
      <c r="AS304" s="36"/>
      <c r="AT304" s="36"/>
      <c r="AU304" s="36"/>
      <c r="AV304" s="36"/>
      <c r="AW304" s="36"/>
      <c r="AX304" s="36"/>
      <c r="AY304" s="36"/>
      <c r="AZ304" s="36"/>
      <c r="BA304" s="36"/>
      <c r="BB304" s="36"/>
      <c r="BC304" s="36"/>
      <c r="BD304" s="36"/>
      <c r="BE304" s="36"/>
      <c r="BF304" s="36"/>
      <c r="BG304" s="36"/>
      <c r="BH304" s="36"/>
      <c r="BI304" s="36"/>
      <c r="BJ304" s="36"/>
      <c r="BK304" s="36"/>
      <c r="BL304" s="36"/>
      <c r="BM304" s="36"/>
      <c r="BN304" s="36"/>
      <c r="BO304" s="36"/>
      <c r="BP304" s="36"/>
      <c r="BQ304" s="36"/>
    </row>
    <row r="30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51"/>
      <c r="S305" s="51"/>
      <c r="T305" s="51"/>
      <c r="U305" s="51"/>
      <c r="V305" s="51"/>
      <c r="W305" s="51"/>
      <c r="X305" s="51"/>
      <c r="Y305" s="45"/>
      <c r="Z305" s="45"/>
      <c r="AA305" s="45"/>
      <c r="AB305" s="45"/>
      <c r="AC305" s="45"/>
      <c r="AD305" s="45"/>
      <c r="AE305" s="45"/>
      <c r="AF305" s="45"/>
      <c r="AG305" s="45"/>
      <c r="AH305" s="45"/>
      <c r="AI305" s="45"/>
      <c r="AJ305" s="45"/>
      <c r="AK305" s="45"/>
      <c r="AL305" s="45"/>
      <c r="AM305" s="45"/>
      <c r="AN305" s="45"/>
      <c r="AO305" s="45"/>
      <c r="AP305" s="45"/>
      <c r="AQ305" s="36"/>
      <c r="AR305" s="36"/>
      <c r="AS305" s="36"/>
      <c r="AT305" s="36"/>
      <c r="AU305" s="36"/>
      <c r="AV305" s="36"/>
      <c r="AW305" s="36"/>
      <c r="AX305" s="36"/>
      <c r="AY305" s="36"/>
      <c r="AZ305" s="36"/>
      <c r="BA305" s="36"/>
      <c r="BB305" s="36"/>
      <c r="BC305" s="36"/>
      <c r="BD305" s="36"/>
      <c r="BE305" s="36"/>
      <c r="BF305" s="36"/>
      <c r="BG305" s="36"/>
      <c r="BH305" s="36"/>
      <c r="BI305" s="36"/>
      <c r="BJ305" s="36"/>
      <c r="BK305" s="36"/>
      <c r="BL305" s="36"/>
      <c r="BM305" s="36"/>
      <c r="BN305" s="36"/>
      <c r="BO305" s="36"/>
      <c r="BP305" s="36"/>
      <c r="BQ305" s="36"/>
    </row>
    <row r="306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51"/>
      <c r="S306" s="51"/>
      <c r="T306" s="51"/>
      <c r="U306" s="51"/>
      <c r="V306" s="51"/>
      <c r="W306" s="51"/>
      <c r="X306" s="51"/>
      <c r="Y306" s="45"/>
      <c r="Z306" s="45"/>
      <c r="AA306" s="45"/>
      <c r="AB306" s="45"/>
      <c r="AC306" s="45"/>
      <c r="AD306" s="45"/>
      <c r="AE306" s="45"/>
      <c r="AF306" s="45"/>
      <c r="AG306" s="45"/>
      <c r="AH306" s="45"/>
      <c r="AI306" s="45"/>
      <c r="AJ306" s="45"/>
      <c r="AK306" s="45"/>
      <c r="AL306" s="45"/>
      <c r="AM306" s="45"/>
      <c r="AN306" s="45"/>
      <c r="AO306" s="45"/>
      <c r="AP306" s="45"/>
      <c r="AQ306" s="36"/>
      <c r="AR306" s="36"/>
      <c r="AS306" s="36"/>
      <c r="AT306" s="36"/>
      <c r="AU306" s="36"/>
      <c r="AV306" s="36"/>
      <c r="AW306" s="36"/>
      <c r="AX306" s="36"/>
      <c r="AY306" s="36"/>
      <c r="AZ306" s="36"/>
      <c r="BA306" s="36"/>
      <c r="BB306" s="36"/>
      <c r="BC306" s="36"/>
      <c r="BD306" s="36"/>
      <c r="BE306" s="36"/>
      <c r="BF306" s="36"/>
      <c r="BG306" s="36"/>
      <c r="BH306" s="36"/>
      <c r="BI306" s="36"/>
      <c r="BJ306" s="36"/>
      <c r="BK306" s="36"/>
      <c r="BL306" s="36"/>
      <c r="BM306" s="36"/>
      <c r="BN306" s="36"/>
      <c r="BO306" s="36"/>
      <c r="BP306" s="36"/>
      <c r="BQ306" s="36"/>
    </row>
    <row r="307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51"/>
      <c r="S307" s="51"/>
      <c r="T307" s="51"/>
      <c r="U307" s="51"/>
      <c r="V307" s="51"/>
      <c r="W307" s="51"/>
      <c r="X307" s="51"/>
      <c r="Y307" s="45"/>
      <c r="Z307" s="45"/>
      <c r="AA307" s="45"/>
      <c r="AB307" s="45"/>
      <c r="AC307" s="45"/>
      <c r="AD307" s="45"/>
      <c r="AE307" s="45"/>
      <c r="AF307" s="45"/>
      <c r="AG307" s="45"/>
      <c r="AH307" s="45"/>
      <c r="AI307" s="45"/>
      <c r="AJ307" s="45"/>
      <c r="AK307" s="45"/>
      <c r="AL307" s="45"/>
      <c r="AM307" s="45"/>
      <c r="AN307" s="45"/>
      <c r="AO307" s="45"/>
      <c r="AP307" s="45"/>
      <c r="AQ307" s="36"/>
      <c r="AR307" s="36"/>
      <c r="AS307" s="36"/>
      <c r="AT307" s="36"/>
      <c r="AU307" s="36"/>
      <c r="AV307" s="36"/>
      <c r="AW307" s="36"/>
      <c r="AX307" s="36"/>
      <c r="AY307" s="36"/>
      <c r="AZ307" s="36"/>
      <c r="BA307" s="36"/>
      <c r="BB307" s="36"/>
      <c r="BC307" s="36"/>
      <c r="BD307" s="36"/>
      <c r="BE307" s="36"/>
      <c r="BF307" s="36"/>
      <c r="BG307" s="36"/>
      <c r="BH307" s="36"/>
      <c r="BI307" s="36"/>
      <c r="BJ307" s="36"/>
      <c r="BK307" s="36"/>
      <c r="BL307" s="36"/>
      <c r="BM307" s="36"/>
      <c r="BN307" s="36"/>
      <c r="BO307" s="36"/>
      <c r="BP307" s="36"/>
      <c r="BQ307" s="36"/>
    </row>
    <row r="308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51"/>
      <c r="S308" s="51"/>
      <c r="T308" s="51"/>
      <c r="U308" s="51"/>
      <c r="V308" s="51"/>
      <c r="W308" s="51"/>
      <c r="X308" s="51"/>
      <c r="Y308" s="45"/>
      <c r="Z308" s="45"/>
      <c r="AA308" s="45"/>
      <c r="AB308" s="45"/>
      <c r="AC308" s="45"/>
      <c r="AD308" s="45"/>
      <c r="AE308" s="45"/>
      <c r="AF308" s="45"/>
      <c r="AG308" s="45"/>
      <c r="AH308" s="45"/>
      <c r="AI308" s="45"/>
      <c r="AJ308" s="45"/>
      <c r="AK308" s="45"/>
      <c r="AL308" s="45"/>
      <c r="AM308" s="45"/>
      <c r="AN308" s="45"/>
      <c r="AO308" s="45"/>
      <c r="AP308" s="45"/>
      <c r="AQ308" s="36"/>
      <c r="AR308" s="36"/>
      <c r="AS308" s="36"/>
      <c r="AT308" s="36"/>
      <c r="AU308" s="36"/>
      <c r="AV308" s="36"/>
      <c r="AW308" s="36"/>
      <c r="AX308" s="36"/>
      <c r="AY308" s="36"/>
      <c r="AZ308" s="36"/>
      <c r="BA308" s="36"/>
      <c r="BB308" s="36"/>
      <c r="BC308" s="36"/>
      <c r="BD308" s="36"/>
      <c r="BE308" s="36"/>
      <c r="BF308" s="36"/>
      <c r="BG308" s="36"/>
      <c r="BH308" s="36"/>
      <c r="BI308" s="36"/>
      <c r="BJ308" s="36"/>
      <c r="BK308" s="36"/>
      <c r="BL308" s="36"/>
      <c r="BM308" s="36"/>
      <c r="BN308" s="36"/>
      <c r="BO308" s="36"/>
      <c r="BP308" s="36"/>
      <c r="BQ308" s="36"/>
    </row>
    <row r="309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51"/>
      <c r="S309" s="51"/>
      <c r="T309" s="51"/>
      <c r="U309" s="51"/>
      <c r="V309" s="51"/>
      <c r="W309" s="51"/>
      <c r="X309" s="51"/>
      <c r="Y309" s="45"/>
      <c r="Z309" s="45"/>
      <c r="AA309" s="45"/>
      <c r="AB309" s="45"/>
      <c r="AC309" s="45"/>
      <c r="AD309" s="45"/>
      <c r="AE309" s="45"/>
      <c r="AF309" s="45"/>
      <c r="AG309" s="45"/>
      <c r="AH309" s="45"/>
      <c r="AI309" s="45"/>
      <c r="AJ309" s="45"/>
      <c r="AK309" s="45"/>
      <c r="AL309" s="45"/>
      <c r="AM309" s="45"/>
      <c r="AN309" s="45"/>
      <c r="AO309" s="45"/>
      <c r="AP309" s="45"/>
      <c r="AQ309" s="36"/>
      <c r="AR309" s="36"/>
      <c r="AS309" s="36"/>
      <c r="AT309" s="36"/>
      <c r="AU309" s="36"/>
      <c r="AV309" s="36"/>
      <c r="AW309" s="36"/>
      <c r="AX309" s="36"/>
      <c r="AY309" s="36"/>
      <c r="AZ309" s="36"/>
      <c r="BA309" s="36"/>
      <c r="BB309" s="36"/>
      <c r="BC309" s="36"/>
      <c r="BD309" s="36"/>
      <c r="BE309" s="36"/>
      <c r="BF309" s="36"/>
      <c r="BG309" s="36"/>
      <c r="BH309" s="36"/>
      <c r="BI309" s="36"/>
      <c r="BJ309" s="36"/>
      <c r="BK309" s="36"/>
      <c r="BL309" s="36"/>
      <c r="BM309" s="36"/>
      <c r="BN309" s="36"/>
      <c r="BO309" s="36"/>
      <c r="BP309" s="36"/>
      <c r="BQ309" s="36"/>
    </row>
    <row r="310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51"/>
      <c r="S310" s="51"/>
      <c r="T310" s="51"/>
      <c r="U310" s="51"/>
      <c r="V310" s="51"/>
      <c r="W310" s="51"/>
      <c r="X310" s="51"/>
      <c r="Y310" s="45"/>
      <c r="Z310" s="45"/>
      <c r="AA310" s="45"/>
      <c r="AB310" s="45"/>
      <c r="AC310" s="45"/>
      <c r="AD310" s="45"/>
      <c r="AE310" s="45"/>
      <c r="AF310" s="45"/>
      <c r="AG310" s="45"/>
      <c r="AH310" s="45"/>
      <c r="AI310" s="45"/>
      <c r="AJ310" s="45"/>
      <c r="AK310" s="45"/>
      <c r="AL310" s="45"/>
      <c r="AM310" s="45"/>
      <c r="AN310" s="45"/>
      <c r="AO310" s="45"/>
      <c r="AP310" s="45"/>
      <c r="AQ310" s="36"/>
      <c r="AR310" s="36"/>
      <c r="AS310" s="36"/>
      <c r="AT310" s="36"/>
      <c r="AU310" s="36"/>
      <c r="AV310" s="36"/>
      <c r="AW310" s="36"/>
      <c r="AX310" s="36"/>
      <c r="AY310" s="36"/>
      <c r="AZ310" s="36"/>
      <c r="BA310" s="36"/>
      <c r="BB310" s="36"/>
      <c r="BC310" s="36"/>
      <c r="BD310" s="36"/>
      <c r="BE310" s="36"/>
      <c r="BF310" s="36"/>
      <c r="BG310" s="36"/>
      <c r="BH310" s="36"/>
      <c r="BI310" s="36"/>
      <c r="BJ310" s="36"/>
      <c r="BK310" s="36"/>
      <c r="BL310" s="36"/>
      <c r="BM310" s="36"/>
      <c r="BN310" s="36"/>
      <c r="BO310" s="36"/>
      <c r="BP310" s="36"/>
      <c r="BQ310" s="36"/>
    </row>
    <row r="31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51"/>
      <c r="S311" s="51"/>
      <c r="T311" s="51"/>
      <c r="U311" s="51"/>
      <c r="V311" s="51"/>
      <c r="W311" s="51"/>
      <c r="X311" s="51"/>
      <c r="Y311" s="45"/>
      <c r="Z311" s="45"/>
      <c r="AA311" s="45"/>
      <c r="AB311" s="45"/>
      <c r="AC311" s="45"/>
      <c r="AD311" s="45"/>
      <c r="AE311" s="45"/>
      <c r="AF311" s="45"/>
      <c r="AG311" s="45"/>
      <c r="AH311" s="45"/>
      <c r="AI311" s="45"/>
      <c r="AJ311" s="45"/>
      <c r="AK311" s="45"/>
      <c r="AL311" s="45"/>
      <c r="AM311" s="45"/>
      <c r="AN311" s="45"/>
      <c r="AO311" s="45"/>
      <c r="AP311" s="45"/>
      <c r="AQ311" s="36"/>
      <c r="AR311" s="36"/>
      <c r="AS311" s="36"/>
      <c r="AT311" s="36"/>
      <c r="AU311" s="36"/>
      <c r="AV311" s="36"/>
      <c r="AW311" s="36"/>
      <c r="AX311" s="36"/>
      <c r="AY311" s="36"/>
      <c r="AZ311" s="36"/>
      <c r="BA311" s="36"/>
      <c r="BB311" s="36"/>
      <c r="BC311" s="36"/>
      <c r="BD311" s="36"/>
      <c r="BE311" s="36"/>
      <c r="BF311" s="36"/>
      <c r="BG311" s="36"/>
      <c r="BH311" s="36"/>
      <c r="BI311" s="36"/>
      <c r="BJ311" s="36"/>
      <c r="BK311" s="36"/>
      <c r="BL311" s="36"/>
      <c r="BM311" s="36"/>
      <c r="BN311" s="36"/>
      <c r="BO311" s="36"/>
      <c r="BP311" s="36"/>
      <c r="BQ311" s="36"/>
    </row>
    <row r="312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51"/>
      <c r="S312" s="51"/>
      <c r="T312" s="51"/>
      <c r="U312" s="51"/>
      <c r="V312" s="51"/>
      <c r="W312" s="51"/>
      <c r="X312" s="51"/>
      <c r="Y312" s="45"/>
      <c r="Z312" s="45"/>
      <c r="AA312" s="45"/>
      <c r="AB312" s="45"/>
      <c r="AC312" s="45"/>
      <c r="AD312" s="45"/>
      <c r="AE312" s="45"/>
      <c r="AF312" s="45"/>
      <c r="AG312" s="45"/>
      <c r="AH312" s="45"/>
      <c r="AI312" s="45"/>
      <c r="AJ312" s="45"/>
      <c r="AK312" s="45"/>
      <c r="AL312" s="45"/>
      <c r="AM312" s="45"/>
      <c r="AN312" s="45"/>
      <c r="AO312" s="45"/>
      <c r="AP312" s="45"/>
      <c r="AQ312" s="36"/>
      <c r="AR312" s="36"/>
      <c r="AS312" s="36"/>
      <c r="AT312" s="36"/>
      <c r="AU312" s="36"/>
      <c r="AV312" s="36"/>
      <c r="AW312" s="36"/>
      <c r="AX312" s="36"/>
      <c r="AY312" s="36"/>
      <c r="AZ312" s="36"/>
      <c r="BA312" s="36"/>
      <c r="BB312" s="36"/>
      <c r="BC312" s="36"/>
      <c r="BD312" s="36"/>
      <c r="BE312" s="36"/>
      <c r="BF312" s="36"/>
      <c r="BG312" s="36"/>
      <c r="BH312" s="36"/>
      <c r="BI312" s="36"/>
      <c r="BJ312" s="36"/>
      <c r="BK312" s="36"/>
      <c r="BL312" s="36"/>
      <c r="BM312" s="36"/>
      <c r="BN312" s="36"/>
      <c r="BO312" s="36"/>
      <c r="BP312" s="36"/>
      <c r="BQ312" s="36"/>
    </row>
    <row r="313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51"/>
      <c r="S313" s="51"/>
      <c r="T313" s="51"/>
      <c r="U313" s="51"/>
      <c r="V313" s="51"/>
      <c r="W313" s="51"/>
      <c r="X313" s="51"/>
      <c r="Y313" s="45"/>
      <c r="Z313" s="45"/>
      <c r="AA313" s="45"/>
      <c r="AB313" s="45"/>
      <c r="AC313" s="45"/>
      <c r="AD313" s="45"/>
      <c r="AE313" s="45"/>
      <c r="AF313" s="45"/>
      <c r="AG313" s="45"/>
      <c r="AH313" s="45"/>
      <c r="AI313" s="45"/>
      <c r="AJ313" s="45"/>
      <c r="AK313" s="45"/>
      <c r="AL313" s="45"/>
      <c r="AM313" s="45"/>
      <c r="AN313" s="45"/>
      <c r="AO313" s="45"/>
      <c r="AP313" s="45"/>
      <c r="AQ313" s="36"/>
      <c r="AR313" s="36"/>
      <c r="AS313" s="36"/>
      <c r="AT313" s="36"/>
      <c r="AU313" s="36"/>
      <c r="AV313" s="36"/>
      <c r="AW313" s="36"/>
      <c r="AX313" s="36"/>
      <c r="AY313" s="36"/>
      <c r="AZ313" s="36"/>
      <c r="BA313" s="36"/>
      <c r="BB313" s="36"/>
      <c r="BC313" s="36"/>
      <c r="BD313" s="36"/>
      <c r="BE313" s="36"/>
      <c r="BF313" s="36"/>
      <c r="BG313" s="36"/>
      <c r="BH313" s="36"/>
      <c r="BI313" s="36"/>
      <c r="BJ313" s="36"/>
      <c r="BK313" s="36"/>
      <c r="BL313" s="36"/>
      <c r="BM313" s="36"/>
      <c r="BN313" s="36"/>
      <c r="BO313" s="36"/>
      <c r="BP313" s="36"/>
      <c r="BQ313" s="36"/>
    </row>
    <row r="314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51"/>
      <c r="S314" s="51"/>
      <c r="T314" s="51"/>
      <c r="U314" s="51"/>
      <c r="V314" s="51"/>
      <c r="W314" s="51"/>
      <c r="X314" s="51"/>
      <c r="Y314" s="45"/>
      <c r="Z314" s="45"/>
      <c r="AA314" s="45"/>
      <c r="AB314" s="45"/>
      <c r="AC314" s="45"/>
      <c r="AD314" s="45"/>
      <c r="AE314" s="45"/>
      <c r="AF314" s="45"/>
      <c r="AG314" s="45"/>
      <c r="AH314" s="45"/>
      <c r="AI314" s="45"/>
      <c r="AJ314" s="45"/>
      <c r="AK314" s="45"/>
      <c r="AL314" s="45"/>
      <c r="AM314" s="45"/>
      <c r="AN314" s="45"/>
      <c r="AO314" s="45"/>
      <c r="AP314" s="45"/>
      <c r="AQ314" s="36"/>
      <c r="AR314" s="36"/>
      <c r="AS314" s="36"/>
      <c r="AT314" s="36"/>
      <c r="AU314" s="36"/>
      <c r="AV314" s="36"/>
      <c r="AW314" s="36"/>
      <c r="AX314" s="36"/>
      <c r="AY314" s="36"/>
      <c r="AZ314" s="36"/>
      <c r="BA314" s="36"/>
      <c r="BB314" s="36"/>
      <c r="BC314" s="36"/>
      <c r="BD314" s="36"/>
      <c r="BE314" s="36"/>
      <c r="BF314" s="36"/>
      <c r="BG314" s="36"/>
      <c r="BH314" s="36"/>
      <c r="BI314" s="36"/>
      <c r="BJ314" s="36"/>
      <c r="BK314" s="36"/>
      <c r="BL314" s="36"/>
      <c r="BM314" s="36"/>
      <c r="BN314" s="36"/>
      <c r="BO314" s="36"/>
      <c r="BP314" s="36"/>
      <c r="BQ314" s="36"/>
    </row>
    <row r="31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51"/>
      <c r="S315" s="51"/>
      <c r="T315" s="51"/>
      <c r="U315" s="51"/>
      <c r="V315" s="51"/>
      <c r="W315" s="51"/>
      <c r="X315" s="51"/>
      <c r="Y315" s="45"/>
      <c r="Z315" s="45"/>
      <c r="AA315" s="45"/>
      <c r="AB315" s="45"/>
      <c r="AC315" s="45"/>
      <c r="AD315" s="45"/>
      <c r="AE315" s="45"/>
      <c r="AF315" s="45"/>
      <c r="AG315" s="45"/>
      <c r="AH315" s="45"/>
      <c r="AI315" s="45"/>
      <c r="AJ315" s="45"/>
      <c r="AK315" s="45"/>
      <c r="AL315" s="45"/>
      <c r="AM315" s="45"/>
      <c r="AN315" s="45"/>
      <c r="AO315" s="45"/>
      <c r="AP315" s="45"/>
      <c r="AQ315" s="36"/>
      <c r="AR315" s="36"/>
      <c r="AS315" s="36"/>
      <c r="AT315" s="36"/>
      <c r="AU315" s="36"/>
      <c r="AV315" s="36"/>
      <c r="AW315" s="36"/>
      <c r="AX315" s="36"/>
      <c r="AY315" s="36"/>
      <c r="AZ315" s="36"/>
      <c r="BA315" s="36"/>
      <c r="BB315" s="36"/>
      <c r="BC315" s="36"/>
      <c r="BD315" s="36"/>
      <c r="BE315" s="36"/>
      <c r="BF315" s="36"/>
      <c r="BG315" s="36"/>
      <c r="BH315" s="36"/>
      <c r="BI315" s="36"/>
      <c r="BJ315" s="36"/>
      <c r="BK315" s="36"/>
      <c r="BL315" s="36"/>
      <c r="BM315" s="36"/>
      <c r="BN315" s="36"/>
      <c r="BO315" s="36"/>
      <c r="BP315" s="36"/>
      <c r="BQ315" s="36"/>
    </row>
    <row r="316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51"/>
      <c r="S316" s="51"/>
      <c r="T316" s="51"/>
      <c r="U316" s="51"/>
      <c r="V316" s="51"/>
      <c r="W316" s="51"/>
      <c r="X316" s="51"/>
      <c r="Y316" s="45"/>
      <c r="Z316" s="45"/>
      <c r="AA316" s="45"/>
      <c r="AB316" s="45"/>
      <c r="AC316" s="45"/>
      <c r="AD316" s="45"/>
      <c r="AE316" s="45"/>
      <c r="AF316" s="45"/>
      <c r="AG316" s="45"/>
      <c r="AH316" s="45"/>
      <c r="AI316" s="45"/>
      <c r="AJ316" s="45"/>
      <c r="AK316" s="45"/>
      <c r="AL316" s="45"/>
      <c r="AM316" s="45"/>
      <c r="AN316" s="45"/>
      <c r="AO316" s="45"/>
      <c r="AP316" s="45"/>
      <c r="AQ316" s="36"/>
      <c r="AR316" s="36"/>
      <c r="AS316" s="36"/>
      <c r="AT316" s="36"/>
      <c r="AU316" s="36"/>
      <c r="AV316" s="36"/>
      <c r="AW316" s="36"/>
      <c r="AX316" s="36"/>
      <c r="AY316" s="36"/>
      <c r="AZ316" s="36"/>
      <c r="BA316" s="36"/>
      <c r="BB316" s="36"/>
      <c r="BC316" s="36"/>
      <c r="BD316" s="36"/>
      <c r="BE316" s="36"/>
      <c r="BF316" s="36"/>
      <c r="BG316" s="36"/>
      <c r="BH316" s="36"/>
      <c r="BI316" s="36"/>
      <c r="BJ316" s="36"/>
      <c r="BK316" s="36"/>
      <c r="BL316" s="36"/>
      <c r="BM316" s="36"/>
      <c r="BN316" s="36"/>
      <c r="BO316" s="36"/>
      <c r="BP316" s="36"/>
      <c r="BQ316" s="36"/>
    </row>
    <row r="317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51"/>
      <c r="S317" s="51"/>
      <c r="T317" s="51"/>
      <c r="U317" s="51"/>
      <c r="V317" s="51"/>
      <c r="W317" s="51"/>
      <c r="X317" s="51"/>
      <c r="Y317" s="45"/>
      <c r="Z317" s="45"/>
      <c r="AA317" s="45"/>
      <c r="AB317" s="45"/>
      <c r="AC317" s="45"/>
      <c r="AD317" s="45"/>
      <c r="AE317" s="45"/>
      <c r="AF317" s="45"/>
      <c r="AG317" s="45"/>
      <c r="AH317" s="45"/>
      <c r="AI317" s="45"/>
      <c r="AJ317" s="45"/>
      <c r="AK317" s="45"/>
      <c r="AL317" s="45"/>
      <c r="AM317" s="45"/>
      <c r="AN317" s="45"/>
      <c r="AO317" s="45"/>
      <c r="AP317" s="45"/>
      <c r="AQ317" s="36"/>
      <c r="AR317" s="36"/>
      <c r="AS317" s="36"/>
      <c r="AT317" s="36"/>
      <c r="AU317" s="36"/>
      <c r="AV317" s="36"/>
      <c r="AW317" s="36"/>
      <c r="AX317" s="36"/>
      <c r="AY317" s="36"/>
      <c r="AZ317" s="36"/>
      <c r="BA317" s="36"/>
      <c r="BB317" s="36"/>
      <c r="BC317" s="36"/>
      <c r="BD317" s="36"/>
      <c r="BE317" s="36"/>
      <c r="BF317" s="36"/>
      <c r="BG317" s="36"/>
      <c r="BH317" s="36"/>
      <c r="BI317" s="36"/>
      <c r="BJ317" s="36"/>
      <c r="BK317" s="36"/>
      <c r="BL317" s="36"/>
      <c r="BM317" s="36"/>
      <c r="BN317" s="36"/>
      <c r="BO317" s="36"/>
      <c r="BP317" s="36"/>
      <c r="BQ317" s="36"/>
    </row>
    <row r="318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51"/>
      <c r="S318" s="51"/>
      <c r="T318" s="51"/>
      <c r="U318" s="51"/>
      <c r="V318" s="51"/>
      <c r="W318" s="51"/>
      <c r="X318" s="51"/>
      <c r="Y318" s="45"/>
      <c r="Z318" s="45"/>
      <c r="AA318" s="45"/>
      <c r="AB318" s="45"/>
      <c r="AC318" s="45"/>
      <c r="AD318" s="45"/>
      <c r="AE318" s="45"/>
      <c r="AF318" s="45"/>
      <c r="AG318" s="45"/>
      <c r="AH318" s="45"/>
      <c r="AI318" s="45"/>
      <c r="AJ318" s="45"/>
      <c r="AK318" s="45"/>
      <c r="AL318" s="45"/>
      <c r="AM318" s="45"/>
      <c r="AN318" s="45"/>
      <c r="AO318" s="45"/>
      <c r="AP318" s="45"/>
      <c r="AQ318" s="36"/>
      <c r="AR318" s="36"/>
      <c r="AS318" s="36"/>
      <c r="AT318" s="36"/>
      <c r="AU318" s="36"/>
      <c r="AV318" s="36"/>
      <c r="AW318" s="36"/>
      <c r="AX318" s="36"/>
      <c r="AY318" s="36"/>
      <c r="AZ318" s="36"/>
      <c r="BA318" s="36"/>
      <c r="BB318" s="36"/>
      <c r="BC318" s="36"/>
      <c r="BD318" s="36"/>
      <c r="BE318" s="36"/>
      <c r="BF318" s="36"/>
      <c r="BG318" s="36"/>
      <c r="BH318" s="36"/>
      <c r="BI318" s="36"/>
      <c r="BJ318" s="36"/>
      <c r="BK318" s="36"/>
      <c r="BL318" s="36"/>
      <c r="BM318" s="36"/>
      <c r="BN318" s="36"/>
      <c r="BO318" s="36"/>
      <c r="BP318" s="36"/>
      <c r="BQ318" s="36"/>
    </row>
    <row r="319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51"/>
      <c r="S319" s="51"/>
      <c r="T319" s="51"/>
      <c r="U319" s="51"/>
      <c r="V319" s="51"/>
      <c r="W319" s="51"/>
      <c r="X319" s="51"/>
      <c r="Y319" s="45"/>
      <c r="Z319" s="45"/>
      <c r="AA319" s="45"/>
      <c r="AB319" s="45"/>
      <c r="AC319" s="45"/>
      <c r="AD319" s="45"/>
      <c r="AE319" s="45"/>
      <c r="AF319" s="45"/>
      <c r="AG319" s="45"/>
      <c r="AH319" s="45"/>
      <c r="AI319" s="45"/>
      <c r="AJ319" s="45"/>
      <c r="AK319" s="45"/>
      <c r="AL319" s="45"/>
      <c r="AM319" s="45"/>
      <c r="AN319" s="45"/>
      <c r="AO319" s="45"/>
      <c r="AP319" s="45"/>
      <c r="AQ319" s="36"/>
      <c r="AR319" s="36"/>
      <c r="AS319" s="36"/>
      <c r="AT319" s="36"/>
      <c r="AU319" s="36"/>
      <c r="AV319" s="36"/>
      <c r="AW319" s="36"/>
      <c r="AX319" s="36"/>
      <c r="AY319" s="36"/>
      <c r="AZ319" s="36"/>
      <c r="BA319" s="36"/>
      <c r="BB319" s="36"/>
      <c r="BC319" s="36"/>
      <c r="BD319" s="36"/>
      <c r="BE319" s="36"/>
      <c r="BF319" s="36"/>
      <c r="BG319" s="36"/>
      <c r="BH319" s="36"/>
      <c r="BI319" s="36"/>
      <c r="BJ319" s="36"/>
      <c r="BK319" s="36"/>
      <c r="BL319" s="36"/>
      <c r="BM319" s="36"/>
      <c r="BN319" s="36"/>
      <c r="BO319" s="36"/>
      <c r="BP319" s="36"/>
      <c r="BQ319" s="36"/>
    </row>
    <row r="320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51"/>
      <c r="S320" s="51"/>
      <c r="T320" s="51"/>
      <c r="U320" s="51"/>
      <c r="V320" s="51"/>
      <c r="W320" s="51"/>
      <c r="X320" s="51"/>
      <c r="Y320" s="45"/>
      <c r="Z320" s="45"/>
      <c r="AA320" s="45"/>
      <c r="AB320" s="45"/>
      <c r="AC320" s="45"/>
      <c r="AD320" s="45"/>
      <c r="AE320" s="45"/>
      <c r="AF320" s="45"/>
      <c r="AG320" s="45"/>
      <c r="AH320" s="45"/>
      <c r="AI320" s="45"/>
      <c r="AJ320" s="45"/>
      <c r="AK320" s="45"/>
      <c r="AL320" s="45"/>
      <c r="AM320" s="45"/>
      <c r="AN320" s="45"/>
      <c r="AO320" s="45"/>
      <c r="AP320" s="45"/>
      <c r="AQ320" s="36"/>
      <c r="AR320" s="36"/>
      <c r="AS320" s="36"/>
      <c r="AT320" s="36"/>
      <c r="AU320" s="36"/>
      <c r="AV320" s="36"/>
      <c r="AW320" s="36"/>
      <c r="AX320" s="36"/>
      <c r="AY320" s="36"/>
      <c r="AZ320" s="36"/>
      <c r="BA320" s="36"/>
      <c r="BB320" s="36"/>
      <c r="BC320" s="36"/>
      <c r="BD320" s="36"/>
      <c r="BE320" s="36"/>
      <c r="BF320" s="36"/>
      <c r="BG320" s="36"/>
      <c r="BH320" s="36"/>
      <c r="BI320" s="36"/>
      <c r="BJ320" s="36"/>
      <c r="BK320" s="36"/>
      <c r="BL320" s="36"/>
      <c r="BM320" s="36"/>
      <c r="BN320" s="36"/>
      <c r="BO320" s="36"/>
      <c r="BP320" s="36"/>
      <c r="BQ320" s="36"/>
    </row>
    <row r="32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51"/>
      <c r="S321" s="51"/>
      <c r="T321" s="51"/>
      <c r="U321" s="51"/>
      <c r="V321" s="51"/>
      <c r="W321" s="51"/>
      <c r="X321" s="51"/>
      <c r="Y321" s="45"/>
      <c r="Z321" s="45"/>
      <c r="AA321" s="45"/>
      <c r="AB321" s="45"/>
      <c r="AC321" s="45"/>
      <c r="AD321" s="45"/>
      <c r="AE321" s="45"/>
      <c r="AF321" s="45"/>
      <c r="AG321" s="45"/>
      <c r="AH321" s="45"/>
      <c r="AI321" s="45"/>
      <c r="AJ321" s="45"/>
      <c r="AK321" s="45"/>
      <c r="AL321" s="45"/>
      <c r="AM321" s="45"/>
      <c r="AN321" s="45"/>
      <c r="AO321" s="45"/>
      <c r="AP321" s="45"/>
      <c r="AQ321" s="36"/>
      <c r="AR321" s="36"/>
      <c r="AS321" s="36"/>
      <c r="AT321" s="36"/>
      <c r="AU321" s="36"/>
      <c r="AV321" s="36"/>
      <c r="AW321" s="36"/>
      <c r="AX321" s="36"/>
      <c r="AY321" s="36"/>
      <c r="AZ321" s="36"/>
      <c r="BA321" s="36"/>
      <c r="BB321" s="36"/>
      <c r="BC321" s="36"/>
      <c r="BD321" s="36"/>
      <c r="BE321" s="36"/>
      <c r="BF321" s="36"/>
      <c r="BG321" s="36"/>
      <c r="BH321" s="36"/>
      <c r="BI321" s="36"/>
      <c r="BJ321" s="36"/>
      <c r="BK321" s="36"/>
      <c r="BL321" s="36"/>
      <c r="BM321" s="36"/>
      <c r="BN321" s="36"/>
      <c r="BO321" s="36"/>
      <c r="BP321" s="36"/>
      <c r="BQ321" s="36"/>
    </row>
    <row r="322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51"/>
      <c r="S322" s="51"/>
      <c r="T322" s="51"/>
      <c r="U322" s="51"/>
      <c r="V322" s="51"/>
      <c r="W322" s="51"/>
      <c r="X322" s="51"/>
      <c r="Y322" s="45"/>
      <c r="Z322" s="45"/>
      <c r="AA322" s="45"/>
      <c r="AB322" s="45"/>
      <c r="AC322" s="45"/>
      <c r="AD322" s="45"/>
      <c r="AE322" s="45"/>
      <c r="AF322" s="45"/>
      <c r="AG322" s="45"/>
      <c r="AH322" s="45"/>
      <c r="AI322" s="45"/>
      <c r="AJ322" s="45"/>
      <c r="AK322" s="45"/>
      <c r="AL322" s="45"/>
      <c r="AM322" s="45"/>
      <c r="AN322" s="45"/>
      <c r="AO322" s="45"/>
      <c r="AP322" s="45"/>
      <c r="AQ322" s="36"/>
      <c r="AR322" s="36"/>
      <c r="AS322" s="36"/>
      <c r="AT322" s="36"/>
      <c r="AU322" s="36"/>
      <c r="AV322" s="36"/>
      <c r="AW322" s="36"/>
      <c r="AX322" s="36"/>
      <c r="AY322" s="36"/>
      <c r="AZ322" s="36"/>
      <c r="BA322" s="36"/>
      <c r="BB322" s="36"/>
      <c r="BC322" s="36"/>
      <c r="BD322" s="36"/>
      <c r="BE322" s="36"/>
      <c r="BF322" s="36"/>
      <c r="BG322" s="36"/>
      <c r="BH322" s="36"/>
      <c r="BI322" s="36"/>
      <c r="BJ322" s="36"/>
      <c r="BK322" s="36"/>
      <c r="BL322" s="36"/>
      <c r="BM322" s="36"/>
      <c r="BN322" s="36"/>
      <c r="BO322" s="36"/>
      <c r="BP322" s="36"/>
      <c r="BQ322" s="36"/>
    </row>
    <row r="323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51"/>
      <c r="S323" s="51"/>
      <c r="T323" s="51"/>
      <c r="U323" s="51"/>
      <c r="V323" s="51"/>
      <c r="W323" s="51"/>
      <c r="X323" s="51"/>
      <c r="Y323" s="45"/>
      <c r="Z323" s="45"/>
      <c r="AA323" s="45"/>
      <c r="AB323" s="45"/>
      <c r="AC323" s="45"/>
      <c r="AD323" s="45"/>
      <c r="AE323" s="45"/>
      <c r="AF323" s="45"/>
      <c r="AG323" s="45"/>
      <c r="AH323" s="45"/>
      <c r="AI323" s="45"/>
      <c r="AJ323" s="45"/>
      <c r="AK323" s="45"/>
      <c r="AL323" s="45"/>
      <c r="AM323" s="45"/>
      <c r="AN323" s="45"/>
      <c r="AO323" s="45"/>
      <c r="AP323" s="45"/>
      <c r="AQ323" s="36"/>
      <c r="AR323" s="36"/>
      <c r="AS323" s="36"/>
      <c r="AT323" s="36"/>
      <c r="AU323" s="36"/>
      <c r="AV323" s="36"/>
      <c r="AW323" s="36"/>
      <c r="AX323" s="36"/>
      <c r="AY323" s="36"/>
      <c r="AZ323" s="36"/>
      <c r="BA323" s="36"/>
      <c r="BB323" s="36"/>
      <c r="BC323" s="36"/>
      <c r="BD323" s="36"/>
      <c r="BE323" s="36"/>
      <c r="BF323" s="36"/>
      <c r="BG323" s="36"/>
      <c r="BH323" s="36"/>
      <c r="BI323" s="36"/>
      <c r="BJ323" s="36"/>
      <c r="BK323" s="36"/>
      <c r="BL323" s="36"/>
      <c r="BM323" s="36"/>
      <c r="BN323" s="36"/>
      <c r="BO323" s="36"/>
      <c r="BP323" s="36"/>
      <c r="BQ323" s="36"/>
    </row>
    <row r="324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51"/>
      <c r="S324" s="51"/>
      <c r="T324" s="51"/>
      <c r="U324" s="51"/>
      <c r="V324" s="51"/>
      <c r="W324" s="51"/>
      <c r="X324" s="51"/>
      <c r="Y324" s="45"/>
      <c r="Z324" s="45"/>
      <c r="AA324" s="45"/>
      <c r="AB324" s="45"/>
      <c r="AC324" s="45"/>
      <c r="AD324" s="45"/>
      <c r="AE324" s="45"/>
      <c r="AF324" s="45"/>
      <c r="AG324" s="45"/>
      <c r="AH324" s="45"/>
      <c r="AI324" s="45"/>
      <c r="AJ324" s="45"/>
      <c r="AK324" s="45"/>
      <c r="AL324" s="45"/>
      <c r="AM324" s="45"/>
      <c r="AN324" s="45"/>
      <c r="AO324" s="45"/>
      <c r="AP324" s="45"/>
      <c r="AQ324" s="36"/>
      <c r="AR324" s="36"/>
      <c r="AS324" s="36"/>
      <c r="AT324" s="36"/>
      <c r="AU324" s="36"/>
      <c r="AV324" s="36"/>
      <c r="AW324" s="36"/>
      <c r="AX324" s="36"/>
      <c r="AY324" s="36"/>
      <c r="AZ324" s="36"/>
      <c r="BA324" s="36"/>
      <c r="BB324" s="36"/>
      <c r="BC324" s="36"/>
      <c r="BD324" s="36"/>
      <c r="BE324" s="36"/>
      <c r="BF324" s="36"/>
      <c r="BG324" s="36"/>
      <c r="BH324" s="36"/>
      <c r="BI324" s="36"/>
      <c r="BJ324" s="36"/>
      <c r="BK324" s="36"/>
      <c r="BL324" s="36"/>
      <c r="BM324" s="36"/>
      <c r="BN324" s="36"/>
      <c r="BO324" s="36"/>
      <c r="BP324" s="36"/>
      <c r="BQ324" s="36"/>
    </row>
    <row r="32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51"/>
      <c r="S325" s="51"/>
      <c r="T325" s="51"/>
      <c r="U325" s="51"/>
      <c r="V325" s="51"/>
      <c r="W325" s="51"/>
      <c r="X325" s="51"/>
      <c r="Y325" s="45"/>
      <c r="Z325" s="45"/>
      <c r="AA325" s="45"/>
      <c r="AB325" s="45"/>
      <c r="AC325" s="45"/>
      <c r="AD325" s="45"/>
      <c r="AE325" s="45"/>
      <c r="AF325" s="45"/>
      <c r="AG325" s="45"/>
      <c r="AH325" s="45"/>
      <c r="AI325" s="45"/>
      <c r="AJ325" s="45"/>
      <c r="AK325" s="45"/>
      <c r="AL325" s="45"/>
      <c r="AM325" s="45"/>
      <c r="AN325" s="45"/>
      <c r="AO325" s="45"/>
      <c r="AP325" s="45"/>
      <c r="AQ325" s="36"/>
      <c r="AR325" s="36"/>
      <c r="AS325" s="36"/>
      <c r="AT325" s="36"/>
      <c r="AU325" s="36"/>
      <c r="AV325" s="36"/>
      <c r="AW325" s="36"/>
      <c r="AX325" s="36"/>
      <c r="AY325" s="36"/>
      <c r="AZ325" s="36"/>
      <c r="BA325" s="36"/>
      <c r="BB325" s="36"/>
      <c r="BC325" s="36"/>
      <c r="BD325" s="36"/>
      <c r="BE325" s="36"/>
      <c r="BF325" s="36"/>
      <c r="BG325" s="36"/>
      <c r="BH325" s="36"/>
      <c r="BI325" s="36"/>
      <c r="BJ325" s="36"/>
      <c r="BK325" s="36"/>
      <c r="BL325" s="36"/>
      <c r="BM325" s="36"/>
      <c r="BN325" s="36"/>
      <c r="BO325" s="36"/>
      <c r="BP325" s="36"/>
      <c r="BQ325" s="36"/>
    </row>
    <row r="326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51"/>
      <c r="S326" s="51"/>
      <c r="T326" s="51"/>
      <c r="U326" s="51"/>
      <c r="V326" s="51"/>
      <c r="W326" s="51"/>
      <c r="X326" s="51"/>
      <c r="Y326" s="45"/>
      <c r="Z326" s="45"/>
      <c r="AA326" s="45"/>
      <c r="AB326" s="45"/>
      <c r="AC326" s="45"/>
      <c r="AD326" s="45"/>
      <c r="AE326" s="45"/>
      <c r="AF326" s="45"/>
      <c r="AG326" s="45"/>
      <c r="AH326" s="45"/>
      <c r="AI326" s="45"/>
      <c r="AJ326" s="45"/>
      <c r="AK326" s="45"/>
      <c r="AL326" s="45"/>
      <c r="AM326" s="45"/>
      <c r="AN326" s="45"/>
      <c r="AO326" s="45"/>
      <c r="AP326" s="45"/>
      <c r="AQ326" s="36"/>
      <c r="AR326" s="36"/>
      <c r="AS326" s="36"/>
      <c r="AT326" s="36"/>
      <c r="AU326" s="36"/>
      <c r="AV326" s="36"/>
      <c r="AW326" s="36"/>
      <c r="AX326" s="36"/>
      <c r="AY326" s="36"/>
      <c r="AZ326" s="36"/>
      <c r="BA326" s="36"/>
      <c r="BB326" s="36"/>
      <c r="BC326" s="36"/>
      <c r="BD326" s="36"/>
      <c r="BE326" s="36"/>
      <c r="BF326" s="36"/>
      <c r="BG326" s="36"/>
      <c r="BH326" s="36"/>
      <c r="BI326" s="36"/>
      <c r="BJ326" s="36"/>
      <c r="BK326" s="36"/>
      <c r="BL326" s="36"/>
      <c r="BM326" s="36"/>
      <c r="BN326" s="36"/>
      <c r="BO326" s="36"/>
      <c r="BP326" s="36"/>
      <c r="BQ326" s="36"/>
    </row>
    <row r="327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51"/>
      <c r="S327" s="51"/>
      <c r="T327" s="51"/>
      <c r="U327" s="51"/>
      <c r="V327" s="51"/>
      <c r="W327" s="51"/>
      <c r="X327" s="51"/>
      <c r="Y327" s="45"/>
      <c r="Z327" s="45"/>
      <c r="AA327" s="45"/>
      <c r="AB327" s="45"/>
      <c r="AC327" s="45"/>
      <c r="AD327" s="45"/>
      <c r="AE327" s="45"/>
      <c r="AF327" s="45"/>
      <c r="AG327" s="45"/>
      <c r="AH327" s="45"/>
      <c r="AI327" s="45"/>
      <c r="AJ327" s="45"/>
      <c r="AK327" s="45"/>
      <c r="AL327" s="45"/>
      <c r="AM327" s="45"/>
      <c r="AN327" s="45"/>
      <c r="AO327" s="45"/>
      <c r="AP327" s="45"/>
      <c r="AQ327" s="36"/>
      <c r="AR327" s="36"/>
      <c r="AS327" s="36"/>
      <c r="AT327" s="36"/>
      <c r="AU327" s="36"/>
      <c r="AV327" s="36"/>
      <c r="AW327" s="36"/>
      <c r="AX327" s="36"/>
      <c r="AY327" s="36"/>
      <c r="AZ327" s="36"/>
      <c r="BA327" s="36"/>
      <c r="BB327" s="36"/>
      <c r="BC327" s="36"/>
      <c r="BD327" s="36"/>
      <c r="BE327" s="36"/>
      <c r="BF327" s="36"/>
      <c r="BG327" s="36"/>
      <c r="BH327" s="36"/>
      <c r="BI327" s="36"/>
      <c r="BJ327" s="36"/>
      <c r="BK327" s="36"/>
      <c r="BL327" s="36"/>
      <c r="BM327" s="36"/>
      <c r="BN327" s="36"/>
      <c r="BO327" s="36"/>
      <c r="BP327" s="36"/>
      <c r="BQ327" s="36"/>
    </row>
    <row r="328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51"/>
      <c r="S328" s="51"/>
      <c r="T328" s="51"/>
      <c r="U328" s="51"/>
      <c r="V328" s="51"/>
      <c r="W328" s="51"/>
      <c r="X328" s="51"/>
      <c r="Y328" s="45"/>
      <c r="Z328" s="45"/>
      <c r="AA328" s="45"/>
      <c r="AB328" s="45"/>
      <c r="AC328" s="45"/>
      <c r="AD328" s="45"/>
      <c r="AE328" s="45"/>
      <c r="AF328" s="45"/>
      <c r="AG328" s="45"/>
      <c r="AH328" s="45"/>
      <c r="AI328" s="45"/>
      <c r="AJ328" s="45"/>
      <c r="AK328" s="45"/>
      <c r="AL328" s="45"/>
      <c r="AM328" s="45"/>
      <c r="AN328" s="45"/>
      <c r="AO328" s="45"/>
      <c r="AP328" s="45"/>
      <c r="AQ328" s="36"/>
      <c r="AR328" s="36"/>
      <c r="AS328" s="36"/>
      <c r="AT328" s="36"/>
      <c r="AU328" s="36"/>
      <c r="AV328" s="36"/>
      <c r="AW328" s="36"/>
      <c r="AX328" s="36"/>
      <c r="AY328" s="36"/>
      <c r="AZ328" s="36"/>
      <c r="BA328" s="36"/>
      <c r="BB328" s="36"/>
      <c r="BC328" s="36"/>
      <c r="BD328" s="36"/>
      <c r="BE328" s="36"/>
      <c r="BF328" s="36"/>
      <c r="BG328" s="36"/>
      <c r="BH328" s="36"/>
      <c r="BI328" s="36"/>
      <c r="BJ328" s="36"/>
      <c r="BK328" s="36"/>
      <c r="BL328" s="36"/>
      <c r="BM328" s="36"/>
      <c r="BN328" s="36"/>
      <c r="BO328" s="36"/>
      <c r="BP328" s="36"/>
      <c r="BQ328" s="36"/>
    </row>
    <row r="329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51"/>
      <c r="S329" s="51"/>
      <c r="T329" s="51"/>
      <c r="U329" s="51"/>
      <c r="V329" s="51"/>
      <c r="W329" s="51"/>
      <c r="X329" s="51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5"/>
      <c r="AM329" s="45"/>
      <c r="AN329" s="45"/>
      <c r="AO329" s="45"/>
      <c r="AP329" s="45"/>
      <c r="AQ329" s="36"/>
      <c r="AR329" s="36"/>
      <c r="AS329" s="36"/>
      <c r="AT329" s="36"/>
      <c r="AU329" s="36"/>
      <c r="AV329" s="36"/>
      <c r="AW329" s="36"/>
      <c r="AX329" s="36"/>
      <c r="AY329" s="36"/>
      <c r="AZ329" s="36"/>
      <c r="BA329" s="36"/>
      <c r="BB329" s="36"/>
      <c r="BC329" s="36"/>
      <c r="BD329" s="36"/>
      <c r="BE329" s="36"/>
      <c r="BF329" s="36"/>
      <c r="BG329" s="36"/>
      <c r="BH329" s="36"/>
      <c r="BI329" s="36"/>
      <c r="BJ329" s="36"/>
      <c r="BK329" s="36"/>
      <c r="BL329" s="36"/>
      <c r="BM329" s="36"/>
      <c r="BN329" s="36"/>
      <c r="BO329" s="36"/>
      <c r="BP329" s="36"/>
      <c r="BQ329" s="36"/>
    </row>
    <row r="330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51"/>
      <c r="S330" s="51"/>
      <c r="T330" s="51"/>
      <c r="U330" s="51"/>
      <c r="V330" s="51"/>
      <c r="W330" s="51"/>
      <c r="X330" s="51"/>
      <c r="Y330" s="45"/>
      <c r="Z330" s="45"/>
      <c r="AA330" s="45"/>
      <c r="AB330" s="45"/>
      <c r="AC330" s="45"/>
      <c r="AD330" s="45"/>
      <c r="AE330" s="45"/>
      <c r="AF330" s="45"/>
      <c r="AG330" s="45"/>
      <c r="AH330" s="45"/>
      <c r="AI330" s="45"/>
      <c r="AJ330" s="45"/>
      <c r="AK330" s="45"/>
      <c r="AL330" s="45"/>
      <c r="AM330" s="45"/>
      <c r="AN330" s="45"/>
      <c r="AO330" s="45"/>
      <c r="AP330" s="45"/>
      <c r="AQ330" s="36"/>
      <c r="AR330" s="36"/>
      <c r="AS330" s="36"/>
      <c r="AT330" s="36"/>
      <c r="AU330" s="36"/>
      <c r="AV330" s="36"/>
      <c r="AW330" s="36"/>
      <c r="AX330" s="36"/>
      <c r="AY330" s="36"/>
      <c r="AZ330" s="36"/>
      <c r="BA330" s="36"/>
      <c r="BB330" s="36"/>
      <c r="BC330" s="36"/>
      <c r="BD330" s="36"/>
      <c r="BE330" s="36"/>
      <c r="BF330" s="36"/>
      <c r="BG330" s="36"/>
      <c r="BH330" s="36"/>
      <c r="BI330" s="36"/>
      <c r="BJ330" s="36"/>
      <c r="BK330" s="36"/>
      <c r="BL330" s="36"/>
      <c r="BM330" s="36"/>
      <c r="BN330" s="36"/>
      <c r="BO330" s="36"/>
      <c r="BP330" s="36"/>
      <c r="BQ330" s="36"/>
    </row>
    <row r="33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51"/>
      <c r="S331" s="51"/>
      <c r="T331" s="51"/>
      <c r="U331" s="51"/>
      <c r="V331" s="51"/>
      <c r="W331" s="51"/>
      <c r="X331" s="51"/>
      <c r="Y331" s="45"/>
      <c r="Z331" s="45"/>
      <c r="AA331" s="45"/>
      <c r="AB331" s="45"/>
      <c r="AC331" s="45"/>
      <c r="AD331" s="45"/>
      <c r="AE331" s="45"/>
      <c r="AF331" s="45"/>
      <c r="AG331" s="45"/>
      <c r="AH331" s="45"/>
      <c r="AI331" s="45"/>
      <c r="AJ331" s="45"/>
      <c r="AK331" s="45"/>
      <c r="AL331" s="45"/>
      <c r="AM331" s="45"/>
      <c r="AN331" s="45"/>
      <c r="AO331" s="45"/>
      <c r="AP331" s="45"/>
      <c r="AQ331" s="36"/>
      <c r="AR331" s="36"/>
      <c r="AS331" s="36"/>
      <c r="AT331" s="36"/>
      <c r="AU331" s="36"/>
      <c r="AV331" s="36"/>
      <c r="AW331" s="36"/>
      <c r="AX331" s="36"/>
      <c r="AY331" s="36"/>
      <c r="AZ331" s="36"/>
      <c r="BA331" s="36"/>
      <c r="BB331" s="36"/>
      <c r="BC331" s="36"/>
      <c r="BD331" s="36"/>
      <c r="BE331" s="36"/>
      <c r="BF331" s="36"/>
      <c r="BG331" s="36"/>
      <c r="BH331" s="36"/>
      <c r="BI331" s="36"/>
      <c r="BJ331" s="36"/>
      <c r="BK331" s="36"/>
      <c r="BL331" s="36"/>
      <c r="BM331" s="36"/>
      <c r="BN331" s="36"/>
      <c r="BO331" s="36"/>
      <c r="BP331" s="36"/>
      <c r="BQ331" s="36"/>
    </row>
    <row r="332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51"/>
      <c r="S332" s="51"/>
      <c r="T332" s="51"/>
      <c r="U332" s="51"/>
      <c r="V332" s="51"/>
      <c r="W332" s="51"/>
      <c r="X332" s="51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5"/>
      <c r="AM332" s="45"/>
      <c r="AN332" s="45"/>
      <c r="AO332" s="45"/>
      <c r="AP332" s="45"/>
      <c r="AQ332" s="36"/>
      <c r="AR332" s="36"/>
      <c r="AS332" s="36"/>
      <c r="AT332" s="36"/>
      <c r="AU332" s="36"/>
      <c r="AV332" s="36"/>
      <c r="AW332" s="36"/>
      <c r="AX332" s="36"/>
      <c r="AY332" s="36"/>
      <c r="AZ332" s="36"/>
      <c r="BA332" s="36"/>
      <c r="BB332" s="36"/>
      <c r="BC332" s="36"/>
      <c r="BD332" s="36"/>
      <c r="BE332" s="36"/>
      <c r="BF332" s="36"/>
      <c r="BG332" s="36"/>
      <c r="BH332" s="36"/>
      <c r="BI332" s="36"/>
      <c r="BJ332" s="36"/>
      <c r="BK332" s="36"/>
      <c r="BL332" s="36"/>
      <c r="BM332" s="36"/>
      <c r="BN332" s="36"/>
      <c r="BO332" s="36"/>
      <c r="BP332" s="36"/>
      <c r="BQ332" s="36"/>
    </row>
    <row r="333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51"/>
      <c r="S333" s="51"/>
      <c r="T333" s="51"/>
      <c r="U333" s="51"/>
      <c r="V333" s="51"/>
      <c r="W333" s="51"/>
      <c r="X333" s="51"/>
      <c r="Y333" s="45"/>
      <c r="Z333" s="45"/>
      <c r="AA333" s="45"/>
      <c r="AB333" s="45"/>
      <c r="AC333" s="45"/>
      <c r="AD333" s="45"/>
      <c r="AE333" s="45"/>
      <c r="AF333" s="45"/>
      <c r="AG333" s="45"/>
      <c r="AH333" s="45"/>
      <c r="AI333" s="45"/>
      <c r="AJ333" s="45"/>
      <c r="AK333" s="45"/>
      <c r="AL333" s="45"/>
      <c r="AM333" s="45"/>
      <c r="AN333" s="45"/>
      <c r="AO333" s="45"/>
      <c r="AP333" s="45"/>
      <c r="AQ333" s="36"/>
      <c r="AR333" s="36"/>
      <c r="AS333" s="36"/>
      <c r="AT333" s="36"/>
      <c r="AU333" s="36"/>
      <c r="AV333" s="36"/>
      <c r="AW333" s="36"/>
      <c r="AX333" s="36"/>
      <c r="AY333" s="36"/>
      <c r="AZ333" s="36"/>
      <c r="BA333" s="36"/>
      <c r="BB333" s="36"/>
      <c r="BC333" s="36"/>
      <c r="BD333" s="36"/>
      <c r="BE333" s="36"/>
      <c r="BF333" s="36"/>
      <c r="BG333" s="36"/>
      <c r="BH333" s="36"/>
      <c r="BI333" s="36"/>
      <c r="BJ333" s="36"/>
      <c r="BK333" s="36"/>
      <c r="BL333" s="36"/>
      <c r="BM333" s="36"/>
      <c r="BN333" s="36"/>
      <c r="BO333" s="36"/>
      <c r="BP333" s="36"/>
      <c r="BQ333" s="36"/>
    </row>
    <row r="334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51"/>
      <c r="S334" s="51"/>
      <c r="T334" s="51"/>
      <c r="U334" s="51"/>
      <c r="V334" s="51"/>
      <c r="W334" s="51"/>
      <c r="X334" s="51"/>
      <c r="Y334" s="45"/>
      <c r="Z334" s="45"/>
      <c r="AA334" s="45"/>
      <c r="AB334" s="45"/>
      <c r="AC334" s="45"/>
      <c r="AD334" s="45"/>
      <c r="AE334" s="45"/>
      <c r="AF334" s="45"/>
      <c r="AG334" s="45"/>
      <c r="AH334" s="45"/>
      <c r="AI334" s="45"/>
      <c r="AJ334" s="45"/>
      <c r="AK334" s="45"/>
      <c r="AL334" s="45"/>
      <c r="AM334" s="45"/>
      <c r="AN334" s="45"/>
      <c r="AO334" s="45"/>
      <c r="AP334" s="45"/>
      <c r="AQ334" s="36"/>
      <c r="AR334" s="36"/>
      <c r="AS334" s="36"/>
      <c r="AT334" s="36"/>
      <c r="AU334" s="36"/>
      <c r="AV334" s="36"/>
      <c r="AW334" s="36"/>
      <c r="AX334" s="36"/>
      <c r="AY334" s="36"/>
      <c r="AZ334" s="36"/>
      <c r="BA334" s="36"/>
      <c r="BB334" s="36"/>
      <c r="BC334" s="36"/>
      <c r="BD334" s="36"/>
      <c r="BE334" s="36"/>
      <c r="BF334" s="36"/>
      <c r="BG334" s="36"/>
      <c r="BH334" s="36"/>
      <c r="BI334" s="36"/>
      <c r="BJ334" s="36"/>
      <c r="BK334" s="36"/>
      <c r="BL334" s="36"/>
      <c r="BM334" s="36"/>
      <c r="BN334" s="36"/>
      <c r="BO334" s="36"/>
      <c r="BP334" s="36"/>
      <c r="BQ334" s="36"/>
    </row>
    <row r="33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51"/>
      <c r="S335" s="51"/>
      <c r="T335" s="51"/>
      <c r="U335" s="51"/>
      <c r="V335" s="51"/>
      <c r="W335" s="51"/>
      <c r="X335" s="51"/>
      <c r="Y335" s="45"/>
      <c r="Z335" s="45"/>
      <c r="AA335" s="45"/>
      <c r="AB335" s="45"/>
      <c r="AC335" s="45"/>
      <c r="AD335" s="45"/>
      <c r="AE335" s="45"/>
      <c r="AF335" s="45"/>
      <c r="AG335" s="45"/>
      <c r="AH335" s="45"/>
      <c r="AI335" s="45"/>
      <c r="AJ335" s="45"/>
      <c r="AK335" s="45"/>
      <c r="AL335" s="45"/>
      <c r="AM335" s="45"/>
      <c r="AN335" s="45"/>
      <c r="AO335" s="45"/>
      <c r="AP335" s="45"/>
      <c r="AQ335" s="36"/>
      <c r="AR335" s="36"/>
      <c r="AS335" s="36"/>
      <c r="AT335" s="36"/>
      <c r="AU335" s="36"/>
      <c r="AV335" s="36"/>
      <c r="AW335" s="36"/>
      <c r="AX335" s="36"/>
      <c r="AY335" s="36"/>
      <c r="AZ335" s="36"/>
      <c r="BA335" s="36"/>
      <c r="BB335" s="36"/>
      <c r="BC335" s="36"/>
      <c r="BD335" s="36"/>
      <c r="BE335" s="36"/>
      <c r="BF335" s="36"/>
      <c r="BG335" s="36"/>
      <c r="BH335" s="36"/>
      <c r="BI335" s="36"/>
      <c r="BJ335" s="36"/>
      <c r="BK335" s="36"/>
      <c r="BL335" s="36"/>
      <c r="BM335" s="36"/>
      <c r="BN335" s="36"/>
      <c r="BO335" s="36"/>
      <c r="BP335" s="36"/>
      <c r="BQ335" s="36"/>
    </row>
    <row r="336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51"/>
      <c r="S336" s="51"/>
      <c r="T336" s="51"/>
      <c r="U336" s="51"/>
      <c r="V336" s="51"/>
      <c r="W336" s="51"/>
      <c r="X336" s="51"/>
      <c r="Y336" s="45"/>
      <c r="Z336" s="45"/>
      <c r="AA336" s="45"/>
      <c r="AB336" s="45"/>
      <c r="AC336" s="45"/>
      <c r="AD336" s="45"/>
      <c r="AE336" s="45"/>
      <c r="AF336" s="45"/>
      <c r="AG336" s="45"/>
      <c r="AH336" s="45"/>
      <c r="AI336" s="45"/>
      <c r="AJ336" s="45"/>
      <c r="AK336" s="45"/>
      <c r="AL336" s="45"/>
      <c r="AM336" s="45"/>
      <c r="AN336" s="45"/>
      <c r="AO336" s="45"/>
      <c r="AP336" s="45"/>
      <c r="AQ336" s="36"/>
      <c r="AR336" s="36"/>
      <c r="AS336" s="36"/>
      <c r="AT336" s="36"/>
      <c r="AU336" s="36"/>
      <c r="AV336" s="36"/>
      <c r="AW336" s="36"/>
      <c r="AX336" s="36"/>
      <c r="AY336" s="36"/>
      <c r="AZ336" s="36"/>
      <c r="BA336" s="36"/>
      <c r="BB336" s="36"/>
      <c r="BC336" s="36"/>
      <c r="BD336" s="36"/>
      <c r="BE336" s="36"/>
      <c r="BF336" s="36"/>
      <c r="BG336" s="36"/>
      <c r="BH336" s="36"/>
      <c r="BI336" s="36"/>
      <c r="BJ336" s="36"/>
      <c r="BK336" s="36"/>
      <c r="BL336" s="36"/>
      <c r="BM336" s="36"/>
      <c r="BN336" s="36"/>
      <c r="BO336" s="36"/>
      <c r="BP336" s="36"/>
      <c r="BQ336" s="36"/>
    </row>
    <row r="337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51"/>
      <c r="S337" s="51"/>
      <c r="T337" s="51"/>
      <c r="U337" s="51"/>
      <c r="V337" s="51"/>
      <c r="W337" s="51"/>
      <c r="X337" s="51"/>
      <c r="Y337" s="45"/>
      <c r="Z337" s="45"/>
      <c r="AA337" s="45"/>
      <c r="AB337" s="45"/>
      <c r="AC337" s="45"/>
      <c r="AD337" s="45"/>
      <c r="AE337" s="45"/>
      <c r="AF337" s="45"/>
      <c r="AG337" s="45"/>
      <c r="AH337" s="45"/>
      <c r="AI337" s="45"/>
      <c r="AJ337" s="45"/>
      <c r="AK337" s="45"/>
      <c r="AL337" s="45"/>
      <c r="AM337" s="45"/>
      <c r="AN337" s="45"/>
      <c r="AO337" s="45"/>
      <c r="AP337" s="45"/>
      <c r="AQ337" s="36"/>
      <c r="AR337" s="36"/>
      <c r="AS337" s="36"/>
      <c r="AT337" s="36"/>
      <c r="AU337" s="36"/>
      <c r="AV337" s="36"/>
      <c r="AW337" s="36"/>
      <c r="AX337" s="36"/>
      <c r="AY337" s="36"/>
      <c r="AZ337" s="36"/>
      <c r="BA337" s="36"/>
      <c r="BB337" s="36"/>
      <c r="BC337" s="36"/>
      <c r="BD337" s="36"/>
      <c r="BE337" s="36"/>
      <c r="BF337" s="36"/>
      <c r="BG337" s="36"/>
      <c r="BH337" s="36"/>
      <c r="BI337" s="36"/>
      <c r="BJ337" s="36"/>
      <c r="BK337" s="36"/>
      <c r="BL337" s="36"/>
      <c r="BM337" s="36"/>
      <c r="BN337" s="36"/>
      <c r="BO337" s="36"/>
      <c r="BP337" s="36"/>
      <c r="BQ337" s="36"/>
    </row>
    <row r="338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51"/>
      <c r="S338" s="51"/>
      <c r="T338" s="51"/>
      <c r="U338" s="51"/>
      <c r="V338" s="51"/>
      <c r="W338" s="51"/>
      <c r="X338" s="51"/>
      <c r="Y338" s="45"/>
      <c r="Z338" s="45"/>
      <c r="AA338" s="45"/>
      <c r="AB338" s="45"/>
      <c r="AC338" s="45"/>
      <c r="AD338" s="45"/>
      <c r="AE338" s="45"/>
      <c r="AF338" s="45"/>
      <c r="AG338" s="45"/>
      <c r="AH338" s="45"/>
      <c r="AI338" s="45"/>
      <c r="AJ338" s="45"/>
      <c r="AK338" s="45"/>
      <c r="AL338" s="45"/>
      <c r="AM338" s="45"/>
      <c r="AN338" s="45"/>
      <c r="AO338" s="45"/>
      <c r="AP338" s="45"/>
      <c r="AQ338" s="36"/>
      <c r="AR338" s="36"/>
      <c r="AS338" s="36"/>
      <c r="AT338" s="36"/>
      <c r="AU338" s="36"/>
      <c r="AV338" s="36"/>
      <c r="AW338" s="36"/>
      <c r="AX338" s="36"/>
      <c r="AY338" s="36"/>
      <c r="AZ338" s="36"/>
      <c r="BA338" s="36"/>
      <c r="BB338" s="36"/>
      <c r="BC338" s="36"/>
      <c r="BD338" s="36"/>
      <c r="BE338" s="36"/>
      <c r="BF338" s="36"/>
      <c r="BG338" s="36"/>
      <c r="BH338" s="36"/>
      <c r="BI338" s="36"/>
      <c r="BJ338" s="36"/>
      <c r="BK338" s="36"/>
      <c r="BL338" s="36"/>
      <c r="BM338" s="36"/>
      <c r="BN338" s="36"/>
      <c r="BO338" s="36"/>
      <c r="BP338" s="36"/>
      <c r="BQ338" s="36"/>
    </row>
    <row r="339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51"/>
      <c r="S339" s="53"/>
      <c r="T339" s="53"/>
      <c r="U339" s="51"/>
      <c r="V339" s="51"/>
      <c r="W339" s="51"/>
      <c r="X339" s="51"/>
      <c r="Y339" s="45"/>
      <c r="Z339" s="45"/>
      <c r="AA339" s="45"/>
      <c r="AB339" s="45"/>
      <c r="AC339" s="45"/>
      <c r="AD339" s="45"/>
      <c r="AE339" s="45"/>
      <c r="AF339" s="45"/>
      <c r="AG339" s="45"/>
      <c r="AH339" s="45"/>
      <c r="AI339" s="45"/>
      <c r="AJ339" s="45"/>
      <c r="AK339" s="45"/>
      <c r="AL339" s="45"/>
      <c r="AM339" s="45"/>
      <c r="AN339" s="45"/>
      <c r="AO339" s="45"/>
      <c r="AP339" s="45"/>
      <c r="AQ339" s="36"/>
      <c r="AR339" s="36"/>
      <c r="AS339" s="36"/>
      <c r="AT339" s="36"/>
      <c r="AU339" s="36"/>
      <c r="AV339" s="36"/>
      <c r="AW339" s="36"/>
      <c r="AX339" s="36"/>
      <c r="AY339" s="36"/>
      <c r="AZ339" s="36"/>
      <c r="BA339" s="36"/>
      <c r="BB339" s="36"/>
      <c r="BC339" s="36"/>
      <c r="BD339" s="36"/>
      <c r="BE339" s="36"/>
      <c r="BF339" s="36"/>
      <c r="BG339" s="36"/>
      <c r="BH339" s="36"/>
      <c r="BI339" s="36"/>
      <c r="BJ339" s="36"/>
      <c r="BK339" s="36"/>
      <c r="BL339" s="36"/>
      <c r="BM339" s="36"/>
      <c r="BN339" s="36"/>
      <c r="BO339" s="36"/>
      <c r="BP339" s="36"/>
      <c r="BQ339" s="36"/>
    </row>
    <row r="340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51"/>
      <c r="S340" s="51"/>
      <c r="T340" s="51"/>
      <c r="U340" s="51"/>
      <c r="V340" s="51"/>
      <c r="W340" s="51"/>
      <c r="X340" s="51"/>
      <c r="Y340" s="45"/>
      <c r="Z340" s="45"/>
      <c r="AA340" s="45"/>
      <c r="AB340" s="45"/>
      <c r="AC340" s="45"/>
      <c r="AD340" s="45"/>
      <c r="AE340" s="45"/>
      <c r="AF340" s="45"/>
      <c r="AG340" s="45"/>
      <c r="AH340" s="45"/>
      <c r="AI340" s="45"/>
      <c r="AJ340" s="45"/>
      <c r="AK340" s="45"/>
      <c r="AL340" s="45"/>
      <c r="AM340" s="45"/>
      <c r="AN340" s="45"/>
      <c r="AO340" s="45"/>
      <c r="AP340" s="45"/>
      <c r="AQ340" s="36"/>
      <c r="AR340" s="36"/>
      <c r="AS340" s="36"/>
      <c r="AT340" s="36"/>
      <c r="AU340" s="36"/>
      <c r="AV340" s="36"/>
      <c r="AW340" s="36"/>
      <c r="AX340" s="36"/>
      <c r="AY340" s="36"/>
      <c r="AZ340" s="36"/>
      <c r="BA340" s="36"/>
      <c r="BB340" s="36"/>
      <c r="BC340" s="36"/>
      <c r="BD340" s="36"/>
      <c r="BE340" s="36"/>
      <c r="BF340" s="36"/>
      <c r="BG340" s="36"/>
      <c r="BH340" s="36"/>
      <c r="BI340" s="36"/>
      <c r="BJ340" s="36"/>
      <c r="BK340" s="36"/>
      <c r="BL340" s="36"/>
      <c r="BM340" s="36"/>
      <c r="BN340" s="36"/>
      <c r="BO340" s="36"/>
      <c r="BP340" s="36"/>
      <c r="BQ340" s="36"/>
    </row>
    <row r="34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51"/>
      <c r="S341" s="51"/>
      <c r="T341" s="51"/>
      <c r="U341" s="51"/>
      <c r="V341" s="51"/>
      <c r="W341" s="51"/>
      <c r="X341" s="51"/>
      <c r="Y341" s="45"/>
      <c r="Z341" s="45"/>
      <c r="AA341" s="45"/>
      <c r="AB341" s="45"/>
      <c r="AC341" s="45"/>
      <c r="AD341" s="45"/>
      <c r="AE341" s="45"/>
      <c r="AF341" s="45"/>
      <c r="AG341" s="45"/>
      <c r="AH341" s="45"/>
      <c r="AI341" s="45"/>
      <c r="AJ341" s="45"/>
      <c r="AK341" s="45"/>
      <c r="AL341" s="45"/>
      <c r="AM341" s="45"/>
      <c r="AN341" s="45"/>
      <c r="AO341" s="45"/>
      <c r="AP341" s="45"/>
      <c r="AQ341" s="36"/>
      <c r="AR341" s="36"/>
      <c r="AS341" s="36"/>
      <c r="AT341" s="36"/>
      <c r="AU341" s="36"/>
      <c r="AV341" s="36"/>
      <c r="AW341" s="36"/>
      <c r="AX341" s="36"/>
      <c r="AY341" s="36"/>
      <c r="AZ341" s="36"/>
      <c r="BA341" s="36"/>
      <c r="BB341" s="36"/>
      <c r="BC341" s="36"/>
      <c r="BD341" s="36"/>
      <c r="BE341" s="36"/>
      <c r="BF341" s="36"/>
      <c r="BG341" s="36"/>
      <c r="BH341" s="36"/>
      <c r="BI341" s="36"/>
      <c r="BJ341" s="36"/>
      <c r="BK341" s="36"/>
      <c r="BL341" s="36"/>
      <c r="BM341" s="36"/>
      <c r="BN341" s="36"/>
      <c r="BO341" s="36"/>
      <c r="BP341" s="36"/>
      <c r="BQ341" s="36"/>
    </row>
    <row r="342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51"/>
      <c r="S342" s="51"/>
      <c r="T342" s="51"/>
      <c r="U342" s="51"/>
      <c r="V342" s="51"/>
      <c r="W342" s="51"/>
      <c r="X342" s="51"/>
      <c r="Y342" s="45"/>
      <c r="Z342" s="45"/>
      <c r="AA342" s="45"/>
      <c r="AB342" s="45"/>
      <c r="AC342" s="45"/>
      <c r="AD342" s="45"/>
      <c r="AE342" s="45"/>
      <c r="AF342" s="45"/>
      <c r="AG342" s="45"/>
      <c r="AH342" s="45"/>
      <c r="AI342" s="45"/>
      <c r="AJ342" s="45"/>
      <c r="AK342" s="45"/>
      <c r="AL342" s="45"/>
      <c r="AM342" s="45"/>
      <c r="AN342" s="45"/>
      <c r="AO342" s="45"/>
      <c r="AP342" s="45"/>
      <c r="AQ342" s="36"/>
      <c r="AR342" s="36"/>
      <c r="AS342" s="36"/>
      <c r="AT342" s="36"/>
      <c r="AU342" s="36"/>
      <c r="AV342" s="36"/>
      <c r="AW342" s="36"/>
      <c r="AX342" s="36"/>
      <c r="AY342" s="36"/>
      <c r="AZ342" s="36"/>
      <c r="BA342" s="36"/>
      <c r="BB342" s="36"/>
      <c r="BC342" s="36"/>
      <c r="BD342" s="36"/>
      <c r="BE342" s="36"/>
      <c r="BF342" s="36"/>
      <c r="BG342" s="36"/>
      <c r="BH342" s="36"/>
      <c r="BI342" s="36"/>
      <c r="BJ342" s="36"/>
      <c r="BK342" s="36"/>
      <c r="BL342" s="36"/>
      <c r="BM342" s="36"/>
      <c r="BN342" s="36"/>
      <c r="BO342" s="36"/>
      <c r="BP342" s="36"/>
      <c r="BQ342" s="36"/>
    </row>
    <row r="343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51"/>
      <c r="S343" s="51"/>
      <c r="T343" s="51"/>
      <c r="U343" s="51"/>
      <c r="V343" s="51"/>
      <c r="W343" s="51"/>
      <c r="X343" s="51"/>
      <c r="Y343" s="45"/>
      <c r="Z343" s="45"/>
      <c r="AA343" s="45"/>
      <c r="AB343" s="45"/>
      <c r="AC343" s="45"/>
      <c r="AD343" s="45"/>
      <c r="AE343" s="45"/>
      <c r="AF343" s="45"/>
      <c r="AG343" s="45"/>
      <c r="AH343" s="45"/>
      <c r="AI343" s="45"/>
      <c r="AJ343" s="45"/>
      <c r="AK343" s="45"/>
      <c r="AL343" s="45"/>
      <c r="AM343" s="45"/>
      <c r="AN343" s="45"/>
      <c r="AO343" s="45"/>
      <c r="AP343" s="45"/>
      <c r="AQ343" s="36"/>
      <c r="AR343" s="36"/>
      <c r="AS343" s="36"/>
      <c r="AT343" s="36"/>
      <c r="AU343" s="36"/>
      <c r="AV343" s="36"/>
      <c r="AW343" s="36"/>
      <c r="AX343" s="36"/>
      <c r="AY343" s="36"/>
      <c r="AZ343" s="36"/>
      <c r="BA343" s="36"/>
      <c r="BB343" s="36"/>
      <c r="BC343" s="36"/>
      <c r="BD343" s="36"/>
      <c r="BE343" s="36"/>
      <c r="BF343" s="36"/>
      <c r="BG343" s="36"/>
      <c r="BH343" s="36"/>
      <c r="BI343" s="36"/>
      <c r="BJ343" s="36"/>
      <c r="BK343" s="36"/>
      <c r="BL343" s="36"/>
      <c r="BM343" s="36"/>
      <c r="BN343" s="36"/>
      <c r="BO343" s="36"/>
      <c r="BP343" s="36"/>
      <c r="BQ343" s="36"/>
    </row>
    <row r="344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51"/>
      <c r="S344" s="51"/>
      <c r="T344" s="51"/>
      <c r="U344" s="51"/>
      <c r="V344" s="51"/>
      <c r="W344" s="51"/>
      <c r="X344" s="51"/>
      <c r="Y344" s="45"/>
      <c r="Z344" s="45"/>
      <c r="AA344" s="45"/>
      <c r="AB344" s="45"/>
      <c r="AC344" s="45"/>
      <c r="AD344" s="45"/>
      <c r="AE344" s="45"/>
      <c r="AF344" s="45"/>
      <c r="AG344" s="45"/>
      <c r="AH344" s="45"/>
      <c r="AI344" s="45"/>
      <c r="AJ344" s="45"/>
      <c r="AK344" s="45"/>
      <c r="AL344" s="45"/>
      <c r="AM344" s="45"/>
      <c r="AN344" s="45"/>
      <c r="AO344" s="45"/>
      <c r="AP344" s="45"/>
      <c r="AQ344" s="36"/>
      <c r="AR344" s="36"/>
      <c r="AS344" s="36"/>
      <c r="AT344" s="36"/>
      <c r="AU344" s="36"/>
      <c r="AV344" s="36"/>
      <c r="AW344" s="36"/>
      <c r="AX344" s="36"/>
      <c r="AY344" s="36"/>
      <c r="AZ344" s="36"/>
      <c r="BA344" s="36"/>
      <c r="BB344" s="36"/>
      <c r="BC344" s="36"/>
      <c r="BD344" s="36"/>
      <c r="BE344" s="36"/>
      <c r="BF344" s="36"/>
      <c r="BG344" s="36"/>
      <c r="BH344" s="36"/>
      <c r="BI344" s="36"/>
      <c r="BJ344" s="36"/>
      <c r="BK344" s="36"/>
      <c r="BL344" s="36"/>
      <c r="BM344" s="36"/>
      <c r="BN344" s="36"/>
      <c r="BO344" s="36"/>
      <c r="BP344" s="36"/>
      <c r="BQ344" s="36"/>
    </row>
    <row r="34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51"/>
      <c r="S345" s="51"/>
      <c r="T345" s="51"/>
      <c r="U345" s="51"/>
      <c r="V345" s="51"/>
      <c r="W345" s="51"/>
      <c r="X345" s="51"/>
      <c r="Y345" s="45"/>
      <c r="Z345" s="45"/>
      <c r="AA345" s="45"/>
      <c r="AB345" s="45"/>
      <c r="AC345" s="45"/>
      <c r="AD345" s="45"/>
      <c r="AE345" s="45"/>
      <c r="AF345" s="45"/>
      <c r="AG345" s="45"/>
      <c r="AH345" s="45"/>
      <c r="AI345" s="45"/>
      <c r="AJ345" s="45"/>
      <c r="AK345" s="45"/>
      <c r="AL345" s="45"/>
      <c r="AM345" s="45"/>
      <c r="AN345" s="45"/>
      <c r="AO345" s="45"/>
      <c r="AP345" s="45"/>
      <c r="AQ345" s="36"/>
      <c r="AR345" s="36"/>
      <c r="AS345" s="36"/>
      <c r="AT345" s="36"/>
      <c r="AU345" s="36"/>
      <c r="AV345" s="36"/>
      <c r="AW345" s="36"/>
      <c r="AX345" s="36"/>
      <c r="AY345" s="36"/>
      <c r="AZ345" s="36"/>
      <c r="BA345" s="36"/>
      <c r="BB345" s="36"/>
      <c r="BC345" s="36"/>
      <c r="BD345" s="36"/>
      <c r="BE345" s="36"/>
      <c r="BF345" s="36"/>
      <c r="BG345" s="36"/>
      <c r="BH345" s="36"/>
      <c r="BI345" s="36"/>
      <c r="BJ345" s="36"/>
      <c r="BK345" s="36"/>
      <c r="BL345" s="36"/>
      <c r="BM345" s="36"/>
      <c r="BN345" s="36"/>
      <c r="BO345" s="36"/>
      <c r="BP345" s="36"/>
      <c r="BQ345" s="36"/>
    </row>
    <row r="346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51"/>
      <c r="S346" s="51"/>
      <c r="T346" s="51"/>
      <c r="U346" s="51"/>
      <c r="V346" s="51"/>
      <c r="W346" s="51"/>
      <c r="X346" s="51"/>
      <c r="Y346" s="45"/>
      <c r="Z346" s="45"/>
      <c r="AA346" s="45"/>
      <c r="AB346" s="45"/>
      <c r="AC346" s="45"/>
      <c r="AD346" s="45"/>
      <c r="AE346" s="45"/>
      <c r="AF346" s="45"/>
      <c r="AG346" s="45"/>
      <c r="AH346" s="45"/>
      <c r="AI346" s="45"/>
      <c r="AJ346" s="45"/>
      <c r="AK346" s="45"/>
      <c r="AL346" s="45"/>
      <c r="AM346" s="45"/>
      <c r="AN346" s="45"/>
      <c r="AO346" s="45"/>
      <c r="AP346" s="45"/>
      <c r="AQ346" s="36"/>
      <c r="AR346" s="36"/>
      <c r="AS346" s="36"/>
      <c r="AT346" s="36"/>
      <c r="AU346" s="36"/>
      <c r="AV346" s="36"/>
      <c r="AW346" s="36"/>
      <c r="AX346" s="36"/>
      <c r="AY346" s="36"/>
      <c r="AZ346" s="36"/>
      <c r="BA346" s="36"/>
      <c r="BB346" s="36"/>
      <c r="BC346" s="36"/>
      <c r="BD346" s="36"/>
      <c r="BE346" s="36"/>
      <c r="BF346" s="36"/>
      <c r="BG346" s="36"/>
      <c r="BH346" s="36"/>
      <c r="BI346" s="36"/>
      <c r="BJ346" s="36"/>
      <c r="BK346" s="36"/>
      <c r="BL346" s="36"/>
      <c r="BM346" s="36"/>
      <c r="BN346" s="36"/>
      <c r="BO346" s="36"/>
      <c r="BP346" s="36"/>
      <c r="BQ346" s="36"/>
    </row>
    <row r="347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51"/>
      <c r="S347" s="51"/>
      <c r="T347" s="51"/>
      <c r="U347" s="51"/>
      <c r="V347" s="51"/>
      <c r="W347" s="51"/>
      <c r="X347" s="51"/>
      <c r="Y347" s="45"/>
      <c r="Z347" s="45"/>
      <c r="AA347" s="45"/>
      <c r="AB347" s="45"/>
      <c r="AC347" s="45"/>
      <c r="AD347" s="45"/>
      <c r="AE347" s="45"/>
      <c r="AF347" s="45"/>
      <c r="AG347" s="45"/>
      <c r="AH347" s="45"/>
      <c r="AI347" s="45"/>
      <c r="AJ347" s="45"/>
      <c r="AK347" s="45"/>
      <c r="AL347" s="45"/>
      <c r="AM347" s="45"/>
      <c r="AN347" s="45"/>
      <c r="AO347" s="45"/>
      <c r="AP347" s="45"/>
      <c r="AQ347" s="36"/>
      <c r="AR347" s="36"/>
      <c r="AS347" s="36"/>
      <c r="AT347" s="36"/>
      <c r="AU347" s="36"/>
      <c r="AV347" s="36"/>
      <c r="AW347" s="36"/>
      <c r="AX347" s="36"/>
      <c r="AY347" s="36"/>
      <c r="AZ347" s="36"/>
      <c r="BA347" s="36"/>
      <c r="BB347" s="36"/>
      <c r="BC347" s="36"/>
      <c r="BD347" s="36"/>
      <c r="BE347" s="36"/>
      <c r="BF347" s="36"/>
      <c r="BG347" s="36"/>
      <c r="BH347" s="36"/>
      <c r="BI347" s="36"/>
      <c r="BJ347" s="36"/>
      <c r="BK347" s="36"/>
      <c r="BL347" s="36"/>
      <c r="BM347" s="36"/>
      <c r="BN347" s="36"/>
      <c r="BO347" s="36"/>
      <c r="BP347" s="36"/>
      <c r="BQ347" s="36"/>
    </row>
    <row r="348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51"/>
      <c r="S348" s="51"/>
      <c r="T348" s="51"/>
      <c r="U348" s="51"/>
      <c r="V348" s="51"/>
      <c r="W348" s="51"/>
      <c r="X348" s="51"/>
      <c r="Y348" s="45"/>
      <c r="Z348" s="45"/>
      <c r="AA348" s="45"/>
      <c r="AB348" s="45"/>
      <c r="AC348" s="45"/>
      <c r="AD348" s="45"/>
      <c r="AE348" s="45"/>
      <c r="AF348" s="45"/>
      <c r="AG348" s="45"/>
      <c r="AH348" s="45"/>
      <c r="AI348" s="45"/>
      <c r="AJ348" s="45"/>
      <c r="AK348" s="45"/>
      <c r="AL348" s="45"/>
      <c r="AM348" s="45"/>
      <c r="AN348" s="45"/>
      <c r="AO348" s="45"/>
      <c r="AP348" s="45"/>
      <c r="AQ348" s="36"/>
      <c r="AR348" s="36"/>
      <c r="AS348" s="36"/>
      <c r="AT348" s="36"/>
      <c r="AU348" s="36"/>
      <c r="AV348" s="36"/>
      <c r="AW348" s="36"/>
      <c r="AX348" s="36"/>
      <c r="AY348" s="36"/>
      <c r="AZ348" s="36"/>
      <c r="BA348" s="36"/>
      <c r="BB348" s="36"/>
      <c r="BC348" s="36"/>
      <c r="BD348" s="36"/>
      <c r="BE348" s="36"/>
      <c r="BF348" s="36"/>
      <c r="BG348" s="36"/>
      <c r="BH348" s="36"/>
      <c r="BI348" s="36"/>
      <c r="BJ348" s="36"/>
      <c r="BK348" s="36"/>
      <c r="BL348" s="36"/>
      <c r="BM348" s="36"/>
      <c r="BN348" s="36"/>
      <c r="BO348" s="36"/>
      <c r="BP348" s="36"/>
      <c r="BQ348" s="36"/>
    </row>
    <row r="349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51"/>
      <c r="S349" s="51"/>
      <c r="T349" s="51"/>
      <c r="U349" s="51"/>
      <c r="V349" s="51"/>
      <c r="W349" s="51"/>
      <c r="X349" s="51"/>
      <c r="Y349" s="45"/>
      <c r="Z349" s="45"/>
      <c r="AA349" s="45"/>
      <c r="AB349" s="45"/>
      <c r="AC349" s="45"/>
      <c r="AD349" s="45"/>
      <c r="AE349" s="45"/>
      <c r="AF349" s="45"/>
      <c r="AG349" s="45"/>
      <c r="AH349" s="45"/>
      <c r="AI349" s="45"/>
      <c r="AJ349" s="45"/>
      <c r="AK349" s="45"/>
      <c r="AL349" s="45"/>
      <c r="AM349" s="45"/>
      <c r="AN349" s="45"/>
      <c r="AO349" s="45"/>
      <c r="AP349" s="45"/>
      <c r="AQ349" s="36"/>
      <c r="AR349" s="36"/>
      <c r="AS349" s="36"/>
      <c r="AT349" s="36"/>
      <c r="AU349" s="36"/>
      <c r="AV349" s="36"/>
      <c r="AW349" s="36"/>
      <c r="AX349" s="36"/>
      <c r="AY349" s="36"/>
      <c r="AZ349" s="36"/>
      <c r="BA349" s="36"/>
      <c r="BB349" s="36"/>
      <c r="BC349" s="36"/>
      <c r="BD349" s="36"/>
      <c r="BE349" s="36"/>
      <c r="BF349" s="36"/>
      <c r="BG349" s="36"/>
      <c r="BH349" s="36"/>
      <c r="BI349" s="36"/>
      <c r="BJ349" s="36"/>
      <c r="BK349" s="36"/>
      <c r="BL349" s="36"/>
      <c r="BM349" s="36"/>
      <c r="BN349" s="36"/>
      <c r="BO349" s="36"/>
      <c r="BP349" s="36"/>
      <c r="BQ349" s="36"/>
    </row>
    <row r="350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51"/>
      <c r="S350" s="51"/>
      <c r="T350" s="51"/>
      <c r="U350" s="51"/>
      <c r="V350" s="51"/>
      <c r="W350" s="51"/>
      <c r="X350" s="51"/>
      <c r="Y350" s="45"/>
      <c r="Z350" s="45"/>
      <c r="AA350" s="45"/>
      <c r="AB350" s="45"/>
      <c r="AC350" s="45"/>
      <c r="AD350" s="45"/>
      <c r="AE350" s="45"/>
      <c r="AF350" s="45"/>
      <c r="AG350" s="45"/>
      <c r="AH350" s="45"/>
      <c r="AI350" s="45"/>
      <c r="AJ350" s="45"/>
      <c r="AK350" s="45"/>
      <c r="AL350" s="45"/>
      <c r="AM350" s="45"/>
      <c r="AN350" s="45"/>
      <c r="AO350" s="45"/>
      <c r="AP350" s="45"/>
      <c r="AQ350" s="36"/>
      <c r="AR350" s="36"/>
      <c r="AS350" s="36"/>
      <c r="AT350" s="36"/>
      <c r="AU350" s="36"/>
      <c r="AV350" s="36"/>
      <c r="AW350" s="36"/>
      <c r="AX350" s="36"/>
      <c r="AY350" s="36"/>
      <c r="AZ350" s="36"/>
      <c r="BA350" s="36"/>
      <c r="BB350" s="36"/>
      <c r="BC350" s="36"/>
      <c r="BD350" s="36"/>
      <c r="BE350" s="36"/>
      <c r="BF350" s="36"/>
      <c r="BG350" s="36"/>
      <c r="BH350" s="36"/>
      <c r="BI350" s="36"/>
      <c r="BJ350" s="36"/>
      <c r="BK350" s="36"/>
      <c r="BL350" s="36"/>
      <c r="BM350" s="36"/>
      <c r="BN350" s="36"/>
      <c r="BO350" s="36"/>
      <c r="BP350" s="36"/>
      <c r="BQ350" s="36"/>
    </row>
    <row r="35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51"/>
      <c r="S351" s="51"/>
      <c r="T351" s="51"/>
      <c r="U351" s="51"/>
      <c r="V351" s="51"/>
      <c r="W351" s="51"/>
      <c r="X351" s="51"/>
      <c r="Y351" s="45"/>
      <c r="Z351" s="45"/>
      <c r="AA351" s="45"/>
      <c r="AB351" s="45"/>
      <c r="AC351" s="45"/>
      <c r="AD351" s="45"/>
      <c r="AE351" s="45"/>
      <c r="AF351" s="45"/>
      <c r="AG351" s="45"/>
      <c r="AH351" s="45"/>
      <c r="AI351" s="45"/>
      <c r="AJ351" s="45"/>
      <c r="AK351" s="45"/>
      <c r="AL351" s="45"/>
      <c r="AM351" s="45"/>
      <c r="AN351" s="45"/>
      <c r="AO351" s="45"/>
      <c r="AP351" s="45"/>
      <c r="AQ351" s="36"/>
      <c r="AR351" s="36"/>
      <c r="AS351" s="36"/>
      <c r="AT351" s="36"/>
      <c r="AU351" s="36"/>
      <c r="AV351" s="36"/>
      <c r="AW351" s="36"/>
      <c r="AX351" s="36"/>
      <c r="AY351" s="36"/>
      <c r="AZ351" s="36"/>
      <c r="BA351" s="36"/>
      <c r="BB351" s="36"/>
      <c r="BC351" s="36"/>
      <c r="BD351" s="36"/>
      <c r="BE351" s="36"/>
      <c r="BF351" s="36"/>
      <c r="BG351" s="36"/>
      <c r="BH351" s="36"/>
      <c r="BI351" s="36"/>
      <c r="BJ351" s="36"/>
      <c r="BK351" s="36"/>
      <c r="BL351" s="36"/>
      <c r="BM351" s="36"/>
      <c r="BN351" s="36"/>
      <c r="BO351" s="36"/>
      <c r="BP351" s="36"/>
      <c r="BQ351" s="36"/>
    </row>
    <row r="352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51"/>
      <c r="S352" s="51"/>
      <c r="T352" s="51"/>
      <c r="U352" s="51"/>
      <c r="V352" s="51"/>
      <c r="W352" s="51"/>
      <c r="X352" s="51"/>
      <c r="Y352" s="45"/>
      <c r="Z352" s="45"/>
      <c r="AA352" s="45"/>
      <c r="AB352" s="45"/>
      <c r="AC352" s="45"/>
      <c r="AD352" s="45"/>
      <c r="AE352" s="45"/>
      <c r="AF352" s="45"/>
      <c r="AG352" s="45"/>
      <c r="AH352" s="45"/>
      <c r="AI352" s="45"/>
      <c r="AJ352" s="45"/>
      <c r="AK352" s="45"/>
      <c r="AL352" s="45"/>
      <c r="AM352" s="45"/>
      <c r="AN352" s="45"/>
      <c r="AO352" s="45"/>
      <c r="AP352" s="45"/>
      <c r="AQ352" s="36"/>
      <c r="AR352" s="36"/>
      <c r="AS352" s="36"/>
      <c r="AT352" s="36"/>
      <c r="AU352" s="36"/>
      <c r="AV352" s="36"/>
      <c r="AW352" s="36"/>
      <c r="AX352" s="36"/>
      <c r="AY352" s="36"/>
      <c r="AZ352" s="36"/>
      <c r="BA352" s="36"/>
      <c r="BB352" s="36"/>
      <c r="BC352" s="36"/>
      <c r="BD352" s="36"/>
      <c r="BE352" s="36"/>
      <c r="BF352" s="36"/>
      <c r="BG352" s="36"/>
      <c r="BH352" s="36"/>
      <c r="BI352" s="36"/>
      <c r="BJ352" s="36"/>
      <c r="BK352" s="36"/>
      <c r="BL352" s="36"/>
      <c r="BM352" s="36"/>
      <c r="BN352" s="36"/>
      <c r="BO352" s="36"/>
      <c r="BP352" s="36"/>
      <c r="BQ352" s="36"/>
    </row>
    <row r="353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51"/>
      <c r="S353" s="51"/>
      <c r="T353" s="51"/>
      <c r="U353" s="51"/>
      <c r="V353" s="51"/>
      <c r="W353" s="51"/>
      <c r="X353" s="51"/>
      <c r="Y353" s="45"/>
      <c r="Z353" s="45"/>
      <c r="AA353" s="45"/>
      <c r="AB353" s="45"/>
      <c r="AC353" s="45"/>
      <c r="AD353" s="45"/>
      <c r="AE353" s="45"/>
      <c r="AF353" s="45"/>
      <c r="AG353" s="45"/>
      <c r="AH353" s="45"/>
      <c r="AI353" s="45"/>
      <c r="AJ353" s="45"/>
      <c r="AK353" s="45"/>
      <c r="AL353" s="45"/>
      <c r="AM353" s="45"/>
      <c r="AN353" s="45"/>
      <c r="AO353" s="45"/>
      <c r="AP353" s="45"/>
      <c r="AQ353" s="36"/>
      <c r="AR353" s="36"/>
      <c r="AS353" s="36"/>
      <c r="AT353" s="36"/>
      <c r="AU353" s="36"/>
      <c r="AV353" s="36"/>
      <c r="AW353" s="36"/>
      <c r="AX353" s="36"/>
      <c r="AY353" s="36"/>
      <c r="AZ353" s="36"/>
      <c r="BA353" s="36"/>
      <c r="BB353" s="36"/>
      <c r="BC353" s="36"/>
      <c r="BD353" s="36"/>
      <c r="BE353" s="36"/>
      <c r="BF353" s="36"/>
      <c r="BG353" s="36"/>
      <c r="BH353" s="36"/>
      <c r="BI353" s="36"/>
      <c r="BJ353" s="36"/>
      <c r="BK353" s="36"/>
      <c r="BL353" s="36"/>
      <c r="BM353" s="36"/>
      <c r="BN353" s="36"/>
      <c r="BO353" s="36"/>
      <c r="BP353" s="36"/>
      <c r="BQ353" s="36"/>
    </row>
    <row r="354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51"/>
      <c r="S354" s="51"/>
      <c r="T354" s="51"/>
      <c r="U354" s="51"/>
      <c r="V354" s="51"/>
      <c r="W354" s="51"/>
      <c r="X354" s="51"/>
      <c r="Y354" s="45"/>
      <c r="Z354" s="45"/>
      <c r="AA354" s="45"/>
      <c r="AB354" s="45"/>
      <c r="AC354" s="45"/>
      <c r="AD354" s="45"/>
      <c r="AE354" s="45"/>
      <c r="AF354" s="45"/>
      <c r="AG354" s="45"/>
      <c r="AH354" s="45"/>
      <c r="AI354" s="45"/>
      <c r="AJ354" s="45"/>
      <c r="AK354" s="45"/>
      <c r="AL354" s="45"/>
      <c r="AM354" s="45"/>
      <c r="AN354" s="45"/>
      <c r="AO354" s="45"/>
      <c r="AP354" s="45"/>
      <c r="AQ354" s="36"/>
      <c r="AR354" s="36"/>
      <c r="AS354" s="36"/>
      <c r="AT354" s="36"/>
      <c r="AU354" s="36"/>
      <c r="AV354" s="36"/>
      <c r="AW354" s="36"/>
      <c r="AX354" s="36"/>
      <c r="AY354" s="36"/>
      <c r="AZ354" s="36"/>
      <c r="BA354" s="36"/>
      <c r="BB354" s="36"/>
      <c r="BC354" s="36"/>
      <c r="BD354" s="36"/>
      <c r="BE354" s="36"/>
      <c r="BF354" s="36"/>
      <c r="BG354" s="36"/>
      <c r="BH354" s="36"/>
      <c r="BI354" s="36"/>
      <c r="BJ354" s="36"/>
      <c r="BK354" s="36"/>
      <c r="BL354" s="36"/>
      <c r="BM354" s="36"/>
      <c r="BN354" s="36"/>
      <c r="BO354" s="36"/>
      <c r="BP354" s="36"/>
      <c r="BQ354" s="36"/>
    </row>
    <row r="35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51"/>
      <c r="S355" s="51"/>
      <c r="T355" s="51"/>
      <c r="U355" s="51"/>
      <c r="V355" s="51"/>
      <c r="W355" s="51"/>
      <c r="X355" s="51"/>
      <c r="Y355" s="45"/>
      <c r="Z355" s="45"/>
      <c r="AA355" s="45"/>
      <c r="AB355" s="45"/>
      <c r="AC355" s="45"/>
      <c r="AD355" s="45"/>
      <c r="AE355" s="45"/>
      <c r="AF355" s="45"/>
      <c r="AG355" s="45"/>
      <c r="AH355" s="45"/>
      <c r="AI355" s="45"/>
      <c r="AJ355" s="45"/>
      <c r="AK355" s="45"/>
      <c r="AL355" s="45"/>
      <c r="AM355" s="45"/>
      <c r="AN355" s="45"/>
      <c r="AO355" s="45"/>
      <c r="AP355" s="45"/>
      <c r="AQ355" s="36"/>
      <c r="AR355" s="36"/>
      <c r="AS355" s="36"/>
      <c r="AT355" s="36"/>
      <c r="AU355" s="36"/>
      <c r="AV355" s="36"/>
      <c r="AW355" s="36"/>
      <c r="AX355" s="36"/>
      <c r="AY355" s="36"/>
      <c r="AZ355" s="36"/>
      <c r="BA355" s="36"/>
      <c r="BB355" s="36"/>
      <c r="BC355" s="36"/>
      <c r="BD355" s="36"/>
      <c r="BE355" s="36"/>
      <c r="BF355" s="36"/>
      <c r="BG355" s="36"/>
      <c r="BH355" s="36"/>
      <c r="BI355" s="36"/>
      <c r="BJ355" s="36"/>
      <c r="BK355" s="36"/>
      <c r="BL355" s="36"/>
      <c r="BM355" s="36"/>
      <c r="BN355" s="36"/>
      <c r="BO355" s="36"/>
      <c r="BP355" s="36"/>
      <c r="BQ355" s="36"/>
    </row>
    <row r="356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51"/>
      <c r="S356" s="51"/>
      <c r="T356" s="51"/>
      <c r="U356" s="51"/>
      <c r="V356" s="51"/>
      <c r="W356" s="51"/>
      <c r="X356" s="51"/>
      <c r="Y356" s="45"/>
      <c r="Z356" s="45"/>
      <c r="AA356" s="45"/>
      <c r="AB356" s="45"/>
      <c r="AC356" s="45"/>
      <c r="AD356" s="45"/>
      <c r="AE356" s="45"/>
      <c r="AF356" s="45"/>
      <c r="AG356" s="45"/>
      <c r="AH356" s="45"/>
      <c r="AI356" s="45"/>
      <c r="AJ356" s="45"/>
      <c r="AK356" s="45"/>
      <c r="AL356" s="45"/>
      <c r="AM356" s="45"/>
      <c r="AN356" s="45"/>
      <c r="AO356" s="45"/>
      <c r="AP356" s="45"/>
      <c r="AQ356" s="36"/>
      <c r="AR356" s="36"/>
      <c r="AS356" s="36"/>
      <c r="AT356" s="36"/>
      <c r="AU356" s="36"/>
      <c r="AV356" s="36"/>
      <c r="AW356" s="36"/>
      <c r="AX356" s="36"/>
      <c r="AY356" s="36"/>
      <c r="AZ356" s="36"/>
      <c r="BA356" s="36"/>
      <c r="BB356" s="36"/>
      <c r="BC356" s="36"/>
      <c r="BD356" s="36"/>
      <c r="BE356" s="36"/>
      <c r="BF356" s="36"/>
      <c r="BG356" s="36"/>
      <c r="BH356" s="36"/>
      <c r="BI356" s="36"/>
      <c r="BJ356" s="36"/>
      <c r="BK356" s="36"/>
      <c r="BL356" s="36"/>
      <c r="BM356" s="36"/>
      <c r="BN356" s="36"/>
      <c r="BO356" s="36"/>
      <c r="BP356" s="36"/>
      <c r="BQ356" s="36"/>
    </row>
    <row r="357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51"/>
      <c r="S357" s="51"/>
      <c r="T357" s="51"/>
      <c r="U357" s="51"/>
      <c r="V357" s="51"/>
      <c r="W357" s="51"/>
      <c r="X357" s="51"/>
      <c r="Y357" s="45"/>
      <c r="Z357" s="45"/>
      <c r="AA357" s="45"/>
      <c r="AB357" s="45"/>
      <c r="AC357" s="45"/>
      <c r="AD357" s="45"/>
      <c r="AE357" s="45"/>
      <c r="AF357" s="45"/>
      <c r="AG357" s="45"/>
      <c r="AH357" s="45"/>
      <c r="AI357" s="45"/>
      <c r="AJ357" s="45"/>
      <c r="AK357" s="45"/>
      <c r="AL357" s="45"/>
      <c r="AM357" s="45"/>
      <c r="AN357" s="45"/>
      <c r="AO357" s="45"/>
      <c r="AP357" s="45"/>
      <c r="AQ357" s="36"/>
      <c r="AR357" s="36"/>
      <c r="AS357" s="36"/>
      <c r="AT357" s="36"/>
      <c r="AU357" s="36"/>
      <c r="AV357" s="36"/>
      <c r="AW357" s="36"/>
      <c r="AX357" s="36"/>
      <c r="AY357" s="36"/>
      <c r="AZ357" s="36"/>
      <c r="BA357" s="36"/>
      <c r="BB357" s="36"/>
      <c r="BC357" s="36"/>
      <c r="BD357" s="36"/>
      <c r="BE357" s="36"/>
      <c r="BF357" s="36"/>
      <c r="BG357" s="36"/>
      <c r="BH357" s="36"/>
      <c r="BI357" s="36"/>
      <c r="BJ357" s="36"/>
      <c r="BK357" s="36"/>
      <c r="BL357" s="36"/>
      <c r="BM357" s="36"/>
      <c r="BN357" s="36"/>
      <c r="BO357" s="36"/>
      <c r="BP357" s="36"/>
      <c r="BQ357" s="36"/>
    </row>
    <row r="358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51"/>
      <c r="S358" s="51"/>
      <c r="T358" s="51"/>
      <c r="U358" s="51"/>
      <c r="V358" s="51"/>
      <c r="W358" s="51"/>
      <c r="X358" s="51"/>
      <c r="Y358" s="45"/>
      <c r="Z358" s="45"/>
      <c r="AA358" s="45"/>
      <c r="AB358" s="45"/>
      <c r="AC358" s="45"/>
      <c r="AD358" s="45"/>
      <c r="AE358" s="45"/>
      <c r="AF358" s="45"/>
      <c r="AG358" s="45"/>
      <c r="AH358" s="45"/>
      <c r="AI358" s="45"/>
      <c r="AJ358" s="45"/>
      <c r="AK358" s="45"/>
      <c r="AL358" s="45"/>
      <c r="AM358" s="45"/>
      <c r="AN358" s="45"/>
      <c r="AO358" s="45"/>
      <c r="AP358" s="45"/>
      <c r="AQ358" s="36"/>
      <c r="AR358" s="36"/>
      <c r="AS358" s="36"/>
      <c r="AT358" s="36"/>
      <c r="AU358" s="36"/>
      <c r="AV358" s="36"/>
      <c r="AW358" s="36"/>
      <c r="AX358" s="36"/>
      <c r="AY358" s="36"/>
      <c r="AZ358" s="36"/>
      <c r="BA358" s="36"/>
      <c r="BB358" s="36"/>
      <c r="BC358" s="36"/>
      <c r="BD358" s="36"/>
      <c r="BE358" s="36"/>
      <c r="BF358" s="36"/>
      <c r="BG358" s="36"/>
      <c r="BH358" s="36"/>
      <c r="BI358" s="36"/>
      <c r="BJ358" s="36"/>
      <c r="BK358" s="36"/>
      <c r="BL358" s="36"/>
      <c r="BM358" s="36"/>
      <c r="BN358" s="36"/>
      <c r="BO358" s="36"/>
      <c r="BP358" s="36"/>
      <c r="BQ358" s="36"/>
    </row>
    <row r="359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51"/>
      <c r="S359" s="51"/>
      <c r="T359" s="51"/>
      <c r="U359" s="51"/>
      <c r="V359" s="51"/>
      <c r="W359" s="51"/>
      <c r="X359" s="51"/>
      <c r="Y359" s="45"/>
      <c r="Z359" s="45"/>
      <c r="AA359" s="45"/>
      <c r="AB359" s="45"/>
      <c r="AC359" s="45"/>
      <c r="AD359" s="45"/>
      <c r="AE359" s="45"/>
      <c r="AF359" s="45"/>
      <c r="AG359" s="45"/>
      <c r="AH359" s="45"/>
      <c r="AI359" s="45"/>
      <c r="AJ359" s="45"/>
      <c r="AK359" s="45"/>
      <c r="AL359" s="45"/>
      <c r="AM359" s="45"/>
      <c r="AN359" s="45"/>
      <c r="AO359" s="45"/>
      <c r="AP359" s="45"/>
      <c r="AQ359" s="36"/>
      <c r="AR359" s="36"/>
      <c r="AS359" s="36"/>
      <c r="AT359" s="36"/>
      <c r="AU359" s="36"/>
      <c r="AV359" s="36"/>
      <c r="AW359" s="36"/>
      <c r="AX359" s="36"/>
      <c r="AY359" s="36"/>
      <c r="AZ359" s="36"/>
      <c r="BA359" s="36"/>
      <c r="BB359" s="36"/>
      <c r="BC359" s="36"/>
      <c r="BD359" s="36"/>
      <c r="BE359" s="36"/>
      <c r="BF359" s="36"/>
      <c r="BG359" s="36"/>
      <c r="BH359" s="36"/>
      <c r="BI359" s="36"/>
      <c r="BJ359" s="36"/>
      <c r="BK359" s="36"/>
      <c r="BL359" s="36"/>
      <c r="BM359" s="36"/>
      <c r="BN359" s="36"/>
      <c r="BO359" s="36"/>
      <c r="BP359" s="36"/>
      <c r="BQ359" s="36"/>
    </row>
    <row r="360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51"/>
      <c r="S360" s="51"/>
      <c r="T360" s="51"/>
      <c r="U360" s="51"/>
      <c r="V360" s="51"/>
      <c r="W360" s="51"/>
      <c r="X360" s="51"/>
      <c r="Y360" s="45"/>
      <c r="Z360" s="45"/>
      <c r="AA360" s="45"/>
      <c r="AB360" s="45"/>
      <c r="AC360" s="45"/>
      <c r="AD360" s="45"/>
      <c r="AE360" s="45"/>
      <c r="AF360" s="45"/>
      <c r="AG360" s="45"/>
      <c r="AH360" s="45"/>
      <c r="AI360" s="45"/>
      <c r="AJ360" s="45"/>
      <c r="AK360" s="45"/>
      <c r="AL360" s="45"/>
      <c r="AM360" s="45"/>
      <c r="AN360" s="45"/>
      <c r="AO360" s="45"/>
      <c r="AP360" s="45"/>
      <c r="AQ360" s="36"/>
      <c r="AR360" s="36"/>
      <c r="AS360" s="36"/>
      <c r="AT360" s="36"/>
      <c r="AU360" s="36"/>
      <c r="AV360" s="36"/>
      <c r="AW360" s="36"/>
      <c r="AX360" s="36"/>
      <c r="AY360" s="36"/>
      <c r="AZ360" s="36"/>
      <c r="BA360" s="36"/>
      <c r="BB360" s="36"/>
      <c r="BC360" s="36"/>
      <c r="BD360" s="36"/>
      <c r="BE360" s="36"/>
      <c r="BF360" s="36"/>
      <c r="BG360" s="36"/>
      <c r="BH360" s="36"/>
      <c r="BI360" s="36"/>
      <c r="BJ360" s="36"/>
      <c r="BK360" s="36"/>
      <c r="BL360" s="36"/>
      <c r="BM360" s="36"/>
      <c r="BN360" s="36"/>
      <c r="BO360" s="36"/>
      <c r="BP360" s="36"/>
      <c r="BQ360" s="36"/>
    </row>
    <row r="36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51"/>
      <c r="S361" s="51"/>
      <c r="T361" s="51"/>
      <c r="U361" s="51"/>
      <c r="V361" s="51"/>
      <c r="W361" s="51"/>
      <c r="X361" s="51"/>
      <c r="Y361" s="45"/>
      <c r="Z361" s="45"/>
      <c r="AA361" s="45"/>
      <c r="AB361" s="45"/>
      <c r="AC361" s="45"/>
      <c r="AD361" s="45"/>
      <c r="AE361" s="45"/>
      <c r="AF361" s="45"/>
      <c r="AG361" s="45"/>
      <c r="AH361" s="45"/>
      <c r="AI361" s="45"/>
      <c r="AJ361" s="45"/>
      <c r="AK361" s="45"/>
      <c r="AL361" s="45"/>
      <c r="AM361" s="45"/>
      <c r="AN361" s="45"/>
      <c r="AO361" s="45"/>
      <c r="AP361" s="45"/>
      <c r="AQ361" s="36"/>
      <c r="AR361" s="36"/>
      <c r="AS361" s="36"/>
      <c r="AT361" s="36"/>
      <c r="AU361" s="36"/>
      <c r="AV361" s="36"/>
      <c r="AW361" s="36"/>
      <c r="AX361" s="36"/>
      <c r="AY361" s="36"/>
      <c r="AZ361" s="36"/>
      <c r="BA361" s="36"/>
      <c r="BB361" s="36"/>
      <c r="BC361" s="36"/>
      <c r="BD361" s="36"/>
      <c r="BE361" s="36"/>
      <c r="BF361" s="36"/>
      <c r="BG361" s="36"/>
      <c r="BH361" s="36"/>
      <c r="BI361" s="36"/>
      <c r="BJ361" s="36"/>
      <c r="BK361" s="36"/>
      <c r="BL361" s="36"/>
      <c r="BM361" s="36"/>
      <c r="BN361" s="36"/>
      <c r="BO361" s="36"/>
      <c r="BP361" s="36"/>
      <c r="BQ361" s="36"/>
    </row>
    <row r="362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51"/>
      <c r="S362" s="51"/>
      <c r="T362" s="51"/>
      <c r="U362" s="51"/>
      <c r="V362" s="51"/>
      <c r="W362" s="51"/>
      <c r="X362" s="51"/>
      <c r="Y362" s="45"/>
      <c r="Z362" s="45"/>
      <c r="AA362" s="45"/>
      <c r="AB362" s="45"/>
      <c r="AC362" s="45"/>
      <c r="AD362" s="45"/>
      <c r="AE362" s="45"/>
      <c r="AF362" s="45"/>
      <c r="AG362" s="45"/>
      <c r="AH362" s="45"/>
      <c r="AI362" s="45"/>
      <c r="AJ362" s="45"/>
      <c r="AK362" s="45"/>
      <c r="AL362" s="45"/>
      <c r="AM362" s="45"/>
      <c r="AN362" s="45"/>
      <c r="AO362" s="45"/>
      <c r="AP362" s="45"/>
      <c r="AQ362" s="36"/>
      <c r="AR362" s="36"/>
      <c r="AS362" s="36"/>
      <c r="AT362" s="36"/>
      <c r="AU362" s="36"/>
      <c r="AV362" s="36"/>
      <c r="AW362" s="36"/>
      <c r="AX362" s="36"/>
      <c r="AY362" s="36"/>
      <c r="AZ362" s="36"/>
      <c r="BA362" s="36"/>
      <c r="BB362" s="36"/>
      <c r="BC362" s="36"/>
      <c r="BD362" s="36"/>
      <c r="BE362" s="36"/>
      <c r="BF362" s="36"/>
      <c r="BG362" s="36"/>
      <c r="BH362" s="36"/>
      <c r="BI362" s="36"/>
      <c r="BJ362" s="36"/>
      <c r="BK362" s="36"/>
      <c r="BL362" s="36"/>
      <c r="BM362" s="36"/>
      <c r="BN362" s="36"/>
      <c r="BO362" s="36"/>
      <c r="BP362" s="36"/>
      <c r="BQ362" s="36"/>
    </row>
    <row r="363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51"/>
      <c r="S363" s="51"/>
      <c r="T363" s="51"/>
      <c r="U363" s="51"/>
      <c r="V363" s="51"/>
      <c r="W363" s="51"/>
      <c r="X363" s="51"/>
      <c r="Y363" s="45"/>
      <c r="Z363" s="45"/>
      <c r="AA363" s="45"/>
      <c r="AB363" s="45"/>
      <c r="AC363" s="45"/>
      <c r="AD363" s="45"/>
      <c r="AE363" s="45"/>
      <c r="AF363" s="45"/>
      <c r="AG363" s="45"/>
      <c r="AH363" s="45"/>
      <c r="AI363" s="45"/>
      <c r="AJ363" s="45"/>
      <c r="AK363" s="45"/>
      <c r="AL363" s="45"/>
      <c r="AM363" s="45"/>
      <c r="AN363" s="45"/>
      <c r="AO363" s="45"/>
      <c r="AP363" s="45"/>
      <c r="AQ363" s="36"/>
      <c r="AR363" s="36"/>
      <c r="AS363" s="36"/>
      <c r="AT363" s="36"/>
      <c r="AU363" s="36"/>
      <c r="AV363" s="36"/>
      <c r="AW363" s="36"/>
      <c r="AX363" s="36"/>
      <c r="AY363" s="36"/>
      <c r="AZ363" s="36"/>
      <c r="BA363" s="36"/>
      <c r="BB363" s="36"/>
      <c r="BC363" s="36"/>
      <c r="BD363" s="36"/>
      <c r="BE363" s="36"/>
      <c r="BF363" s="36"/>
      <c r="BG363" s="36"/>
      <c r="BH363" s="36"/>
      <c r="BI363" s="36"/>
      <c r="BJ363" s="36"/>
      <c r="BK363" s="36"/>
      <c r="BL363" s="36"/>
      <c r="BM363" s="36"/>
      <c r="BN363" s="36"/>
      <c r="BO363" s="36"/>
      <c r="BP363" s="36"/>
      <c r="BQ363" s="36"/>
    </row>
    <row r="364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51"/>
      <c r="S364" s="51"/>
      <c r="T364" s="51"/>
      <c r="U364" s="51"/>
      <c r="V364" s="51"/>
      <c r="W364" s="51"/>
      <c r="X364" s="51"/>
      <c r="Y364" s="45"/>
      <c r="Z364" s="45"/>
      <c r="AA364" s="45"/>
      <c r="AB364" s="45"/>
      <c r="AC364" s="45"/>
      <c r="AD364" s="45"/>
      <c r="AE364" s="45"/>
      <c r="AF364" s="45"/>
      <c r="AG364" s="45"/>
      <c r="AH364" s="45"/>
      <c r="AI364" s="45"/>
      <c r="AJ364" s="45"/>
      <c r="AK364" s="45"/>
      <c r="AL364" s="45"/>
      <c r="AM364" s="45"/>
      <c r="AN364" s="45"/>
      <c r="AO364" s="45"/>
      <c r="AP364" s="45"/>
      <c r="AQ364" s="36"/>
      <c r="AR364" s="36"/>
      <c r="AS364" s="36"/>
      <c r="AT364" s="36"/>
      <c r="AU364" s="36"/>
      <c r="AV364" s="36"/>
      <c r="AW364" s="36"/>
      <c r="AX364" s="36"/>
      <c r="AY364" s="36"/>
      <c r="AZ364" s="36"/>
      <c r="BA364" s="36"/>
      <c r="BB364" s="36"/>
      <c r="BC364" s="36"/>
      <c r="BD364" s="36"/>
      <c r="BE364" s="36"/>
      <c r="BF364" s="36"/>
      <c r="BG364" s="36"/>
      <c r="BH364" s="36"/>
      <c r="BI364" s="36"/>
      <c r="BJ364" s="36"/>
      <c r="BK364" s="36"/>
      <c r="BL364" s="36"/>
      <c r="BM364" s="36"/>
      <c r="BN364" s="36"/>
      <c r="BO364" s="36"/>
      <c r="BP364" s="36"/>
      <c r="BQ364" s="36"/>
    </row>
    <row r="36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51"/>
      <c r="S365" s="51"/>
      <c r="T365" s="51"/>
      <c r="U365" s="51"/>
      <c r="V365" s="51"/>
      <c r="W365" s="51"/>
      <c r="X365" s="51"/>
      <c r="Y365" s="45"/>
      <c r="Z365" s="45"/>
      <c r="AA365" s="45"/>
      <c r="AB365" s="45"/>
      <c r="AC365" s="45"/>
      <c r="AD365" s="45"/>
      <c r="AE365" s="45"/>
      <c r="AF365" s="45"/>
      <c r="AG365" s="45"/>
      <c r="AH365" s="45"/>
      <c r="AI365" s="45"/>
      <c r="AJ365" s="45"/>
      <c r="AK365" s="45"/>
      <c r="AL365" s="45"/>
      <c r="AM365" s="45"/>
      <c r="AN365" s="45"/>
      <c r="AO365" s="45"/>
      <c r="AP365" s="45"/>
      <c r="AQ365" s="36"/>
      <c r="AR365" s="36"/>
      <c r="AS365" s="36"/>
      <c r="AT365" s="36"/>
      <c r="AU365" s="36"/>
      <c r="AV365" s="36"/>
      <c r="AW365" s="36"/>
      <c r="AX365" s="36"/>
      <c r="AY365" s="36"/>
      <c r="AZ365" s="36"/>
      <c r="BA365" s="36"/>
      <c r="BB365" s="36"/>
      <c r="BC365" s="36"/>
      <c r="BD365" s="36"/>
      <c r="BE365" s="36"/>
      <c r="BF365" s="36"/>
      <c r="BG365" s="36"/>
      <c r="BH365" s="36"/>
      <c r="BI365" s="36"/>
      <c r="BJ365" s="36"/>
      <c r="BK365" s="36"/>
      <c r="BL365" s="36"/>
      <c r="BM365" s="36"/>
      <c r="BN365" s="36"/>
      <c r="BO365" s="36"/>
      <c r="BP365" s="36"/>
      <c r="BQ365" s="36"/>
    </row>
    <row r="366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51"/>
      <c r="S366" s="51"/>
      <c r="T366" s="51"/>
      <c r="U366" s="51"/>
      <c r="V366" s="51"/>
      <c r="W366" s="51"/>
      <c r="X366" s="51"/>
      <c r="Y366" s="45"/>
      <c r="Z366" s="45"/>
      <c r="AA366" s="45"/>
      <c r="AB366" s="45"/>
      <c r="AC366" s="45"/>
      <c r="AD366" s="45"/>
      <c r="AE366" s="45"/>
      <c r="AF366" s="45"/>
      <c r="AG366" s="45"/>
      <c r="AH366" s="45"/>
      <c r="AI366" s="45"/>
      <c r="AJ366" s="45"/>
      <c r="AK366" s="45"/>
      <c r="AL366" s="45"/>
      <c r="AM366" s="45"/>
      <c r="AN366" s="45"/>
      <c r="AO366" s="45"/>
      <c r="AP366" s="45"/>
      <c r="AQ366" s="36"/>
      <c r="AR366" s="36"/>
      <c r="AS366" s="36"/>
      <c r="AT366" s="36"/>
      <c r="AU366" s="36"/>
      <c r="AV366" s="36"/>
      <c r="AW366" s="36"/>
      <c r="AX366" s="36"/>
      <c r="AY366" s="36"/>
      <c r="AZ366" s="36"/>
      <c r="BA366" s="36"/>
      <c r="BB366" s="36"/>
      <c r="BC366" s="36"/>
      <c r="BD366" s="36"/>
      <c r="BE366" s="36"/>
      <c r="BF366" s="36"/>
      <c r="BG366" s="36"/>
      <c r="BH366" s="36"/>
      <c r="BI366" s="36"/>
      <c r="BJ366" s="36"/>
      <c r="BK366" s="36"/>
      <c r="BL366" s="36"/>
      <c r="BM366" s="36"/>
      <c r="BN366" s="36"/>
      <c r="BO366" s="36"/>
      <c r="BP366" s="36"/>
      <c r="BQ366" s="36"/>
    </row>
    <row r="367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51"/>
      <c r="S367" s="51"/>
      <c r="T367" s="51"/>
      <c r="U367" s="51"/>
      <c r="V367" s="51"/>
      <c r="W367" s="51"/>
      <c r="X367" s="51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5"/>
      <c r="AM367" s="45"/>
      <c r="AN367" s="45"/>
      <c r="AO367" s="45"/>
      <c r="AP367" s="45"/>
      <c r="AQ367" s="36"/>
      <c r="AR367" s="36"/>
      <c r="AS367" s="36"/>
      <c r="AT367" s="36"/>
      <c r="AU367" s="36"/>
      <c r="AV367" s="36"/>
      <c r="AW367" s="36"/>
      <c r="AX367" s="36"/>
      <c r="AY367" s="36"/>
      <c r="AZ367" s="36"/>
      <c r="BA367" s="36"/>
      <c r="BB367" s="36"/>
      <c r="BC367" s="36"/>
      <c r="BD367" s="36"/>
      <c r="BE367" s="36"/>
      <c r="BF367" s="36"/>
      <c r="BG367" s="36"/>
      <c r="BH367" s="36"/>
      <c r="BI367" s="36"/>
      <c r="BJ367" s="36"/>
      <c r="BK367" s="36"/>
      <c r="BL367" s="36"/>
      <c r="BM367" s="36"/>
      <c r="BN367" s="36"/>
      <c r="BO367" s="36"/>
      <c r="BP367" s="36"/>
      <c r="BQ367" s="36"/>
    </row>
    <row r="368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51"/>
      <c r="S368" s="51"/>
      <c r="T368" s="51"/>
      <c r="U368" s="51"/>
      <c r="V368" s="51"/>
      <c r="W368" s="51"/>
      <c r="X368" s="51"/>
      <c r="Y368" s="45"/>
      <c r="Z368" s="45"/>
      <c r="AA368" s="45"/>
      <c r="AB368" s="45"/>
      <c r="AC368" s="45"/>
      <c r="AD368" s="45"/>
      <c r="AE368" s="45"/>
      <c r="AF368" s="45"/>
      <c r="AG368" s="45"/>
      <c r="AH368" s="45"/>
      <c r="AI368" s="45"/>
      <c r="AJ368" s="45"/>
      <c r="AK368" s="45"/>
      <c r="AL368" s="45"/>
      <c r="AM368" s="45"/>
      <c r="AN368" s="45"/>
      <c r="AO368" s="45"/>
      <c r="AP368" s="45"/>
      <c r="AQ368" s="36"/>
      <c r="AR368" s="36"/>
      <c r="AS368" s="36"/>
      <c r="AT368" s="36"/>
      <c r="AU368" s="36"/>
      <c r="AV368" s="36"/>
      <c r="AW368" s="36"/>
      <c r="AX368" s="36"/>
      <c r="AY368" s="36"/>
      <c r="AZ368" s="36"/>
      <c r="BA368" s="36"/>
      <c r="BB368" s="36"/>
      <c r="BC368" s="36"/>
      <c r="BD368" s="36"/>
      <c r="BE368" s="36"/>
      <c r="BF368" s="36"/>
      <c r="BG368" s="36"/>
      <c r="BH368" s="36"/>
      <c r="BI368" s="36"/>
      <c r="BJ368" s="36"/>
      <c r="BK368" s="36"/>
      <c r="BL368" s="36"/>
      <c r="BM368" s="36"/>
      <c r="BN368" s="36"/>
      <c r="BO368" s="36"/>
      <c r="BP368" s="36"/>
      <c r="BQ368" s="36"/>
    </row>
    <row r="369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51"/>
      <c r="S369" s="51"/>
      <c r="T369" s="51"/>
      <c r="U369" s="51"/>
      <c r="V369" s="51"/>
      <c r="W369" s="51"/>
      <c r="X369" s="51"/>
      <c r="Y369" s="45"/>
      <c r="Z369" s="45"/>
      <c r="AA369" s="45"/>
      <c r="AB369" s="45"/>
      <c r="AC369" s="45"/>
      <c r="AD369" s="45"/>
      <c r="AE369" s="45"/>
      <c r="AF369" s="45"/>
      <c r="AG369" s="45"/>
      <c r="AH369" s="45"/>
      <c r="AI369" s="45"/>
      <c r="AJ369" s="45"/>
      <c r="AK369" s="45"/>
      <c r="AL369" s="45"/>
      <c r="AM369" s="45"/>
      <c r="AN369" s="45"/>
      <c r="AO369" s="45"/>
      <c r="AP369" s="45"/>
      <c r="AQ369" s="36"/>
      <c r="AR369" s="36"/>
      <c r="AS369" s="36"/>
      <c r="AT369" s="36"/>
      <c r="AU369" s="36"/>
      <c r="AV369" s="36"/>
      <c r="AW369" s="36"/>
      <c r="AX369" s="36"/>
      <c r="AY369" s="36"/>
      <c r="AZ369" s="36"/>
      <c r="BA369" s="36"/>
      <c r="BB369" s="36"/>
      <c r="BC369" s="36"/>
      <c r="BD369" s="36"/>
      <c r="BE369" s="36"/>
      <c r="BF369" s="36"/>
      <c r="BG369" s="36"/>
      <c r="BH369" s="36"/>
      <c r="BI369" s="36"/>
      <c r="BJ369" s="36"/>
      <c r="BK369" s="36"/>
      <c r="BL369" s="36"/>
      <c r="BM369" s="36"/>
      <c r="BN369" s="36"/>
      <c r="BO369" s="36"/>
      <c r="BP369" s="36"/>
      <c r="BQ369" s="36"/>
    </row>
    <row r="370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51"/>
      <c r="S370" s="51"/>
      <c r="T370" s="51"/>
      <c r="U370" s="51"/>
      <c r="V370" s="51"/>
      <c r="W370" s="51"/>
      <c r="X370" s="51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5"/>
      <c r="AM370" s="45"/>
      <c r="AN370" s="45"/>
      <c r="AO370" s="45"/>
      <c r="AP370" s="45"/>
      <c r="AQ370" s="36"/>
      <c r="AR370" s="36"/>
      <c r="AS370" s="36"/>
      <c r="AT370" s="36"/>
      <c r="AU370" s="36"/>
      <c r="AV370" s="36"/>
      <c r="AW370" s="36"/>
      <c r="AX370" s="36"/>
      <c r="AY370" s="36"/>
      <c r="AZ370" s="36"/>
      <c r="BA370" s="36"/>
      <c r="BB370" s="36"/>
      <c r="BC370" s="36"/>
      <c r="BD370" s="36"/>
      <c r="BE370" s="36"/>
      <c r="BF370" s="36"/>
      <c r="BG370" s="36"/>
      <c r="BH370" s="36"/>
      <c r="BI370" s="36"/>
      <c r="BJ370" s="36"/>
      <c r="BK370" s="36"/>
      <c r="BL370" s="36"/>
      <c r="BM370" s="36"/>
      <c r="BN370" s="36"/>
      <c r="BO370" s="36"/>
      <c r="BP370" s="36"/>
      <c r="BQ370" s="36"/>
    </row>
    <row r="37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51"/>
      <c r="S371" s="51"/>
      <c r="T371" s="51"/>
      <c r="U371" s="51"/>
      <c r="V371" s="51"/>
      <c r="W371" s="51"/>
      <c r="X371" s="51"/>
      <c r="Y371" s="45"/>
      <c r="Z371" s="45"/>
      <c r="AA371" s="45"/>
      <c r="AB371" s="45"/>
      <c r="AC371" s="45"/>
      <c r="AD371" s="45"/>
      <c r="AE371" s="45"/>
      <c r="AF371" s="45"/>
      <c r="AG371" s="45"/>
      <c r="AH371" s="45"/>
      <c r="AI371" s="45"/>
      <c r="AJ371" s="45"/>
      <c r="AK371" s="45"/>
      <c r="AL371" s="45"/>
      <c r="AM371" s="45"/>
      <c r="AN371" s="45"/>
      <c r="AO371" s="45"/>
      <c r="AP371" s="45"/>
      <c r="AQ371" s="36"/>
      <c r="AR371" s="36"/>
      <c r="AS371" s="36"/>
      <c r="AT371" s="36"/>
      <c r="AU371" s="36"/>
      <c r="AV371" s="36"/>
      <c r="AW371" s="36"/>
      <c r="AX371" s="36"/>
      <c r="AY371" s="36"/>
      <c r="AZ371" s="36"/>
      <c r="BA371" s="36"/>
      <c r="BB371" s="36"/>
      <c r="BC371" s="36"/>
      <c r="BD371" s="36"/>
      <c r="BE371" s="36"/>
      <c r="BF371" s="36"/>
      <c r="BG371" s="36"/>
      <c r="BH371" s="36"/>
      <c r="BI371" s="36"/>
      <c r="BJ371" s="36"/>
      <c r="BK371" s="36"/>
      <c r="BL371" s="36"/>
      <c r="BM371" s="36"/>
      <c r="BN371" s="36"/>
      <c r="BO371" s="36"/>
      <c r="BP371" s="36"/>
      <c r="BQ371" s="36"/>
    </row>
    <row r="372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51"/>
      <c r="S372" s="51"/>
      <c r="T372" s="51"/>
      <c r="U372" s="51"/>
      <c r="V372" s="51"/>
      <c r="W372" s="51"/>
      <c r="X372" s="51"/>
      <c r="Y372" s="45"/>
      <c r="Z372" s="45"/>
      <c r="AA372" s="45"/>
      <c r="AB372" s="45"/>
      <c r="AC372" s="45"/>
      <c r="AD372" s="45"/>
      <c r="AE372" s="45"/>
      <c r="AF372" s="45"/>
      <c r="AG372" s="45"/>
      <c r="AH372" s="45"/>
      <c r="AI372" s="45"/>
      <c r="AJ372" s="45"/>
      <c r="AK372" s="45"/>
      <c r="AL372" s="45"/>
      <c r="AM372" s="45"/>
      <c r="AN372" s="45"/>
      <c r="AO372" s="45"/>
      <c r="AP372" s="45"/>
      <c r="AQ372" s="36"/>
      <c r="AR372" s="36"/>
      <c r="AS372" s="36"/>
      <c r="AT372" s="36"/>
      <c r="AU372" s="36"/>
      <c r="AV372" s="36"/>
      <c r="AW372" s="36"/>
      <c r="AX372" s="36"/>
      <c r="AY372" s="36"/>
      <c r="AZ372" s="36"/>
      <c r="BA372" s="36"/>
      <c r="BB372" s="36"/>
      <c r="BC372" s="36"/>
      <c r="BD372" s="36"/>
      <c r="BE372" s="36"/>
      <c r="BF372" s="36"/>
      <c r="BG372" s="36"/>
      <c r="BH372" s="36"/>
      <c r="BI372" s="36"/>
      <c r="BJ372" s="36"/>
      <c r="BK372" s="36"/>
      <c r="BL372" s="36"/>
      <c r="BM372" s="36"/>
      <c r="BN372" s="36"/>
      <c r="BO372" s="36"/>
      <c r="BP372" s="36"/>
      <c r="BQ372" s="36"/>
    </row>
    <row r="373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51"/>
      <c r="S373" s="51"/>
      <c r="T373" s="51"/>
      <c r="U373" s="51"/>
      <c r="V373" s="51"/>
      <c r="W373" s="51"/>
      <c r="X373" s="51"/>
      <c r="Y373" s="45"/>
      <c r="Z373" s="45"/>
      <c r="AA373" s="45"/>
      <c r="AB373" s="45"/>
      <c r="AC373" s="45"/>
      <c r="AD373" s="45"/>
      <c r="AE373" s="45"/>
      <c r="AF373" s="45"/>
      <c r="AG373" s="45"/>
      <c r="AH373" s="45"/>
      <c r="AI373" s="45"/>
      <c r="AJ373" s="45"/>
      <c r="AK373" s="45"/>
      <c r="AL373" s="45"/>
      <c r="AM373" s="45"/>
      <c r="AN373" s="45"/>
      <c r="AO373" s="45"/>
      <c r="AP373" s="45"/>
      <c r="AQ373" s="36"/>
      <c r="AR373" s="36"/>
      <c r="AS373" s="36"/>
      <c r="AT373" s="36"/>
      <c r="AU373" s="36"/>
      <c r="AV373" s="36"/>
      <c r="AW373" s="36"/>
      <c r="AX373" s="36"/>
      <c r="AY373" s="36"/>
      <c r="AZ373" s="36"/>
      <c r="BA373" s="36"/>
      <c r="BB373" s="36"/>
      <c r="BC373" s="36"/>
      <c r="BD373" s="36"/>
      <c r="BE373" s="36"/>
      <c r="BF373" s="36"/>
      <c r="BG373" s="36"/>
      <c r="BH373" s="36"/>
      <c r="BI373" s="36"/>
      <c r="BJ373" s="36"/>
      <c r="BK373" s="36"/>
      <c r="BL373" s="36"/>
      <c r="BM373" s="36"/>
      <c r="BN373" s="36"/>
      <c r="BO373" s="36"/>
      <c r="BP373" s="36"/>
      <c r="BQ373" s="36"/>
    </row>
    <row r="374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51"/>
      <c r="S374" s="51"/>
      <c r="T374" s="51"/>
      <c r="U374" s="51"/>
      <c r="V374" s="51"/>
      <c r="W374" s="51"/>
      <c r="X374" s="51"/>
      <c r="Y374" s="45"/>
      <c r="Z374" s="45"/>
      <c r="AA374" s="45"/>
      <c r="AB374" s="45"/>
      <c r="AC374" s="45"/>
      <c r="AD374" s="45"/>
      <c r="AE374" s="45"/>
      <c r="AF374" s="45"/>
      <c r="AG374" s="45"/>
      <c r="AH374" s="45"/>
      <c r="AI374" s="45"/>
      <c r="AJ374" s="45"/>
      <c r="AK374" s="45"/>
      <c r="AL374" s="45"/>
      <c r="AM374" s="45"/>
      <c r="AN374" s="45"/>
      <c r="AO374" s="45"/>
      <c r="AP374" s="45"/>
      <c r="AQ374" s="36"/>
      <c r="AR374" s="36"/>
      <c r="AS374" s="36"/>
      <c r="AT374" s="36"/>
      <c r="AU374" s="36"/>
      <c r="AV374" s="36"/>
      <c r="AW374" s="36"/>
      <c r="AX374" s="36"/>
      <c r="AY374" s="36"/>
      <c r="AZ374" s="36"/>
      <c r="BA374" s="36"/>
      <c r="BB374" s="36"/>
      <c r="BC374" s="36"/>
      <c r="BD374" s="36"/>
      <c r="BE374" s="36"/>
      <c r="BF374" s="36"/>
      <c r="BG374" s="36"/>
      <c r="BH374" s="36"/>
      <c r="BI374" s="36"/>
      <c r="BJ374" s="36"/>
      <c r="BK374" s="36"/>
      <c r="BL374" s="36"/>
      <c r="BM374" s="36"/>
      <c r="BN374" s="36"/>
      <c r="BO374" s="36"/>
      <c r="BP374" s="36"/>
      <c r="BQ374" s="36"/>
    </row>
    <row r="3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51"/>
      <c r="S375" s="51"/>
      <c r="T375" s="51"/>
      <c r="U375" s="51"/>
      <c r="V375" s="51"/>
      <c r="W375" s="51"/>
      <c r="X375" s="51"/>
      <c r="Y375" s="45"/>
      <c r="Z375" s="45"/>
      <c r="AA375" s="45"/>
      <c r="AB375" s="45"/>
      <c r="AC375" s="45"/>
      <c r="AD375" s="45"/>
      <c r="AE375" s="45"/>
      <c r="AF375" s="45"/>
      <c r="AG375" s="45"/>
      <c r="AH375" s="45"/>
      <c r="AI375" s="45"/>
      <c r="AJ375" s="45"/>
      <c r="AK375" s="45"/>
      <c r="AL375" s="45"/>
      <c r="AM375" s="45"/>
      <c r="AN375" s="45"/>
      <c r="AO375" s="45"/>
      <c r="AP375" s="45"/>
      <c r="AQ375" s="36"/>
      <c r="AR375" s="36"/>
      <c r="AS375" s="36"/>
      <c r="AT375" s="36"/>
      <c r="AU375" s="36"/>
      <c r="AV375" s="36"/>
      <c r="AW375" s="36"/>
      <c r="AX375" s="36"/>
      <c r="AY375" s="36"/>
      <c r="AZ375" s="36"/>
      <c r="BA375" s="36"/>
      <c r="BB375" s="36"/>
      <c r="BC375" s="36"/>
      <c r="BD375" s="36"/>
      <c r="BE375" s="36"/>
      <c r="BF375" s="36"/>
      <c r="BG375" s="36"/>
      <c r="BH375" s="36"/>
      <c r="BI375" s="36"/>
      <c r="BJ375" s="36"/>
      <c r="BK375" s="36"/>
      <c r="BL375" s="36"/>
      <c r="BM375" s="36"/>
      <c r="BN375" s="36"/>
      <c r="BO375" s="36"/>
      <c r="BP375" s="36"/>
      <c r="BQ375" s="36"/>
    </row>
    <row r="376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51"/>
      <c r="S376" s="51"/>
      <c r="T376" s="51"/>
      <c r="U376" s="51"/>
      <c r="V376" s="51"/>
      <c r="W376" s="51"/>
      <c r="X376" s="51"/>
      <c r="Y376" s="45"/>
      <c r="Z376" s="45"/>
      <c r="AA376" s="45"/>
      <c r="AB376" s="45"/>
      <c r="AC376" s="45"/>
      <c r="AD376" s="45"/>
      <c r="AE376" s="45"/>
      <c r="AF376" s="45"/>
      <c r="AG376" s="45"/>
      <c r="AH376" s="45"/>
      <c r="AI376" s="45"/>
      <c r="AJ376" s="45"/>
      <c r="AK376" s="45"/>
      <c r="AL376" s="45"/>
      <c r="AM376" s="45"/>
      <c r="AN376" s="45"/>
      <c r="AO376" s="45"/>
      <c r="AP376" s="45"/>
      <c r="AQ376" s="36"/>
      <c r="AR376" s="36"/>
      <c r="AS376" s="36"/>
      <c r="AT376" s="36"/>
      <c r="AU376" s="36"/>
      <c r="AV376" s="36"/>
      <c r="AW376" s="36"/>
      <c r="AX376" s="36"/>
      <c r="AY376" s="36"/>
      <c r="AZ376" s="36"/>
      <c r="BA376" s="36"/>
      <c r="BB376" s="36"/>
      <c r="BC376" s="36"/>
      <c r="BD376" s="36"/>
      <c r="BE376" s="36"/>
      <c r="BF376" s="36"/>
      <c r="BG376" s="36"/>
      <c r="BH376" s="36"/>
      <c r="BI376" s="36"/>
      <c r="BJ376" s="36"/>
      <c r="BK376" s="36"/>
      <c r="BL376" s="36"/>
      <c r="BM376" s="36"/>
      <c r="BN376" s="36"/>
      <c r="BO376" s="36"/>
      <c r="BP376" s="36"/>
      <c r="BQ376" s="36"/>
    </row>
    <row r="377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51"/>
      <c r="S377" s="51"/>
      <c r="T377" s="51"/>
      <c r="U377" s="51"/>
      <c r="V377" s="51"/>
      <c r="W377" s="51"/>
      <c r="X377" s="51"/>
      <c r="Y377" s="45"/>
      <c r="Z377" s="45"/>
      <c r="AA377" s="45"/>
      <c r="AB377" s="45"/>
      <c r="AC377" s="45"/>
      <c r="AD377" s="45"/>
      <c r="AE377" s="45"/>
      <c r="AF377" s="45"/>
      <c r="AG377" s="45"/>
      <c r="AH377" s="45"/>
      <c r="AI377" s="45"/>
      <c r="AJ377" s="45"/>
      <c r="AK377" s="45"/>
      <c r="AL377" s="45"/>
      <c r="AM377" s="45"/>
      <c r="AN377" s="45"/>
      <c r="AO377" s="45"/>
      <c r="AP377" s="45"/>
      <c r="AQ377" s="36"/>
      <c r="AR377" s="36"/>
      <c r="AS377" s="36"/>
      <c r="AT377" s="36"/>
      <c r="AU377" s="36"/>
      <c r="AV377" s="36"/>
      <c r="AW377" s="36"/>
      <c r="AX377" s="36"/>
      <c r="AY377" s="36"/>
      <c r="AZ377" s="36"/>
      <c r="BA377" s="36"/>
      <c r="BB377" s="36"/>
      <c r="BC377" s="36"/>
      <c r="BD377" s="36"/>
      <c r="BE377" s="36"/>
      <c r="BF377" s="36"/>
      <c r="BG377" s="36"/>
      <c r="BH377" s="36"/>
      <c r="BI377" s="36"/>
      <c r="BJ377" s="36"/>
      <c r="BK377" s="36"/>
      <c r="BL377" s="36"/>
      <c r="BM377" s="36"/>
      <c r="BN377" s="36"/>
      <c r="BO377" s="36"/>
      <c r="BP377" s="36"/>
      <c r="BQ377" s="36"/>
    </row>
    <row r="378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51"/>
      <c r="S378" s="51"/>
      <c r="T378" s="51"/>
      <c r="U378" s="51"/>
      <c r="V378" s="51"/>
      <c r="W378" s="51"/>
      <c r="X378" s="51"/>
      <c r="Y378" s="45"/>
      <c r="Z378" s="45"/>
      <c r="AA378" s="45"/>
      <c r="AB378" s="45"/>
      <c r="AC378" s="45"/>
      <c r="AD378" s="45"/>
      <c r="AE378" s="45"/>
      <c r="AF378" s="45"/>
      <c r="AG378" s="45"/>
      <c r="AH378" s="45"/>
      <c r="AI378" s="45"/>
      <c r="AJ378" s="45"/>
      <c r="AK378" s="45"/>
      <c r="AL378" s="45"/>
      <c r="AM378" s="45"/>
      <c r="AN378" s="45"/>
      <c r="AO378" s="45"/>
      <c r="AP378" s="45"/>
      <c r="AQ378" s="36"/>
      <c r="AR378" s="36"/>
      <c r="AS378" s="36"/>
      <c r="AT378" s="36"/>
      <c r="AU378" s="36"/>
      <c r="AV378" s="36"/>
      <c r="AW378" s="36"/>
      <c r="AX378" s="36"/>
      <c r="AY378" s="36"/>
      <c r="AZ378" s="36"/>
      <c r="BA378" s="36"/>
      <c r="BB378" s="36"/>
      <c r="BC378" s="36"/>
      <c r="BD378" s="36"/>
      <c r="BE378" s="36"/>
      <c r="BF378" s="36"/>
      <c r="BG378" s="36"/>
      <c r="BH378" s="36"/>
      <c r="BI378" s="36"/>
      <c r="BJ378" s="36"/>
      <c r="BK378" s="36"/>
      <c r="BL378" s="36"/>
      <c r="BM378" s="36"/>
      <c r="BN378" s="36"/>
      <c r="BO378" s="36"/>
      <c r="BP378" s="36"/>
      <c r="BQ378" s="36"/>
    </row>
    <row r="379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51"/>
      <c r="S379" s="51"/>
      <c r="T379" s="51"/>
      <c r="U379" s="51"/>
      <c r="V379" s="51"/>
      <c r="W379" s="51"/>
      <c r="X379" s="51"/>
      <c r="Y379" s="45"/>
      <c r="Z379" s="45"/>
      <c r="AA379" s="45"/>
      <c r="AB379" s="45"/>
      <c r="AC379" s="45"/>
      <c r="AD379" s="45"/>
      <c r="AE379" s="45"/>
      <c r="AF379" s="45"/>
      <c r="AG379" s="45"/>
      <c r="AH379" s="45"/>
      <c r="AI379" s="45"/>
      <c r="AJ379" s="45"/>
      <c r="AK379" s="45"/>
      <c r="AL379" s="45"/>
      <c r="AM379" s="45"/>
      <c r="AN379" s="45"/>
      <c r="AO379" s="45"/>
      <c r="AP379" s="45"/>
      <c r="AQ379" s="36"/>
      <c r="AR379" s="36"/>
      <c r="AS379" s="36"/>
      <c r="AT379" s="36"/>
      <c r="AU379" s="36"/>
      <c r="AV379" s="36"/>
      <c r="AW379" s="36"/>
      <c r="AX379" s="36"/>
      <c r="AY379" s="36"/>
      <c r="AZ379" s="36"/>
      <c r="BA379" s="36"/>
      <c r="BB379" s="36"/>
      <c r="BC379" s="36"/>
      <c r="BD379" s="36"/>
      <c r="BE379" s="36"/>
      <c r="BF379" s="36"/>
      <c r="BG379" s="36"/>
      <c r="BH379" s="36"/>
      <c r="BI379" s="36"/>
      <c r="BJ379" s="36"/>
      <c r="BK379" s="36"/>
      <c r="BL379" s="36"/>
      <c r="BM379" s="36"/>
      <c r="BN379" s="36"/>
      <c r="BO379" s="36"/>
      <c r="BP379" s="36"/>
      <c r="BQ379" s="36"/>
    </row>
    <row r="380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51"/>
      <c r="S380" s="51"/>
      <c r="T380" s="51"/>
      <c r="U380" s="51"/>
      <c r="V380" s="51"/>
      <c r="W380" s="51"/>
      <c r="X380" s="51"/>
      <c r="Y380" s="45"/>
      <c r="Z380" s="45"/>
      <c r="AA380" s="45"/>
      <c r="AB380" s="45"/>
      <c r="AC380" s="45"/>
      <c r="AD380" s="45"/>
      <c r="AE380" s="45"/>
      <c r="AF380" s="45"/>
      <c r="AG380" s="45"/>
      <c r="AH380" s="45"/>
      <c r="AI380" s="45"/>
      <c r="AJ380" s="45"/>
      <c r="AK380" s="45"/>
      <c r="AL380" s="45"/>
      <c r="AM380" s="45"/>
      <c r="AN380" s="45"/>
      <c r="AO380" s="45"/>
      <c r="AP380" s="45"/>
      <c r="AQ380" s="36"/>
      <c r="AR380" s="36"/>
      <c r="AS380" s="36"/>
      <c r="AT380" s="36"/>
      <c r="AU380" s="36"/>
      <c r="AV380" s="36"/>
      <c r="AW380" s="36"/>
      <c r="AX380" s="36"/>
      <c r="AY380" s="36"/>
      <c r="AZ380" s="36"/>
      <c r="BA380" s="36"/>
      <c r="BB380" s="36"/>
      <c r="BC380" s="36"/>
      <c r="BD380" s="36"/>
      <c r="BE380" s="36"/>
      <c r="BF380" s="36"/>
      <c r="BG380" s="36"/>
      <c r="BH380" s="36"/>
      <c r="BI380" s="36"/>
      <c r="BJ380" s="36"/>
      <c r="BK380" s="36"/>
      <c r="BL380" s="36"/>
      <c r="BM380" s="36"/>
      <c r="BN380" s="36"/>
      <c r="BO380" s="36"/>
      <c r="BP380" s="36"/>
      <c r="BQ380" s="36"/>
    </row>
    <row r="38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51"/>
      <c r="S381" s="51"/>
      <c r="T381" s="51"/>
      <c r="U381" s="51"/>
      <c r="V381" s="51"/>
      <c r="W381" s="51"/>
      <c r="X381" s="51"/>
      <c r="Y381" s="45"/>
      <c r="Z381" s="45"/>
      <c r="AA381" s="45"/>
      <c r="AB381" s="45"/>
      <c r="AC381" s="45"/>
      <c r="AD381" s="45"/>
      <c r="AE381" s="45"/>
      <c r="AF381" s="45"/>
      <c r="AG381" s="45"/>
      <c r="AH381" s="45"/>
      <c r="AI381" s="45"/>
      <c r="AJ381" s="45"/>
      <c r="AK381" s="45"/>
      <c r="AL381" s="45"/>
      <c r="AM381" s="45"/>
      <c r="AN381" s="45"/>
      <c r="AO381" s="45"/>
      <c r="AP381" s="45"/>
      <c r="AQ381" s="36"/>
      <c r="AR381" s="36"/>
      <c r="AS381" s="36"/>
      <c r="AT381" s="36"/>
      <c r="AU381" s="36"/>
      <c r="AV381" s="36"/>
      <c r="AW381" s="36"/>
      <c r="AX381" s="36"/>
      <c r="AY381" s="36"/>
      <c r="AZ381" s="36"/>
      <c r="BA381" s="36"/>
      <c r="BB381" s="36"/>
      <c r="BC381" s="36"/>
      <c r="BD381" s="36"/>
      <c r="BE381" s="36"/>
      <c r="BF381" s="36"/>
      <c r="BG381" s="36"/>
      <c r="BH381" s="36"/>
      <c r="BI381" s="36"/>
      <c r="BJ381" s="36"/>
      <c r="BK381" s="36"/>
      <c r="BL381" s="36"/>
      <c r="BM381" s="36"/>
      <c r="BN381" s="36"/>
      <c r="BO381" s="36"/>
      <c r="BP381" s="36"/>
      <c r="BQ381" s="36"/>
    </row>
    <row r="382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51"/>
      <c r="S382" s="51"/>
      <c r="T382" s="51"/>
      <c r="U382" s="51"/>
      <c r="V382" s="51"/>
      <c r="W382" s="51"/>
      <c r="X382" s="51"/>
      <c r="Y382" s="45"/>
      <c r="Z382" s="45"/>
      <c r="AA382" s="45"/>
      <c r="AB382" s="45"/>
      <c r="AC382" s="45"/>
      <c r="AD382" s="45"/>
      <c r="AE382" s="45"/>
      <c r="AF382" s="45"/>
      <c r="AG382" s="45"/>
      <c r="AH382" s="45"/>
      <c r="AI382" s="45"/>
      <c r="AJ382" s="45"/>
      <c r="AK382" s="45"/>
      <c r="AL382" s="45"/>
      <c r="AM382" s="45"/>
      <c r="AN382" s="45"/>
      <c r="AO382" s="45"/>
      <c r="AP382" s="45"/>
      <c r="AQ382" s="36"/>
      <c r="AR382" s="36"/>
      <c r="AS382" s="36"/>
      <c r="AT382" s="36"/>
      <c r="AU382" s="36"/>
      <c r="AV382" s="36"/>
      <c r="AW382" s="36"/>
      <c r="AX382" s="36"/>
      <c r="AY382" s="36"/>
      <c r="AZ382" s="36"/>
      <c r="BA382" s="36"/>
      <c r="BB382" s="36"/>
      <c r="BC382" s="36"/>
      <c r="BD382" s="36"/>
      <c r="BE382" s="36"/>
      <c r="BF382" s="36"/>
      <c r="BG382" s="36"/>
      <c r="BH382" s="36"/>
      <c r="BI382" s="36"/>
      <c r="BJ382" s="36"/>
      <c r="BK382" s="36"/>
      <c r="BL382" s="36"/>
      <c r="BM382" s="36"/>
      <c r="BN382" s="36"/>
      <c r="BO382" s="36"/>
      <c r="BP382" s="36"/>
      <c r="BQ382" s="36"/>
    </row>
    <row r="383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51"/>
      <c r="S383" s="51"/>
      <c r="T383" s="51"/>
      <c r="U383" s="51"/>
      <c r="V383" s="51"/>
      <c r="W383" s="51"/>
      <c r="X383" s="51"/>
      <c r="Y383" s="45"/>
      <c r="Z383" s="45"/>
      <c r="AA383" s="45"/>
      <c r="AB383" s="45"/>
      <c r="AC383" s="45"/>
      <c r="AD383" s="45"/>
      <c r="AE383" s="45"/>
      <c r="AF383" s="45"/>
      <c r="AG383" s="45"/>
      <c r="AH383" s="45"/>
      <c r="AI383" s="45"/>
      <c r="AJ383" s="45"/>
      <c r="AK383" s="45"/>
      <c r="AL383" s="45"/>
      <c r="AM383" s="45"/>
      <c r="AN383" s="45"/>
      <c r="AO383" s="45"/>
      <c r="AP383" s="45"/>
      <c r="AQ383" s="36"/>
      <c r="AR383" s="36"/>
      <c r="AS383" s="36"/>
      <c r="AT383" s="36"/>
      <c r="AU383" s="36"/>
      <c r="AV383" s="36"/>
      <c r="AW383" s="36"/>
      <c r="AX383" s="36"/>
      <c r="AY383" s="36"/>
      <c r="AZ383" s="36"/>
      <c r="BA383" s="36"/>
      <c r="BB383" s="36"/>
      <c r="BC383" s="36"/>
      <c r="BD383" s="36"/>
      <c r="BE383" s="36"/>
      <c r="BF383" s="36"/>
      <c r="BG383" s="36"/>
      <c r="BH383" s="36"/>
      <c r="BI383" s="36"/>
      <c r="BJ383" s="36"/>
      <c r="BK383" s="36"/>
      <c r="BL383" s="36"/>
      <c r="BM383" s="36"/>
      <c r="BN383" s="36"/>
      <c r="BO383" s="36"/>
      <c r="BP383" s="36"/>
      <c r="BQ383" s="36"/>
    </row>
    <row r="384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51"/>
      <c r="S384" s="51"/>
      <c r="T384" s="51"/>
      <c r="U384" s="51"/>
      <c r="V384" s="51"/>
      <c r="W384" s="51"/>
      <c r="X384" s="51"/>
      <c r="Y384" s="45"/>
      <c r="Z384" s="45"/>
      <c r="AA384" s="45"/>
      <c r="AB384" s="45"/>
      <c r="AC384" s="45"/>
      <c r="AD384" s="45"/>
      <c r="AE384" s="45"/>
      <c r="AF384" s="45"/>
      <c r="AG384" s="45"/>
      <c r="AH384" s="45"/>
      <c r="AI384" s="45"/>
      <c r="AJ384" s="45"/>
      <c r="AK384" s="45"/>
      <c r="AL384" s="45"/>
      <c r="AM384" s="45"/>
      <c r="AN384" s="45"/>
      <c r="AO384" s="45"/>
      <c r="AP384" s="45"/>
      <c r="AQ384" s="36"/>
      <c r="AR384" s="36"/>
      <c r="AS384" s="36"/>
      <c r="AT384" s="36"/>
      <c r="AU384" s="36"/>
      <c r="AV384" s="36"/>
      <c r="AW384" s="36"/>
      <c r="AX384" s="36"/>
      <c r="AY384" s="36"/>
      <c r="AZ384" s="36"/>
      <c r="BA384" s="36"/>
      <c r="BB384" s="36"/>
      <c r="BC384" s="36"/>
      <c r="BD384" s="36"/>
      <c r="BE384" s="36"/>
      <c r="BF384" s="36"/>
      <c r="BG384" s="36"/>
      <c r="BH384" s="36"/>
      <c r="BI384" s="36"/>
      <c r="BJ384" s="36"/>
      <c r="BK384" s="36"/>
      <c r="BL384" s="36"/>
      <c r="BM384" s="36"/>
      <c r="BN384" s="36"/>
      <c r="BO384" s="36"/>
      <c r="BP384" s="36"/>
      <c r="BQ384" s="36"/>
    </row>
    <row r="38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51"/>
      <c r="S385" s="51"/>
      <c r="T385" s="51"/>
      <c r="U385" s="51"/>
      <c r="V385" s="51"/>
      <c r="W385" s="51"/>
      <c r="X385" s="51"/>
      <c r="Y385" s="45"/>
      <c r="Z385" s="45"/>
      <c r="AA385" s="45"/>
      <c r="AB385" s="45"/>
      <c r="AC385" s="45"/>
      <c r="AD385" s="45"/>
      <c r="AE385" s="45"/>
      <c r="AF385" s="45"/>
      <c r="AG385" s="45"/>
      <c r="AH385" s="45"/>
      <c r="AI385" s="45"/>
      <c r="AJ385" s="45"/>
      <c r="AK385" s="45"/>
      <c r="AL385" s="45"/>
      <c r="AM385" s="45"/>
      <c r="AN385" s="45"/>
      <c r="AO385" s="45"/>
      <c r="AP385" s="45"/>
      <c r="AQ385" s="36"/>
      <c r="AR385" s="36"/>
      <c r="AS385" s="36"/>
      <c r="AT385" s="36"/>
      <c r="AU385" s="36"/>
      <c r="AV385" s="36"/>
      <c r="AW385" s="36"/>
      <c r="AX385" s="36"/>
      <c r="AY385" s="36"/>
      <c r="AZ385" s="36"/>
      <c r="BA385" s="36"/>
      <c r="BB385" s="36"/>
      <c r="BC385" s="36"/>
      <c r="BD385" s="36"/>
      <c r="BE385" s="36"/>
      <c r="BF385" s="36"/>
      <c r="BG385" s="36"/>
      <c r="BH385" s="36"/>
      <c r="BI385" s="36"/>
      <c r="BJ385" s="36"/>
      <c r="BK385" s="36"/>
      <c r="BL385" s="36"/>
      <c r="BM385" s="36"/>
      <c r="BN385" s="36"/>
      <c r="BO385" s="36"/>
      <c r="BP385" s="36"/>
      <c r="BQ385" s="36"/>
    </row>
    <row r="386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51"/>
      <c r="S386" s="51"/>
      <c r="T386" s="51"/>
      <c r="U386" s="51"/>
      <c r="V386" s="51"/>
      <c r="W386" s="51"/>
      <c r="X386" s="51"/>
      <c r="Y386" s="45"/>
      <c r="Z386" s="45"/>
      <c r="AA386" s="45"/>
      <c r="AB386" s="45"/>
      <c r="AC386" s="45"/>
      <c r="AD386" s="45"/>
      <c r="AE386" s="45"/>
      <c r="AF386" s="45"/>
      <c r="AG386" s="45"/>
      <c r="AH386" s="45"/>
      <c r="AI386" s="45"/>
      <c r="AJ386" s="45"/>
      <c r="AK386" s="45"/>
      <c r="AL386" s="45"/>
      <c r="AM386" s="45"/>
      <c r="AN386" s="45"/>
      <c r="AO386" s="45"/>
      <c r="AP386" s="45"/>
      <c r="AQ386" s="36"/>
      <c r="AR386" s="36"/>
      <c r="AS386" s="36"/>
      <c r="AT386" s="36"/>
      <c r="AU386" s="36"/>
      <c r="AV386" s="36"/>
      <c r="AW386" s="36"/>
      <c r="AX386" s="36"/>
      <c r="AY386" s="36"/>
      <c r="AZ386" s="36"/>
      <c r="BA386" s="36"/>
      <c r="BB386" s="36"/>
      <c r="BC386" s="36"/>
      <c r="BD386" s="36"/>
      <c r="BE386" s="36"/>
      <c r="BF386" s="36"/>
      <c r="BG386" s="36"/>
      <c r="BH386" s="36"/>
      <c r="BI386" s="36"/>
      <c r="BJ386" s="36"/>
      <c r="BK386" s="36"/>
      <c r="BL386" s="36"/>
      <c r="BM386" s="36"/>
      <c r="BN386" s="36"/>
      <c r="BO386" s="36"/>
      <c r="BP386" s="36"/>
      <c r="BQ386" s="36"/>
    </row>
    <row r="387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51"/>
      <c r="S387" s="51"/>
      <c r="T387" s="51"/>
      <c r="U387" s="51"/>
      <c r="V387" s="51"/>
      <c r="W387" s="51"/>
      <c r="X387" s="51"/>
      <c r="Y387" s="45"/>
      <c r="Z387" s="45"/>
      <c r="AA387" s="45"/>
      <c r="AB387" s="45"/>
      <c r="AC387" s="45"/>
      <c r="AD387" s="45"/>
      <c r="AE387" s="45"/>
      <c r="AF387" s="45"/>
      <c r="AG387" s="45"/>
      <c r="AH387" s="45"/>
      <c r="AI387" s="45"/>
      <c r="AJ387" s="45"/>
      <c r="AK387" s="45"/>
      <c r="AL387" s="45"/>
      <c r="AM387" s="45"/>
      <c r="AN387" s="45"/>
      <c r="AO387" s="45"/>
      <c r="AP387" s="45"/>
      <c r="AQ387" s="36"/>
      <c r="AR387" s="36"/>
      <c r="AS387" s="36"/>
      <c r="AT387" s="36"/>
      <c r="AU387" s="36"/>
      <c r="AV387" s="36"/>
      <c r="AW387" s="36"/>
      <c r="AX387" s="36"/>
      <c r="AY387" s="36"/>
      <c r="AZ387" s="36"/>
      <c r="BA387" s="36"/>
      <c r="BB387" s="36"/>
      <c r="BC387" s="36"/>
      <c r="BD387" s="36"/>
      <c r="BE387" s="36"/>
      <c r="BF387" s="36"/>
      <c r="BG387" s="36"/>
      <c r="BH387" s="36"/>
      <c r="BI387" s="36"/>
      <c r="BJ387" s="36"/>
      <c r="BK387" s="36"/>
      <c r="BL387" s="36"/>
      <c r="BM387" s="36"/>
      <c r="BN387" s="36"/>
      <c r="BO387" s="36"/>
      <c r="BP387" s="36"/>
      <c r="BQ387" s="36"/>
    </row>
    <row r="388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51"/>
      <c r="S388" s="51"/>
      <c r="T388" s="51"/>
      <c r="U388" s="51"/>
      <c r="V388" s="51"/>
      <c r="W388" s="51"/>
      <c r="X388" s="51"/>
      <c r="Y388" s="45"/>
      <c r="Z388" s="45"/>
      <c r="AA388" s="45"/>
      <c r="AB388" s="45"/>
      <c r="AC388" s="45"/>
      <c r="AD388" s="45"/>
      <c r="AE388" s="45"/>
      <c r="AF388" s="45"/>
      <c r="AG388" s="45"/>
      <c r="AH388" s="45"/>
      <c r="AI388" s="45"/>
      <c r="AJ388" s="45"/>
      <c r="AK388" s="45"/>
      <c r="AL388" s="45"/>
      <c r="AM388" s="45"/>
      <c r="AN388" s="45"/>
      <c r="AO388" s="45"/>
      <c r="AP388" s="45"/>
      <c r="AQ388" s="36"/>
      <c r="AR388" s="36"/>
      <c r="AS388" s="36"/>
      <c r="AT388" s="36"/>
      <c r="AU388" s="36"/>
      <c r="AV388" s="36"/>
      <c r="AW388" s="36"/>
      <c r="AX388" s="36"/>
      <c r="AY388" s="36"/>
      <c r="AZ388" s="36"/>
      <c r="BA388" s="36"/>
      <c r="BB388" s="36"/>
      <c r="BC388" s="36"/>
      <c r="BD388" s="36"/>
      <c r="BE388" s="36"/>
      <c r="BF388" s="36"/>
      <c r="BG388" s="36"/>
      <c r="BH388" s="36"/>
      <c r="BI388" s="36"/>
      <c r="BJ388" s="36"/>
      <c r="BK388" s="36"/>
      <c r="BL388" s="36"/>
      <c r="BM388" s="36"/>
      <c r="BN388" s="36"/>
      <c r="BO388" s="36"/>
      <c r="BP388" s="36"/>
      <c r="BQ388" s="36"/>
    </row>
    <row r="389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51"/>
      <c r="S389" s="51"/>
      <c r="T389" s="51"/>
      <c r="U389" s="51"/>
      <c r="V389" s="51"/>
      <c r="W389" s="51"/>
      <c r="X389" s="51"/>
      <c r="Y389" s="45"/>
      <c r="Z389" s="45"/>
      <c r="AA389" s="45"/>
      <c r="AB389" s="45"/>
      <c r="AC389" s="45"/>
      <c r="AD389" s="45"/>
      <c r="AE389" s="45"/>
      <c r="AF389" s="45"/>
      <c r="AG389" s="45"/>
      <c r="AH389" s="45"/>
      <c r="AI389" s="45"/>
      <c r="AJ389" s="45"/>
      <c r="AK389" s="45"/>
      <c r="AL389" s="45"/>
      <c r="AM389" s="45"/>
      <c r="AN389" s="45"/>
      <c r="AO389" s="45"/>
      <c r="AP389" s="45"/>
      <c r="AQ389" s="36"/>
      <c r="AR389" s="36"/>
      <c r="AS389" s="36"/>
      <c r="AT389" s="36"/>
      <c r="AU389" s="36"/>
      <c r="AV389" s="36"/>
      <c r="AW389" s="36"/>
      <c r="AX389" s="36"/>
      <c r="AY389" s="36"/>
      <c r="AZ389" s="36"/>
      <c r="BA389" s="36"/>
      <c r="BB389" s="36"/>
      <c r="BC389" s="36"/>
      <c r="BD389" s="36"/>
      <c r="BE389" s="36"/>
      <c r="BF389" s="36"/>
      <c r="BG389" s="36"/>
      <c r="BH389" s="36"/>
      <c r="BI389" s="36"/>
      <c r="BJ389" s="36"/>
      <c r="BK389" s="36"/>
      <c r="BL389" s="36"/>
      <c r="BM389" s="36"/>
      <c r="BN389" s="36"/>
      <c r="BO389" s="36"/>
      <c r="BP389" s="36"/>
      <c r="BQ389" s="36"/>
    </row>
    <row r="390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51"/>
      <c r="S390" s="51"/>
      <c r="T390" s="51"/>
      <c r="U390" s="51"/>
      <c r="V390" s="51"/>
      <c r="W390" s="51"/>
      <c r="X390" s="51"/>
      <c r="Y390" s="45"/>
      <c r="Z390" s="45"/>
      <c r="AA390" s="45"/>
      <c r="AB390" s="45"/>
      <c r="AC390" s="45"/>
      <c r="AD390" s="45"/>
      <c r="AE390" s="45"/>
      <c r="AF390" s="45"/>
      <c r="AG390" s="45"/>
      <c r="AH390" s="45"/>
      <c r="AI390" s="45"/>
      <c r="AJ390" s="45"/>
      <c r="AK390" s="45"/>
      <c r="AL390" s="45"/>
      <c r="AM390" s="45"/>
      <c r="AN390" s="45"/>
      <c r="AO390" s="45"/>
      <c r="AP390" s="45"/>
      <c r="AQ390" s="36"/>
      <c r="AR390" s="36"/>
      <c r="AS390" s="36"/>
      <c r="AT390" s="36"/>
      <c r="AU390" s="36"/>
      <c r="AV390" s="36"/>
      <c r="AW390" s="36"/>
      <c r="AX390" s="36"/>
      <c r="AY390" s="36"/>
      <c r="AZ390" s="36"/>
      <c r="BA390" s="36"/>
      <c r="BB390" s="36"/>
      <c r="BC390" s="36"/>
      <c r="BD390" s="36"/>
      <c r="BE390" s="36"/>
      <c r="BF390" s="36"/>
      <c r="BG390" s="36"/>
      <c r="BH390" s="36"/>
      <c r="BI390" s="36"/>
      <c r="BJ390" s="36"/>
      <c r="BK390" s="36"/>
      <c r="BL390" s="36"/>
      <c r="BM390" s="36"/>
      <c r="BN390" s="36"/>
      <c r="BO390" s="36"/>
      <c r="BP390" s="36"/>
      <c r="BQ390" s="36"/>
    </row>
    <row r="39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51"/>
      <c r="S391" s="51"/>
      <c r="T391" s="51"/>
      <c r="U391" s="51"/>
      <c r="V391" s="51"/>
      <c r="W391" s="51"/>
      <c r="X391" s="51"/>
      <c r="Y391" s="45"/>
      <c r="Z391" s="45"/>
      <c r="AA391" s="45"/>
      <c r="AB391" s="45"/>
      <c r="AC391" s="45"/>
      <c r="AD391" s="45"/>
      <c r="AE391" s="45"/>
      <c r="AF391" s="45"/>
      <c r="AG391" s="45"/>
      <c r="AH391" s="45"/>
      <c r="AI391" s="45"/>
      <c r="AJ391" s="45"/>
      <c r="AK391" s="45"/>
      <c r="AL391" s="45"/>
      <c r="AM391" s="45"/>
      <c r="AN391" s="45"/>
      <c r="AO391" s="45"/>
      <c r="AP391" s="45"/>
      <c r="AQ391" s="36"/>
      <c r="AR391" s="36"/>
      <c r="AS391" s="36"/>
      <c r="AT391" s="36"/>
      <c r="AU391" s="36"/>
      <c r="AV391" s="36"/>
      <c r="AW391" s="36"/>
      <c r="AX391" s="36"/>
      <c r="AY391" s="36"/>
      <c r="AZ391" s="36"/>
      <c r="BA391" s="36"/>
      <c r="BB391" s="36"/>
      <c r="BC391" s="36"/>
      <c r="BD391" s="36"/>
      <c r="BE391" s="36"/>
      <c r="BF391" s="36"/>
      <c r="BG391" s="36"/>
      <c r="BH391" s="36"/>
      <c r="BI391" s="36"/>
      <c r="BJ391" s="36"/>
      <c r="BK391" s="36"/>
      <c r="BL391" s="36"/>
      <c r="BM391" s="36"/>
      <c r="BN391" s="36"/>
      <c r="BO391" s="36"/>
      <c r="BP391" s="36"/>
      <c r="BQ391" s="36"/>
    </row>
    <row r="392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51"/>
      <c r="S392" s="51"/>
      <c r="T392" s="51"/>
      <c r="U392" s="51"/>
      <c r="V392" s="51"/>
      <c r="W392" s="51"/>
      <c r="X392" s="51"/>
      <c r="Y392" s="45"/>
      <c r="Z392" s="45"/>
      <c r="AA392" s="45"/>
      <c r="AB392" s="45"/>
      <c r="AC392" s="45"/>
      <c r="AD392" s="45"/>
      <c r="AE392" s="45"/>
      <c r="AF392" s="45"/>
      <c r="AG392" s="45"/>
      <c r="AH392" s="45"/>
      <c r="AI392" s="45"/>
      <c r="AJ392" s="45"/>
      <c r="AK392" s="45"/>
      <c r="AL392" s="45"/>
      <c r="AM392" s="45"/>
      <c r="AN392" s="45"/>
      <c r="AO392" s="45"/>
      <c r="AP392" s="45"/>
      <c r="AQ392" s="36"/>
      <c r="AR392" s="36"/>
      <c r="AS392" s="36"/>
      <c r="AT392" s="36"/>
      <c r="AU392" s="36"/>
      <c r="AV392" s="36"/>
      <c r="AW392" s="36"/>
      <c r="AX392" s="36"/>
      <c r="AY392" s="36"/>
      <c r="AZ392" s="36"/>
      <c r="BA392" s="36"/>
      <c r="BB392" s="36"/>
      <c r="BC392" s="36"/>
      <c r="BD392" s="36"/>
      <c r="BE392" s="36"/>
      <c r="BF392" s="36"/>
      <c r="BG392" s="36"/>
      <c r="BH392" s="36"/>
      <c r="BI392" s="36"/>
      <c r="BJ392" s="36"/>
      <c r="BK392" s="36"/>
      <c r="BL392" s="36"/>
      <c r="BM392" s="36"/>
      <c r="BN392" s="36"/>
      <c r="BO392" s="36"/>
      <c r="BP392" s="36"/>
      <c r="BQ392" s="36"/>
    </row>
    <row r="393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51"/>
      <c r="S393" s="51"/>
      <c r="T393" s="51"/>
      <c r="U393" s="51"/>
      <c r="V393" s="51"/>
      <c r="W393" s="51"/>
      <c r="X393" s="51"/>
      <c r="Y393" s="45"/>
      <c r="Z393" s="45"/>
      <c r="AA393" s="45"/>
      <c r="AB393" s="45"/>
      <c r="AC393" s="45"/>
      <c r="AD393" s="45"/>
      <c r="AE393" s="45"/>
      <c r="AF393" s="45"/>
      <c r="AG393" s="45"/>
      <c r="AH393" s="45"/>
      <c r="AI393" s="45"/>
      <c r="AJ393" s="45"/>
      <c r="AK393" s="45"/>
      <c r="AL393" s="45"/>
      <c r="AM393" s="45"/>
      <c r="AN393" s="45"/>
      <c r="AO393" s="45"/>
      <c r="AP393" s="45"/>
      <c r="AQ393" s="36"/>
      <c r="AR393" s="36"/>
      <c r="AS393" s="36"/>
      <c r="AT393" s="36"/>
      <c r="AU393" s="36"/>
      <c r="AV393" s="36"/>
      <c r="AW393" s="36"/>
      <c r="AX393" s="36"/>
      <c r="AY393" s="36"/>
      <c r="AZ393" s="36"/>
      <c r="BA393" s="36"/>
      <c r="BB393" s="36"/>
      <c r="BC393" s="36"/>
      <c r="BD393" s="36"/>
      <c r="BE393" s="36"/>
      <c r="BF393" s="36"/>
      <c r="BG393" s="36"/>
      <c r="BH393" s="36"/>
      <c r="BI393" s="36"/>
      <c r="BJ393" s="36"/>
      <c r="BK393" s="36"/>
      <c r="BL393" s="36"/>
      <c r="BM393" s="36"/>
      <c r="BN393" s="36"/>
      <c r="BO393" s="36"/>
      <c r="BP393" s="36"/>
      <c r="BQ393" s="36"/>
    </row>
    <row r="394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51"/>
      <c r="S394" s="51"/>
      <c r="T394" s="51"/>
      <c r="U394" s="51"/>
      <c r="V394" s="51"/>
      <c r="W394" s="51"/>
      <c r="X394" s="51"/>
      <c r="Y394" s="45"/>
      <c r="Z394" s="45"/>
      <c r="AA394" s="45"/>
      <c r="AB394" s="45"/>
      <c r="AC394" s="45"/>
      <c r="AD394" s="45"/>
      <c r="AE394" s="45"/>
      <c r="AF394" s="45"/>
      <c r="AG394" s="45"/>
      <c r="AH394" s="45"/>
      <c r="AI394" s="45"/>
      <c r="AJ394" s="45"/>
      <c r="AK394" s="45"/>
      <c r="AL394" s="45"/>
      <c r="AM394" s="45"/>
      <c r="AN394" s="45"/>
      <c r="AO394" s="45"/>
      <c r="AP394" s="45"/>
      <c r="AQ394" s="36"/>
      <c r="AR394" s="36"/>
      <c r="AS394" s="36"/>
      <c r="AT394" s="36"/>
      <c r="AU394" s="36"/>
      <c r="AV394" s="36"/>
      <c r="AW394" s="36"/>
      <c r="AX394" s="36"/>
      <c r="AY394" s="36"/>
      <c r="AZ394" s="36"/>
      <c r="BA394" s="36"/>
      <c r="BB394" s="36"/>
      <c r="BC394" s="36"/>
      <c r="BD394" s="36"/>
      <c r="BE394" s="36"/>
      <c r="BF394" s="36"/>
      <c r="BG394" s="36"/>
      <c r="BH394" s="36"/>
      <c r="BI394" s="36"/>
      <c r="BJ394" s="36"/>
      <c r="BK394" s="36"/>
      <c r="BL394" s="36"/>
      <c r="BM394" s="36"/>
      <c r="BN394" s="36"/>
      <c r="BO394" s="36"/>
      <c r="BP394" s="36"/>
      <c r="BQ394" s="36"/>
    </row>
    <row r="39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51"/>
      <c r="S395" s="51"/>
      <c r="T395" s="51"/>
      <c r="U395" s="51"/>
      <c r="V395" s="51"/>
      <c r="W395" s="51"/>
      <c r="X395" s="51"/>
      <c r="Y395" s="45"/>
      <c r="Z395" s="45"/>
      <c r="AA395" s="45"/>
      <c r="AB395" s="45"/>
      <c r="AC395" s="45"/>
      <c r="AD395" s="45"/>
      <c r="AE395" s="45"/>
      <c r="AF395" s="45"/>
      <c r="AG395" s="45"/>
      <c r="AH395" s="45"/>
      <c r="AI395" s="45"/>
      <c r="AJ395" s="45"/>
      <c r="AK395" s="45"/>
      <c r="AL395" s="45"/>
      <c r="AM395" s="45"/>
      <c r="AN395" s="45"/>
      <c r="AO395" s="45"/>
      <c r="AP395" s="45"/>
      <c r="AQ395" s="36"/>
      <c r="AR395" s="36"/>
      <c r="AS395" s="36"/>
      <c r="AT395" s="36"/>
      <c r="AU395" s="36"/>
      <c r="AV395" s="36"/>
      <c r="AW395" s="36"/>
      <c r="AX395" s="36"/>
      <c r="AY395" s="36"/>
      <c r="AZ395" s="36"/>
      <c r="BA395" s="36"/>
      <c r="BB395" s="36"/>
      <c r="BC395" s="36"/>
      <c r="BD395" s="36"/>
      <c r="BE395" s="36"/>
      <c r="BF395" s="36"/>
      <c r="BG395" s="36"/>
      <c r="BH395" s="36"/>
      <c r="BI395" s="36"/>
      <c r="BJ395" s="36"/>
      <c r="BK395" s="36"/>
      <c r="BL395" s="36"/>
      <c r="BM395" s="36"/>
      <c r="BN395" s="36"/>
      <c r="BO395" s="36"/>
      <c r="BP395" s="36"/>
      <c r="BQ395" s="36"/>
    </row>
    <row r="396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51"/>
      <c r="S396" s="51"/>
      <c r="T396" s="51"/>
      <c r="U396" s="51"/>
      <c r="V396" s="51"/>
      <c r="W396" s="51"/>
      <c r="X396" s="51"/>
      <c r="Y396" s="45"/>
      <c r="Z396" s="45"/>
      <c r="AA396" s="45"/>
      <c r="AB396" s="45"/>
      <c r="AC396" s="45"/>
      <c r="AD396" s="45"/>
      <c r="AE396" s="45"/>
      <c r="AF396" s="45"/>
      <c r="AG396" s="45"/>
      <c r="AH396" s="45"/>
      <c r="AI396" s="45"/>
      <c r="AJ396" s="45"/>
      <c r="AK396" s="45"/>
      <c r="AL396" s="45"/>
      <c r="AM396" s="45"/>
      <c r="AN396" s="45"/>
      <c r="AO396" s="45"/>
      <c r="AP396" s="45"/>
      <c r="AQ396" s="36"/>
      <c r="AR396" s="36"/>
      <c r="AS396" s="36"/>
      <c r="AT396" s="36"/>
      <c r="AU396" s="36"/>
      <c r="AV396" s="36"/>
      <c r="AW396" s="36"/>
      <c r="AX396" s="36"/>
      <c r="AY396" s="36"/>
      <c r="AZ396" s="36"/>
      <c r="BA396" s="36"/>
      <c r="BB396" s="36"/>
      <c r="BC396" s="36"/>
      <c r="BD396" s="36"/>
      <c r="BE396" s="36"/>
      <c r="BF396" s="36"/>
      <c r="BG396" s="36"/>
      <c r="BH396" s="36"/>
      <c r="BI396" s="36"/>
      <c r="BJ396" s="36"/>
      <c r="BK396" s="36"/>
      <c r="BL396" s="36"/>
      <c r="BM396" s="36"/>
      <c r="BN396" s="36"/>
      <c r="BO396" s="36"/>
      <c r="BP396" s="36"/>
      <c r="BQ396" s="36"/>
    </row>
    <row r="397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51"/>
      <c r="S397" s="51"/>
      <c r="T397" s="51"/>
      <c r="U397" s="51"/>
      <c r="V397" s="51"/>
      <c r="W397" s="51"/>
      <c r="X397" s="51"/>
      <c r="Y397" s="45"/>
      <c r="Z397" s="45"/>
      <c r="AA397" s="45"/>
      <c r="AB397" s="45"/>
      <c r="AC397" s="45"/>
      <c r="AD397" s="45"/>
      <c r="AE397" s="45"/>
      <c r="AF397" s="45"/>
      <c r="AG397" s="45"/>
      <c r="AH397" s="45"/>
      <c r="AI397" s="45"/>
      <c r="AJ397" s="45"/>
      <c r="AK397" s="45"/>
      <c r="AL397" s="45"/>
      <c r="AM397" s="45"/>
      <c r="AN397" s="45"/>
      <c r="AO397" s="45"/>
      <c r="AP397" s="45"/>
      <c r="AQ397" s="36"/>
      <c r="AR397" s="36"/>
      <c r="AS397" s="36"/>
      <c r="AT397" s="36"/>
      <c r="AU397" s="36"/>
      <c r="AV397" s="36"/>
      <c r="AW397" s="36"/>
      <c r="AX397" s="36"/>
      <c r="AY397" s="36"/>
      <c r="AZ397" s="36"/>
      <c r="BA397" s="36"/>
      <c r="BB397" s="36"/>
      <c r="BC397" s="36"/>
      <c r="BD397" s="36"/>
      <c r="BE397" s="36"/>
      <c r="BF397" s="36"/>
      <c r="BG397" s="36"/>
      <c r="BH397" s="36"/>
      <c r="BI397" s="36"/>
      <c r="BJ397" s="36"/>
      <c r="BK397" s="36"/>
      <c r="BL397" s="36"/>
      <c r="BM397" s="36"/>
      <c r="BN397" s="36"/>
      <c r="BO397" s="36"/>
      <c r="BP397" s="36"/>
      <c r="BQ397" s="36"/>
    </row>
    <row r="398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51"/>
      <c r="S398" s="51"/>
      <c r="T398" s="51"/>
      <c r="U398" s="51"/>
      <c r="V398" s="51"/>
      <c r="W398" s="51"/>
      <c r="X398" s="51"/>
      <c r="Y398" s="45"/>
      <c r="Z398" s="45"/>
      <c r="AA398" s="45"/>
      <c r="AB398" s="45"/>
      <c r="AC398" s="45"/>
      <c r="AD398" s="45"/>
      <c r="AE398" s="45"/>
      <c r="AF398" s="45"/>
      <c r="AG398" s="45"/>
      <c r="AH398" s="45"/>
      <c r="AI398" s="45"/>
      <c r="AJ398" s="45"/>
      <c r="AK398" s="45"/>
      <c r="AL398" s="45"/>
      <c r="AM398" s="45"/>
      <c r="AN398" s="45"/>
      <c r="AO398" s="45"/>
      <c r="AP398" s="45"/>
      <c r="AQ398" s="36"/>
      <c r="AR398" s="36"/>
      <c r="AS398" s="36"/>
      <c r="AT398" s="36"/>
      <c r="AU398" s="36"/>
      <c r="AV398" s="36"/>
      <c r="AW398" s="36"/>
      <c r="AX398" s="36"/>
      <c r="AY398" s="36"/>
      <c r="AZ398" s="36"/>
      <c r="BA398" s="36"/>
      <c r="BB398" s="36"/>
      <c r="BC398" s="36"/>
      <c r="BD398" s="36"/>
      <c r="BE398" s="36"/>
      <c r="BF398" s="36"/>
      <c r="BG398" s="36"/>
      <c r="BH398" s="36"/>
      <c r="BI398" s="36"/>
      <c r="BJ398" s="36"/>
      <c r="BK398" s="36"/>
      <c r="BL398" s="36"/>
      <c r="BM398" s="36"/>
      <c r="BN398" s="36"/>
      <c r="BO398" s="36"/>
      <c r="BP398" s="36"/>
      <c r="BQ398" s="36"/>
    </row>
    <row r="399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51"/>
      <c r="S399" s="51"/>
      <c r="T399" s="51"/>
      <c r="U399" s="51"/>
      <c r="V399" s="51"/>
      <c r="W399" s="51"/>
      <c r="X399" s="51"/>
      <c r="Y399" s="45"/>
      <c r="Z399" s="45"/>
      <c r="AA399" s="45"/>
      <c r="AB399" s="45"/>
      <c r="AC399" s="45"/>
      <c r="AD399" s="45"/>
      <c r="AE399" s="45"/>
      <c r="AF399" s="45"/>
      <c r="AG399" s="45"/>
      <c r="AH399" s="45"/>
      <c r="AI399" s="45"/>
      <c r="AJ399" s="45"/>
      <c r="AK399" s="45"/>
      <c r="AL399" s="45"/>
      <c r="AM399" s="45"/>
      <c r="AN399" s="45"/>
      <c r="AO399" s="45"/>
      <c r="AP399" s="45"/>
      <c r="AQ399" s="36"/>
      <c r="AR399" s="36"/>
      <c r="AS399" s="36"/>
      <c r="AT399" s="36"/>
      <c r="AU399" s="36"/>
      <c r="AV399" s="36"/>
      <c r="AW399" s="36"/>
      <c r="AX399" s="36"/>
      <c r="AY399" s="36"/>
      <c r="AZ399" s="36"/>
      <c r="BA399" s="36"/>
      <c r="BB399" s="36"/>
      <c r="BC399" s="36"/>
      <c r="BD399" s="36"/>
      <c r="BE399" s="36"/>
      <c r="BF399" s="36"/>
      <c r="BG399" s="36"/>
      <c r="BH399" s="36"/>
      <c r="BI399" s="36"/>
      <c r="BJ399" s="36"/>
      <c r="BK399" s="36"/>
      <c r="BL399" s="36"/>
      <c r="BM399" s="36"/>
      <c r="BN399" s="36"/>
      <c r="BO399" s="36"/>
      <c r="BP399" s="36"/>
      <c r="BQ399" s="36"/>
    </row>
    <row r="400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51"/>
      <c r="S400" s="51"/>
      <c r="T400" s="51"/>
      <c r="U400" s="51"/>
      <c r="V400" s="51"/>
      <c r="W400" s="51"/>
      <c r="X400" s="51"/>
      <c r="Y400" s="45"/>
      <c r="Z400" s="45"/>
      <c r="AA400" s="45"/>
      <c r="AB400" s="45"/>
      <c r="AC400" s="45"/>
      <c r="AD400" s="45"/>
      <c r="AE400" s="45"/>
      <c r="AF400" s="45"/>
      <c r="AG400" s="45"/>
      <c r="AH400" s="45"/>
      <c r="AI400" s="45"/>
      <c r="AJ400" s="45"/>
      <c r="AK400" s="45"/>
      <c r="AL400" s="45"/>
      <c r="AM400" s="45"/>
      <c r="AN400" s="45"/>
      <c r="AO400" s="45"/>
      <c r="AP400" s="45"/>
      <c r="AQ400" s="36"/>
      <c r="AR400" s="36"/>
      <c r="AS400" s="36"/>
      <c r="AT400" s="36"/>
      <c r="AU400" s="36"/>
      <c r="AV400" s="36"/>
      <c r="AW400" s="36"/>
      <c r="AX400" s="36"/>
      <c r="AY400" s="36"/>
      <c r="AZ400" s="36"/>
      <c r="BA400" s="36"/>
      <c r="BB400" s="36"/>
      <c r="BC400" s="36"/>
      <c r="BD400" s="36"/>
      <c r="BE400" s="36"/>
      <c r="BF400" s="36"/>
      <c r="BG400" s="36"/>
      <c r="BH400" s="36"/>
      <c r="BI400" s="36"/>
      <c r="BJ400" s="36"/>
      <c r="BK400" s="36"/>
      <c r="BL400" s="36"/>
      <c r="BM400" s="36"/>
      <c r="BN400" s="36"/>
      <c r="BO400" s="36"/>
      <c r="BP400" s="36"/>
      <c r="BQ400" s="36"/>
    </row>
    <row r="40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51"/>
      <c r="S401" s="51"/>
      <c r="T401" s="51"/>
      <c r="U401" s="51"/>
      <c r="V401" s="51"/>
      <c r="W401" s="51"/>
      <c r="X401" s="51"/>
      <c r="Y401" s="45"/>
      <c r="Z401" s="45"/>
      <c r="AA401" s="45"/>
      <c r="AB401" s="45"/>
      <c r="AC401" s="45"/>
      <c r="AD401" s="45"/>
      <c r="AE401" s="45"/>
      <c r="AF401" s="45"/>
      <c r="AG401" s="45"/>
      <c r="AH401" s="45"/>
      <c r="AI401" s="45"/>
      <c r="AJ401" s="45"/>
      <c r="AK401" s="45"/>
      <c r="AL401" s="45"/>
      <c r="AM401" s="45"/>
      <c r="AN401" s="45"/>
      <c r="AO401" s="45"/>
      <c r="AP401" s="45"/>
      <c r="AQ401" s="36"/>
      <c r="AR401" s="36"/>
      <c r="AS401" s="36"/>
      <c r="AT401" s="36"/>
      <c r="AU401" s="36"/>
      <c r="AV401" s="36"/>
      <c r="AW401" s="36"/>
      <c r="AX401" s="36"/>
      <c r="AY401" s="36"/>
      <c r="AZ401" s="36"/>
      <c r="BA401" s="36"/>
      <c r="BB401" s="36"/>
      <c r="BC401" s="36"/>
      <c r="BD401" s="36"/>
      <c r="BE401" s="36"/>
      <c r="BF401" s="36"/>
      <c r="BG401" s="36"/>
      <c r="BH401" s="36"/>
      <c r="BI401" s="36"/>
      <c r="BJ401" s="36"/>
      <c r="BK401" s="36"/>
      <c r="BL401" s="36"/>
      <c r="BM401" s="36"/>
      <c r="BN401" s="36"/>
      <c r="BO401" s="36"/>
      <c r="BP401" s="36"/>
      <c r="BQ401" s="36"/>
    </row>
    <row r="402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51"/>
      <c r="S402" s="51"/>
      <c r="T402" s="51"/>
      <c r="U402" s="51"/>
      <c r="V402" s="51"/>
      <c r="W402" s="51"/>
      <c r="X402" s="51"/>
      <c r="Y402" s="45"/>
      <c r="Z402" s="45"/>
      <c r="AA402" s="45"/>
      <c r="AB402" s="45"/>
      <c r="AC402" s="45"/>
      <c r="AD402" s="45"/>
      <c r="AE402" s="45"/>
      <c r="AF402" s="45"/>
      <c r="AG402" s="45"/>
      <c r="AH402" s="45"/>
      <c r="AI402" s="45"/>
      <c r="AJ402" s="45"/>
      <c r="AK402" s="45"/>
      <c r="AL402" s="45"/>
      <c r="AM402" s="45"/>
      <c r="AN402" s="45"/>
      <c r="AO402" s="45"/>
      <c r="AP402" s="45"/>
      <c r="AQ402" s="36"/>
      <c r="AR402" s="36"/>
      <c r="AS402" s="36"/>
      <c r="AT402" s="36"/>
      <c r="AU402" s="36"/>
      <c r="AV402" s="36"/>
      <c r="AW402" s="36"/>
      <c r="AX402" s="36"/>
      <c r="AY402" s="36"/>
      <c r="AZ402" s="36"/>
      <c r="BA402" s="36"/>
      <c r="BB402" s="36"/>
      <c r="BC402" s="36"/>
      <c r="BD402" s="36"/>
      <c r="BE402" s="36"/>
      <c r="BF402" s="36"/>
      <c r="BG402" s="36"/>
      <c r="BH402" s="36"/>
      <c r="BI402" s="36"/>
      <c r="BJ402" s="36"/>
      <c r="BK402" s="36"/>
      <c r="BL402" s="36"/>
      <c r="BM402" s="36"/>
      <c r="BN402" s="36"/>
      <c r="BO402" s="36"/>
      <c r="BP402" s="36"/>
      <c r="BQ402" s="36"/>
    </row>
    <row r="403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51"/>
      <c r="S403" s="51"/>
      <c r="T403" s="51"/>
      <c r="U403" s="51"/>
      <c r="V403" s="51"/>
      <c r="W403" s="51"/>
      <c r="X403" s="51"/>
      <c r="Y403" s="45"/>
      <c r="Z403" s="45"/>
      <c r="AA403" s="45"/>
      <c r="AB403" s="45"/>
      <c r="AC403" s="45"/>
      <c r="AD403" s="45"/>
      <c r="AE403" s="45"/>
      <c r="AF403" s="45"/>
      <c r="AG403" s="45"/>
      <c r="AH403" s="45"/>
      <c r="AI403" s="45"/>
      <c r="AJ403" s="45"/>
      <c r="AK403" s="45"/>
      <c r="AL403" s="45"/>
      <c r="AM403" s="45"/>
      <c r="AN403" s="45"/>
      <c r="AO403" s="45"/>
      <c r="AP403" s="45"/>
      <c r="AQ403" s="36"/>
      <c r="AR403" s="36"/>
      <c r="AS403" s="36"/>
      <c r="AT403" s="36"/>
      <c r="AU403" s="36"/>
      <c r="AV403" s="36"/>
      <c r="AW403" s="36"/>
      <c r="AX403" s="36"/>
      <c r="AY403" s="36"/>
      <c r="AZ403" s="36"/>
      <c r="BA403" s="36"/>
      <c r="BB403" s="36"/>
      <c r="BC403" s="36"/>
      <c r="BD403" s="36"/>
      <c r="BE403" s="36"/>
      <c r="BF403" s="36"/>
      <c r="BG403" s="36"/>
      <c r="BH403" s="36"/>
      <c r="BI403" s="36"/>
      <c r="BJ403" s="36"/>
      <c r="BK403" s="36"/>
      <c r="BL403" s="36"/>
      <c r="BM403" s="36"/>
      <c r="BN403" s="36"/>
      <c r="BO403" s="36"/>
      <c r="BP403" s="36"/>
      <c r="BQ403" s="36"/>
    </row>
    <row r="404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51"/>
      <c r="S404" s="51"/>
      <c r="T404" s="51"/>
      <c r="U404" s="51"/>
      <c r="V404" s="51"/>
      <c r="W404" s="51"/>
      <c r="X404" s="51"/>
      <c r="Y404" s="45"/>
      <c r="Z404" s="45"/>
      <c r="AA404" s="45"/>
      <c r="AB404" s="45"/>
      <c r="AC404" s="45"/>
      <c r="AD404" s="45"/>
      <c r="AE404" s="45"/>
      <c r="AF404" s="45"/>
      <c r="AG404" s="45"/>
      <c r="AH404" s="45"/>
      <c r="AI404" s="45"/>
      <c r="AJ404" s="45"/>
      <c r="AK404" s="45"/>
      <c r="AL404" s="45"/>
      <c r="AM404" s="45"/>
      <c r="AN404" s="45"/>
      <c r="AO404" s="45"/>
      <c r="AP404" s="45"/>
      <c r="AQ404" s="36"/>
      <c r="AR404" s="36"/>
      <c r="AS404" s="36"/>
      <c r="AT404" s="36"/>
      <c r="AU404" s="36"/>
      <c r="AV404" s="36"/>
      <c r="AW404" s="36"/>
      <c r="AX404" s="36"/>
      <c r="AY404" s="36"/>
      <c r="AZ404" s="36"/>
      <c r="BA404" s="36"/>
      <c r="BB404" s="36"/>
      <c r="BC404" s="36"/>
      <c r="BD404" s="36"/>
      <c r="BE404" s="36"/>
      <c r="BF404" s="36"/>
      <c r="BG404" s="36"/>
      <c r="BH404" s="36"/>
      <c r="BI404" s="36"/>
      <c r="BJ404" s="36"/>
      <c r="BK404" s="36"/>
      <c r="BL404" s="36"/>
      <c r="BM404" s="36"/>
      <c r="BN404" s="36"/>
      <c r="BO404" s="36"/>
      <c r="BP404" s="36"/>
      <c r="BQ404" s="36"/>
    </row>
    <row r="40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51"/>
      <c r="S405" s="51"/>
      <c r="T405" s="51"/>
      <c r="U405" s="51"/>
      <c r="V405" s="51"/>
      <c r="W405" s="51"/>
      <c r="X405" s="51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5"/>
      <c r="AM405" s="45"/>
      <c r="AN405" s="45"/>
      <c r="AO405" s="45"/>
      <c r="AP405" s="45"/>
      <c r="AQ405" s="36"/>
      <c r="AR405" s="36"/>
      <c r="AS405" s="36"/>
      <c r="AT405" s="36"/>
      <c r="AU405" s="36"/>
      <c r="AV405" s="36"/>
      <c r="AW405" s="36"/>
      <c r="AX405" s="36"/>
      <c r="AY405" s="36"/>
      <c r="AZ405" s="36"/>
      <c r="BA405" s="36"/>
      <c r="BB405" s="36"/>
      <c r="BC405" s="36"/>
      <c r="BD405" s="36"/>
      <c r="BE405" s="36"/>
      <c r="BF405" s="36"/>
      <c r="BG405" s="36"/>
      <c r="BH405" s="36"/>
      <c r="BI405" s="36"/>
      <c r="BJ405" s="36"/>
      <c r="BK405" s="36"/>
      <c r="BL405" s="36"/>
      <c r="BM405" s="36"/>
      <c r="BN405" s="36"/>
      <c r="BO405" s="36"/>
      <c r="BP405" s="36"/>
      <c r="BQ405" s="36"/>
    </row>
    <row r="406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51"/>
      <c r="S406" s="51"/>
      <c r="T406" s="51"/>
      <c r="U406" s="51"/>
      <c r="V406" s="51"/>
      <c r="W406" s="51"/>
      <c r="X406" s="51"/>
      <c r="Y406" s="45"/>
      <c r="Z406" s="45"/>
      <c r="AA406" s="45"/>
      <c r="AB406" s="45"/>
      <c r="AC406" s="45"/>
      <c r="AD406" s="45"/>
      <c r="AE406" s="45"/>
      <c r="AF406" s="45"/>
      <c r="AG406" s="45"/>
      <c r="AH406" s="45"/>
      <c r="AI406" s="45"/>
      <c r="AJ406" s="45"/>
      <c r="AK406" s="45"/>
      <c r="AL406" s="45"/>
      <c r="AM406" s="45"/>
      <c r="AN406" s="45"/>
      <c r="AO406" s="45"/>
      <c r="AP406" s="45"/>
      <c r="AQ406" s="36"/>
      <c r="AR406" s="36"/>
      <c r="AS406" s="36"/>
      <c r="AT406" s="36"/>
      <c r="AU406" s="36"/>
      <c r="AV406" s="36"/>
      <c r="AW406" s="36"/>
      <c r="AX406" s="36"/>
      <c r="AY406" s="36"/>
      <c r="AZ406" s="36"/>
      <c r="BA406" s="36"/>
      <c r="BB406" s="36"/>
      <c r="BC406" s="36"/>
      <c r="BD406" s="36"/>
      <c r="BE406" s="36"/>
      <c r="BF406" s="36"/>
      <c r="BG406" s="36"/>
      <c r="BH406" s="36"/>
      <c r="BI406" s="36"/>
      <c r="BJ406" s="36"/>
      <c r="BK406" s="36"/>
      <c r="BL406" s="36"/>
      <c r="BM406" s="36"/>
      <c r="BN406" s="36"/>
      <c r="BO406" s="36"/>
      <c r="BP406" s="36"/>
      <c r="BQ406" s="36"/>
    </row>
    <row r="407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51"/>
      <c r="S407" s="51"/>
      <c r="T407" s="51"/>
      <c r="U407" s="51"/>
      <c r="V407" s="51"/>
      <c r="W407" s="51"/>
      <c r="X407" s="51"/>
      <c r="Y407" s="45"/>
      <c r="Z407" s="45"/>
      <c r="AA407" s="45"/>
      <c r="AB407" s="45"/>
      <c r="AC407" s="45"/>
      <c r="AD407" s="45"/>
      <c r="AE407" s="45"/>
      <c r="AF407" s="45"/>
      <c r="AG407" s="45"/>
      <c r="AH407" s="45"/>
      <c r="AI407" s="45"/>
      <c r="AJ407" s="45"/>
      <c r="AK407" s="45"/>
      <c r="AL407" s="45"/>
      <c r="AM407" s="45"/>
      <c r="AN407" s="45"/>
      <c r="AO407" s="45"/>
      <c r="AP407" s="45"/>
      <c r="AQ407" s="36"/>
      <c r="AR407" s="36"/>
      <c r="AS407" s="36"/>
      <c r="AT407" s="36"/>
      <c r="AU407" s="36"/>
      <c r="AV407" s="36"/>
      <c r="AW407" s="36"/>
      <c r="AX407" s="36"/>
      <c r="AY407" s="36"/>
      <c r="AZ407" s="36"/>
      <c r="BA407" s="36"/>
      <c r="BB407" s="36"/>
      <c r="BC407" s="36"/>
      <c r="BD407" s="36"/>
      <c r="BE407" s="36"/>
      <c r="BF407" s="36"/>
      <c r="BG407" s="36"/>
      <c r="BH407" s="36"/>
      <c r="BI407" s="36"/>
      <c r="BJ407" s="36"/>
      <c r="BK407" s="36"/>
      <c r="BL407" s="36"/>
      <c r="BM407" s="36"/>
      <c r="BN407" s="36"/>
      <c r="BO407" s="36"/>
      <c r="BP407" s="36"/>
      <c r="BQ407" s="36"/>
    </row>
    <row r="408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51"/>
      <c r="S408" s="51"/>
      <c r="T408" s="51"/>
      <c r="U408" s="51"/>
      <c r="V408" s="51"/>
      <c r="W408" s="51"/>
      <c r="X408" s="51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5"/>
      <c r="AM408" s="45"/>
      <c r="AN408" s="45"/>
      <c r="AO408" s="45"/>
      <c r="AP408" s="45"/>
      <c r="AQ408" s="36"/>
      <c r="AR408" s="36"/>
      <c r="AS408" s="36"/>
      <c r="AT408" s="36"/>
      <c r="AU408" s="36"/>
      <c r="AV408" s="36"/>
      <c r="AW408" s="36"/>
      <c r="AX408" s="36"/>
      <c r="AY408" s="36"/>
      <c r="AZ408" s="36"/>
      <c r="BA408" s="36"/>
      <c r="BB408" s="36"/>
      <c r="BC408" s="36"/>
      <c r="BD408" s="36"/>
      <c r="BE408" s="36"/>
      <c r="BF408" s="36"/>
      <c r="BG408" s="36"/>
      <c r="BH408" s="36"/>
      <c r="BI408" s="36"/>
      <c r="BJ408" s="36"/>
      <c r="BK408" s="36"/>
      <c r="BL408" s="36"/>
      <c r="BM408" s="36"/>
      <c r="BN408" s="36"/>
      <c r="BO408" s="36"/>
      <c r="BP408" s="36"/>
      <c r="BQ408" s="36"/>
    </row>
    <row r="409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51"/>
      <c r="S409" s="51"/>
      <c r="T409" s="51"/>
      <c r="U409" s="51"/>
      <c r="V409" s="51"/>
      <c r="W409" s="51"/>
      <c r="X409" s="51"/>
      <c r="Y409" s="45"/>
      <c r="Z409" s="45"/>
      <c r="AA409" s="45"/>
      <c r="AB409" s="45"/>
      <c r="AC409" s="45"/>
      <c r="AD409" s="45"/>
      <c r="AE409" s="45"/>
      <c r="AF409" s="45"/>
      <c r="AG409" s="45"/>
      <c r="AH409" s="45"/>
      <c r="AI409" s="45"/>
      <c r="AJ409" s="45"/>
      <c r="AK409" s="45"/>
      <c r="AL409" s="45"/>
      <c r="AM409" s="45"/>
      <c r="AN409" s="45"/>
      <c r="AO409" s="45"/>
      <c r="AP409" s="45"/>
      <c r="AQ409" s="36"/>
      <c r="AR409" s="36"/>
      <c r="AS409" s="36"/>
      <c r="AT409" s="36"/>
      <c r="AU409" s="36"/>
      <c r="AV409" s="36"/>
      <c r="AW409" s="36"/>
      <c r="AX409" s="36"/>
      <c r="AY409" s="36"/>
      <c r="AZ409" s="36"/>
      <c r="BA409" s="36"/>
      <c r="BB409" s="36"/>
      <c r="BC409" s="36"/>
      <c r="BD409" s="36"/>
      <c r="BE409" s="36"/>
      <c r="BF409" s="36"/>
      <c r="BG409" s="36"/>
      <c r="BH409" s="36"/>
      <c r="BI409" s="36"/>
      <c r="BJ409" s="36"/>
      <c r="BK409" s="36"/>
      <c r="BL409" s="36"/>
      <c r="BM409" s="36"/>
      <c r="BN409" s="36"/>
      <c r="BO409" s="36"/>
      <c r="BP409" s="36"/>
      <c r="BQ409" s="36"/>
    </row>
    <row r="410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51"/>
      <c r="S410" s="51"/>
      <c r="T410" s="51"/>
      <c r="U410" s="51"/>
      <c r="V410" s="51"/>
      <c r="W410" s="51"/>
      <c r="X410" s="51"/>
      <c r="Y410" s="45"/>
      <c r="Z410" s="45"/>
      <c r="AA410" s="45"/>
      <c r="AB410" s="45"/>
      <c r="AC410" s="45"/>
      <c r="AD410" s="45"/>
      <c r="AE410" s="45"/>
      <c r="AF410" s="45"/>
      <c r="AG410" s="45"/>
      <c r="AH410" s="45"/>
      <c r="AI410" s="45"/>
      <c r="AJ410" s="45"/>
      <c r="AK410" s="45"/>
      <c r="AL410" s="45"/>
      <c r="AM410" s="45"/>
      <c r="AN410" s="45"/>
      <c r="AO410" s="45"/>
      <c r="AP410" s="45"/>
      <c r="AQ410" s="36"/>
      <c r="AR410" s="36"/>
      <c r="AS410" s="36"/>
      <c r="AT410" s="36"/>
      <c r="AU410" s="36"/>
      <c r="AV410" s="36"/>
      <c r="AW410" s="36"/>
      <c r="AX410" s="36"/>
      <c r="AY410" s="36"/>
      <c r="AZ410" s="36"/>
      <c r="BA410" s="36"/>
      <c r="BB410" s="36"/>
      <c r="BC410" s="36"/>
      <c r="BD410" s="36"/>
      <c r="BE410" s="36"/>
      <c r="BF410" s="36"/>
      <c r="BG410" s="36"/>
      <c r="BH410" s="36"/>
      <c r="BI410" s="36"/>
      <c r="BJ410" s="36"/>
      <c r="BK410" s="36"/>
      <c r="BL410" s="36"/>
      <c r="BM410" s="36"/>
      <c r="BN410" s="36"/>
      <c r="BO410" s="36"/>
      <c r="BP410" s="36"/>
      <c r="BQ410" s="36"/>
    </row>
    <row r="41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51"/>
      <c r="S411" s="51"/>
      <c r="T411" s="51"/>
      <c r="U411" s="51"/>
      <c r="V411" s="51"/>
      <c r="W411" s="51"/>
      <c r="X411" s="51"/>
      <c r="Y411" s="45"/>
      <c r="Z411" s="45"/>
      <c r="AA411" s="45"/>
      <c r="AB411" s="45"/>
      <c r="AC411" s="45"/>
      <c r="AD411" s="45"/>
      <c r="AE411" s="45"/>
      <c r="AF411" s="45"/>
      <c r="AG411" s="45"/>
      <c r="AH411" s="45"/>
      <c r="AI411" s="45"/>
      <c r="AJ411" s="45"/>
      <c r="AK411" s="45"/>
      <c r="AL411" s="45"/>
      <c r="AM411" s="45"/>
      <c r="AN411" s="45"/>
      <c r="AO411" s="45"/>
      <c r="AP411" s="45"/>
      <c r="AQ411" s="36"/>
      <c r="AR411" s="36"/>
      <c r="AS411" s="36"/>
      <c r="AT411" s="36"/>
      <c r="AU411" s="36"/>
      <c r="AV411" s="36"/>
      <c r="AW411" s="36"/>
      <c r="AX411" s="36"/>
      <c r="AY411" s="36"/>
      <c r="AZ411" s="36"/>
      <c r="BA411" s="36"/>
      <c r="BB411" s="36"/>
      <c r="BC411" s="36"/>
      <c r="BD411" s="36"/>
      <c r="BE411" s="36"/>
      <c r="BF411" s="36"/>
      <c r="BG411" s="36"/>
      <c r="BH411" s="36"/>
      <c r="BI411" s="36"/>
      <c r="BJ411" s="36"/>
      <c r="BK411" s="36"/>
      <c r="BL411" s="36"/>
      <c r="BM411" s="36"/>
      <c r="BN411" s="36"/>
      <c r="BO411" s="36"/>
      <c r="BP411" s="36"/>
      <c r="BQ411" s="36"/>
    </row>
    <row r="412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51"/>
      <c r="S412" s="51"/>
      <c r="T412" s="51"/>
      <c r="U412" s="51"/>
      <c r="V412" s="51"/>
      <c r="W412" s="51"/>
      <c r="X412" s="51"/>
      <c r="Y412" s="45"/>
      <c r="Z412" s="45"/>
      <c r="AA412" s="45"/>
      <c r="AB412" s="45"/>
      <c r="AC412" s="45"/>
      <c r="AD412" s="45"/>
      <c r="AE412" s="45"/>
      <c r="AF412" s="45"/>
      <c r="AG412" s="45"/>
      <c r="AH412" s="45"/>
      <c r="AI412" s="45"/>
      <c r="AJ412" s="45"/>
      <c r="AK412" s="45"/>
      <c r="AL412" s="45"/>
      <c r="AM412" s="45"/>
      <c r="AN412" s="45"/>
      <c r="AO412" s="45"/>
      <c r="AP412" s="45"/>
      <c r="AQ412" s="36"/>
      <c r="AR412" s="36"/>
      <c r="AS412" s="36"/>
      <c r="AT412" s="36"/>
      <c r="AU412" s="36"/>
      <c r="AV412" s="36"/>
      <c r="AW412" s="36"/>
      <c r="AX412" s="36"/>
      <c r="AY412" s="36"/>
      <c r="AZ412" s="36"/>
      <c r="BA412" s="36"/>
      <c r="BB412" s="36"/>
      <c r="BC412" s="36"/>
      <c r="BD412" s="36"/>
      <c r="BE412" s="36"/>
      <c r="BF412" s="36"/>
      <c r="BG412" s="36"/>
      <c r="BH412" s="36"/>
      <c r="BI412" s="36"/>
      <c r="BJ412" s="36"/>
      <c r="BK412" s="36"/>
      <c r="BL412" s="36"/>
      <c r="BM412" s="36"/>
      <c r="BN412" s="36"/>
      <c r="BO412" s="36"/>
      <c r="BP412" s="36"/>
      <c r="BQ412" s="36"/>
    </row>
    <row r="413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51"/>
      <c r="S413" s="51"/>
      <c r="T413" s="51"/>
      <c r="U413" s="51"/>
      <c r="V413" s="51"/>
      <c r="W413" s="51"/>
      <c r="X413" s="51"/>
      <c r="Y413" s="45"/>
      <c r="Z413" s="45"/>
      <c r="AA413" s="45"/>
      <c r="AB413" s="45"/>
      <c r="AC413" s="45"/>
      <c r="AD413" s="45"/>
      <c r="AE413" s="45"/>
      <c r="AF413" s="45"/>
      <c r="AG413" s="45"/>
      <c r="AH413" s="45"/>
      <c r="AI413" s="45"/>
      <c r="AJ413" s="45"/>
      <c r="AK413" s="45"/>
      <c r="AL413" s="45"/>
      <c r="AM413" s="45"/>
      <c r="AN413" s="45"/>
      <c r="AO413" s="45"/>
      <c r="AP413" s="45"/>
      <c r="AQ413" s="36"/>
      <c r="AR413" s="36"/>
      <c r="AS413" s="36"/>
      <c r="AT413" s="36"/>
      <c r="AU413" s="36"/>
      <c r="AV413" s="36"/>
      <c r="AW413" s="36"/>
      <c r="AX413" s="36"/>
      <c r="AY413" s="36"/>
      <c r="AZ413" s="36"/>
      <c r="BA413" s="36"/>
      <c r="BB413" s="36"/>
      <c r="BC413" s="36"/>
      <c r="BD413" s="36"/>
      <c r="BE413" s="36"/>
      <c r="BF413" s="36"/>
      <c r="BG413" s="36"/>
      <c r="BH413" s="36"/>
      <c r="BI413" s="36"/>
      <c r="BJ413" s="36"/>
      <c r="BK413" s="36"/>
      <c r="BL413" s="36"/>
      <c r="BM413" s="36"/>
      <c r="BN413" s="36"/>
      <c r="BO413" s="36"/>
      <c r="BP413" s="36"/>
      <c r="BQ413" s="36"/>
    </row>
    <row r="414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51"/>
      <c r="S414" s="51"/>
      <c r="T414" s="51"/>
      <c r="U414" s="51"/>
      <c r="V414" s="51"/>
      <c r="W414" s="51"/>
      <c r="X414" s="51"/>
      <c r="Y414" s="45"/>
      <c r="Z414" s="45"/>
      <c r="AA414" s="45"/>
      <c r="AB414" s="45"/>
      <c r="AC414" s="45"/>
      <c r="AD414" s="45"/>
      <c r="AE414" s="45"/>
      <c r="AF414" s="45"/>
      <c r="AG414" s="45"/>
      <c r="AH414" s="45"/>
      <c r="AI414" s="45"/>
      <c r="AJ414" s="45"/>
      <c r="AK414" s="45"/>
      <c r="AL414" s="45"/>
      <c r="AM414" s="45"/>
      <c r="AN414" s="45"/>
      <c r="AO414" s="45"/>
      <c r="AP414" s="45"/>
      <c r="AQ414" s="36"/>
      <c r="AR414" s="36"/>
      <c r="AS414" s="36"/>
      <c r="AT414" s="36"/>
      <c r="AU414" s="36"/>
      <c r="AV414" s="36"/>
      <c r="AW414" s="36"/>
      <c r="AX414" s="36"/>
      <c r="AY414" s="36"/>
      <c r="AZ414" s="36"/>
      <c r="BA414" s="36"/>
      <c r="BB414" s="36"/>
      <c r="BC414" s="36"/>
      <c r="BD414" s="36"/>
      <c r="BE414" s="36"/>
      <c r="BF414" s="36"/>
      <c r="BG414" s="36"/>
      <c r="BH414" s="36"/>
      <c r="BI414" s="36"/>
      <c r="BJ414" s="36"/>
      <c r="BK414" s="36"/>
      <c r="BL414" s="36"/>
      <c r="BM414" s="36"/>
      <c r="BN414" s="36"/>
      <c r="BO414" s="36"/>
      <c r="BP414" s="36"/>
      <c r="BQ414" s="36"/>
    </row>
    <row r="41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51"/>
      <c r="S415" s="51"/>
      <c r="T415" s="51"/>
      <c r="U415" s="51"/>
      <c r="V415" s="51"/>
      <c r="W415" s="51"/>
      <c r="X415" s="51"/>
      <c r="Y415" s="45"/>
      <c r="Z415" s="45"/>
      <c r="AA415" s="45"/>
      <c r="AB415" s="45"/>
      <c r="AC415" s="45"/>
      <c r="AD415" s="45"/>
      <c r="AE415" s="45"/>
      <c r="AF415" s="45"/>
      <c r="AG415" s="45"/>
      <c r="AH415" s="45"/>
      <c r="AI415" s="45"/>
      <c r="AJ415" s="45"/>
      <c r="AK415" s="45"/>
      <c r="AL415" s="45"/>
      <c r="AM415" s="45"/>
      <c r="AN415" s="45"/>
      <c r="AO415" s="45"/>
      <c r="AP415" s="45"/>
      <c r="AQ415" s="36"/>
      <c r="AR415" s="36"/>
      <c r="AS415" s="36"/>
      <c r="AT415" s="36"/>
      <c r="AU415" s="36"/>
      <c r="AV415" s="36"/>
      <c r="AW415" s="36"/>
      <c r="AX415" s="36"/>
      <c r="AY415" s="36"/>
      <c r="AZ415" s="36"/>
      <c r="BA415" s="36"/>
      <c r="BB415" s="36"/>
      <c r="BC415" s="36"/>
      <c r="BD415" s="36"/>
      <c r="BE415" s="36"/>
      <c r="BF415" s="36"/>
      <c r="BG415" s="36"/>
      <c r="BH415" s="36"/>
      <c r="BI415" s="36"/>
      <c r="BJ415" s="36"/>
      <c r="BK415" s="36"/>
      <c r="BL415" s="36"/>
      <c r="BM415" s="36"/>
      <c r="BN415" s="36"/>
      <c r="BO415" s="36"/>
      <c r="BP415" s="36"/>
      <c r="BQ415" s="36"/>
    </row>
    <row r="416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51"/>
      <c r="S416" s="51"/>
      <c r="T416" s="51"/>
      <c r="U416" s="51"/>
      <c r="V416" s="51"/>
      <c r="W416" s="51"/>
      <c r="X416" s="51"/>
      <c r="Y416" s="45"/>
      <c r="Z416" s="45"/>
      <c r="AA416" s="45"/>
      <c r="AB416" s="45"/>
      <c r="AC416" s="45"/>
      <c r="AD416" s="45"/>
      <c r="AE416" s="45"/>
      <c r="AF416" s="45"/>
      <c r="AG416" s="45"/>
      <c r="AH416" s="45"/>
      <c r="AI416" s="45"/>
      <c r="AJ416" s="45"/>
      <c r="AK416" s="45"/>
      <c r="AL416" s="45"/>
      <c r="AM416" s="45"/>
      <c r="AN416" s="45"/>
      <c r="AO416" s="45"/>
      <c r="AP416" s="45"/>
      <c r="AQ416" s="36"/>
      <c r="AR416" s="36"/>
      <c r="AS416" s="36"/>
      <c r="AT416" s="36"/>
      <c r="AU416" s="36"/>
      <c r="AV416" s="36"/>
      <c r="AW416" s="36"/>
      <c r="AX416" s="36"/>
      <c r="AY416" s="36"/>
      <c r="AZ416" s="36"/>
      <c r="BA416" s="36"/>
      <c r="BB416" s="36"/>
      <c r="BC416" s="36"/>
      <c r="BD416" s="36"/>
      <c r="BE416" s="36"/>
      <c r="BF416" s="36"/>
      <c r="BG416" s="36"/>
      <c r="BH416" s="36"/>
      <c r="BI416" s="36"/>
      <c r="BJ416" s="36"/>
      <c r="BK416" s="36"/>
      <c r="BL416" s="36"/>
      <c r="BM416" s="36"/>
      <c r="BN416" s="36"/>
      <c r="BO416" s="36"/>
      <c r="BP416" s="36"/>
      <c r="BQ416" s="36"/>
    </row>
    <row r="417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51"/>
      <c r="S417" s="51"/>
      <c r="T417" s="51"/>
      <c r="U417" s="51"/>
      <c r="V417" s="51"/>
      <c r="W417" s="51"/>
      <c r="X417" s="51"/>
      <c r="Y417" s="45"/>
      <c r="Z417" s="45"/>
      <c r="AA417" s="45"/>
      <c r="AB417" s="45"/>
      <c r="AC417" s="45"/>
      <c r="AD417" s="45"/>
      <c r="AE417" s="45"/>
      <c r="AF417" s="45"/>
      <c r="AG417" s="45"/>
      <c r="AH417" s="45"/>
      <c r="AI417" s="45"/>
      <c r="AJ417" s="45"/>
      <c r="AK417" s="45"/>
      <c r="AL417" s="45"/>
      <c r="AM417" s="45"/>
      <c r="AN417" s="45"/>
      <c r="AO417" s="45"/>
      <c r="AP417" s="45"/>
      <c r="AQ417" s="36"/>
      <c r="AR417" s="36"/>
      <c r="AS417" s="36"/>
      <c r="AT417" s="36"/>
      <c r="AU417" s="36"/>
      <c r="AV417" s="36"/>
      <c r="AW417" s="36"/>
      <c r="AX417" s="36"/>
      <c r="AY417" s="36"/>
      <c r="AZ417" s="36"/>
      <c r="BA417" s="36"/>
      <c r="BB417" s="36"/>
      <c r="BC417" s="36"/>
      <c r="BD417" s="36"/>
      <c r="BE417" s="36"/>
      <c r="BF417" s="36"/>
      <c r="BG417" s="36"/>
      <c r="BH417" s="36"/>
      <c r="BI417" s="36"/>
      <c r="BJ417" s="36"/>
      <c r="BK417" s="36"/>
      <c r="BL417" s="36"/>
      <c r="BM417" s="36"/>
      <c r="BN417" s="36"/>
      <c r="BO417" s="36"/>
      <c r="BP417" s="36"/>
      <c r="BQ417" s="36"/>
    </row>
    <row r="418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51"/>
      <c r="S418" s="51"/>
      <c r="T418" s="51"/>
      <c r="U418" s="51"/>
      <c r="V418" s="51"/>
      <c r="W418" s="51"/>
      <c r="X418" s="51"/>
      <c r="Y418" s="45"/>
      <c r="Z418" s="45"/>
      <c r="AA418" s="45"/>
      <c r="AB418" s="45"/>
      <c r="AC418" s="45"/>
      <c r="AD418" s="45"/>
      <c r="AE418" s="45"/>
      <c r="AF418" s="45"/>
      <c r="AG418" s="45"/>
      <c r="AH418" s="45"/>
      <c r="AI418" s="45"/>
      <c r="AJ418" s="45"/>
      <c r="AK418" s="45"/>
      <c r="AL418" s="45"/>
      <c r="AM418" s="45"/>
      <c r="AN418" s="45"/>
      <c r="AO418" s="45"/>
      <c r="AP418" s="45"/>
      <c r="AQ418" s="36"/>
      <c r="AR418" s="36"/>
      <c r="AS418" s="36"/>
      <c r="AT418" s="36"/>
      <c r="AU418" s="36"/>
      <c r="AV418" s="36"/>
      <c r="AW418" s="36"/>
      <c r="AX418" s="36"/>
      <c r="AY418" s="36"/>
      <c r="AZ418" s="36"/>
      <c r="BA418" s="36"/>
      <c r="BB418" s="36"/>
      <c r="BC418" s="36"/>
      <c r="BD418" s="36"/>
      <c r="BE418" s="36"/>
      <c r="BF418" s="36"/>
      <c r="BG418" s="36"/>
      <c r="BH418" s="36"/>
      <c r="BI418" s="36"/>
      <c r="BJ418" s="36"/>
      <c r="BK418" s="36"/>
      <c r="BL418" s="36"/>
      <c r="BM418" s="36"/>
      <c r="BN418" s="36"/>
      <c r="BO418" s="36"/>
      <c r="BP418" s="36"/>
      <c r="BQ418" s="36"/>
    </row>
    <row r="419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51"/>
      <c r="S419" s="51"/>
      <c r="T419" s="51"/>
      <c r="U419" s="51"/>
      <c r="V419" s="51"/>
      <c r="W419" s="51"/>
      <c r="X419" s="51"/>
      <c r="Y419" s="45"/>
      <c r="Z419" s="45"/>
      <c r="AA419" s="45"/>
      <c r="AB419" s="45"/>
      <c r="AC419" s="45"/>
      <c r="AD419" s="45"/>
      <c r="AE419" s="45"/>
      <c r="AF419" s="45"/>
      <c r="AG419" s="45"/>
      <c r="AH419" s="45"/>
      <c r="AI419" s="45"/>
      <c r="AJ419" s="45"/>
      <c r="AK419" s="45"/>
      <c r="AL419" s="45"/>
      <c r="AM419" s="45"/>
      <c r="AN419" s="45"/>
      <c r="AO419" s="45"/>
      <c r="AP419" s="45"/>
      <c r="AQ419" s="36"/>
      <c r="AR419" s="36"/>
      <c r="AS419" s="36"/>
      <c r="AT419" s="36"/>
      <c r="AU419" s="36"/>
      <c r="AV419" s="36"/>
      <c r="AW419" s="36"/>
      <c r="AX419" s="36"/>
      <c r="AY419" s="36"/>
      <c r="AZ419" s="36"/>
      <c r="BA419" s="36"/>
      <c r="BB419" s="36"/>
      <c r="BC419" s="36"/>
      <c r="BD419" s="36"/>
      <c r="BE419" s="36"/>
      <c r="BF419" s="36"/>
      <c r="BG419" s="36"/>
      <c r="BH419" s="36"/>
      <c r="BI419" s="36"/>
      <c r="BJ419" s="36"/>
      <c r="BK419" s="36"/>
      <c r="BL419" s="36"/>
      <c r="BM419" s="36"/>
      <c r="BN419" s="36"/>
      <c r="BO419" s="36"/>
      <c r="BP419" s="36"/>
      <c r="BQ419" s="36"/>
    </row>
    <row r="420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51"/>
      <c r="S420" s="51"/>
      <c r="T420" s="51"/>
      <c r="U420" s="51"/>
      <c r="V420" s="51"/>
      <c r="W420" s="51"/>
      <c r="X420" s="51"/>
      <c r="Y420" s="45"/>
      <c r="Z420" s="45"/>
      <c r="AA420" s="45"/>
      <c r="AB420" s="45"/>
      <c r="AC420" s="45"/>
      <c r="AD420" s="45"/>
      <c r="AE420" s="45"/>
      <c r="AF420" s="45"/>
      <c r="AG420" s="45"/>
      <c r="AH420" s="45"/>
      <c r="AI420" s="45"/>
      <c r="AJ420" s="45"/>
      <c r="AK420" s="45"/>
      <c r="AL420" s="45"/>
      <c r="AM420" s="45"/>
      <c r="AN420" s="45"/>
      <c r="AO420" s="45"/>
      <c r="AP420" s="45"/>
      <c r="AQ420" s="36"/>
      <c r="AR420" s="36"/>
      <c r="AS420" s="36"/>
      <c r="AT420" s="36"/>
      <c r="AU420" s="36"/>
      <c r="AV420" s="36"/>
      <c r="AW420" s="36"/>
      <c r="AX420" s="36"/>
      <c r="AY420" s="36"/>
      <c r="AZ420" s="36"/>
      <c r="BA420" s="36"/>
      <c r="BB420" s="36"/>
      <c r="BC420" s="36"/>
      <c r="BD420" s="36"/>
      <c r="BE420" s="36"/>
      <c r="BF420" s="36"/>
      <c r="BG420" s="36"/>
      <c r="BH420" s="36"/>
      <c r="BI420" s="36"/>
      <c r="BJ420" s="36"/>
      <c r="BK420" s="36"/>
      <c r="BL420" s="36"/>
      <c r="BM420" s="36"/>
      <c r="BN420" s="36"/>
      <c r="BO420" s="36"/>
      <c r="BP420" s="36"/>
      <c r="BQ420" s="36"/>
    </row>
    <row r="42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51"/>
      <c r="S421" s="51"/>
      <c r="T421" s="51"/>
      <c r="U421" s="51"/>
      <c r="V421" s="51"/>
      <c r="W421" s="51"/>
      <c r="X421" s="51"/>
      <c r="Y421" s="45"/>
      <c r="Z421" s="45"/>
      <c r="AA421" s="45"/>
      <c r="AB421" s="45"/>
      <c r="AC421" s="45"/>
      <c r="AD421" s="45"/>
      <c r="AE421" s="45"/>
      <c r="AF421" s="45"/>
      <c r="AG421" s="45"/>
      <c r="AH421" s="45"/>
      <c r="AI421" s="45"/>
      <c r="AJ421" s="45"/>
      <c r="AK421" s="45"/>
      <c r="AL421" s="45"/>
      <c r="AM421" s="45"/>
      <c r="AN421" s="45"/>
      <c r="AO421" s="45"/>
      <c r="AP421" s="45"/>
      <c r="AQ421" s="36"/>
      <c r="AR421" s="36"/>
      <c r="AS421" s="36"/>
      <c r="AT421" s="36"/>
      <c r="AU421" s="36"/>
      <c r="AV421" s="36"/>
      <c r="AW421" s="36"/>
      <c r="AX421" s="36"/>
      <c r="AY421" s="36"/>
      <c r="AZ421" s="36"/>
      <c r="BA421" s="36"/>
      <c r="BB421" s="36"/>
      <c r="BC421" s="36"/>
      <c r="BD421" s="36"/>
      <c r="BE421" s="36"/>
      <c r="BF421" s="36"/>
      <c r="BG421" s="36"/>
      <c r="BH421" s="36"/>
      <c r="BI421" s="36"/>
      <c r="BJ421" s="36"/>
      <c r="BK421" s="36"/>
      <c r="BL421" s="36"/>
      <c r="BM421" s="36"/>
      <c r="BN421" s="36"/>
      <c r="BO421" s="36"/>
      <c r="BP421" s="36"/>
      <c r="BQ421" s="36"/>
    </row>
    <row r="422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51"/>
      <c r="S422" s="51"/>
      <c r="T422" s="51"/>
      <c r="U422" s="51"/>
      <c r="V422" s="51"/>
      <c r="W422" s="51"/>
      <c r="X422" s="51"/>
      <c r="Y422" s="45"/>
      <c r="Z422" s="45"/>
      <c r="AA422" s="45"/>
      <c r="AB422" s="45"/>
      <c r="AC422" s="45"/>
      <c r="AD422" s="45"/>
      <c r="AE422" s="45"/>
      <c r="AF422" s="45"/>
      <c r="AG422" s="45"/>
      <c r="AH422" s="45"/>
      <c r="AI422" s="45"/>
      <c r="AJ422" s="45"/>
      <c r="AK422" s="45"/>
      <c r="AL422" s="45"/>
      <c r="AM422" s="45"/>
      <c r="AN422" s="45"/>
      <c r="AO422" s="45"/>
      <c r="AP422" s="45"/>
      <c r="AQ422" s="36"/>
      <c r="AR422" s="36"/>
      <c r="AS422" s="36"/>
      <c r="AT422" s="36"/>
      <c r="AU422" s="36"/>
      <c r="AV422" s="36"/>
      <c r="AW422" s="36"/>
      <c r="AX422" s="36"/>
      <c r="AY422" s="36"/>
      <c r="AZ422" s="36"/>
      <c r="BA422" s="36"/>
      <c r="BB422" s="36"/>
      <c r="BC422" s="36"/>
      <c r="BD422" s="36"/>
      <c r="BE422" s="36"/>
      <c r="BF422" s="36"/>
      <c r="BG422" s="36"/>
      <c r="BH422" s="36"/>
      <c r="BI422" s="36"/>
      <c r="BJ422" s="36"/>
      <c r="BK422" s="36"/>
      <c r="BL422" s="36"/>
      <c r="BM422" s="36"/>
      <c r="BN422" s="36"/>
      <c r="BO422" s="36"/>
      <c r="BP422" s="36"/>
      <c r="BQ422" s="36"/>
    </row>
    <row r="423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51"/>
      <c r="S423" s="51"/>
      <c r="T423" s="51"/>
      <c r="U423" s="51"/>
      <c r="V423" s="51"/>
      <c r="W423" s="51"/>
      <c r="X423" s="51"/>
      <c r="Y423" s="45"/>
      <c r="Z423" s="45"/>
      <c r="AA423" s="45"/>
      <c r="AB423" s="45"/>
      <c r="AC423" s="45"/>
      <c r="AD423" s="45"/>
      <c r="AE423" s="45"/>
      <c r="AF423" s="45"/>
      <c r="AG423" s="45"/>
      <c r="AH423" s="45"/>
      <c r="AI423" s="45"/>
      <c r="AJ423" s="45"/>
      <c r="AK423" s="45"/>
      <c r="AL423" s="45"/>
      <c r="AM423" s="45"/>
      <c r="AN423" s="45"/>
      <c r="AO423" s="45"/>
      <c r="AP423" s="45"/>
      <c r="AQ423" s="36"/>
      <c r="AR423" s="36"/>
      <c r="AS423" s="36"/>
      <c r="AT423" s="36"/>
      <c r="AU423" s="36"/>
      <c r="AV423" s="36"/>
      <c r="AW423" s="36"/>
      <c r="AX423" s="36"/>
      <c r="AY423" s="36"/>
      <c r="AZ423" s="36"/>
      <c r="BA423" s="36"/>
      <c r="BB423" s="36"/>
      <c r="BC423" s="36"/>
      <c r="BD423" s="36"/>
      <c r="BE423" s="36"/>
      <c r="BF423" s="36"/>
      <c r="BG423" s="36"/>
      <c r="BH423" s="36"/>
      <c r="BI423" s="36"/>
      <c r="BJ423" s="36"/>
      <c r="BK423" s="36"/>
      <c r="BL423" s="36"/>
      <c r="BM423" s="36"/>
      <c r="BN423" s="36"/>
      <c r="BO423" s="36"/>
      <c r="BP423" s="36"/>
      <c r="BQ423" s="36"/>
    </row>
    <row r="424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51"/>
      <c r="S424" s="51"/>
      <c r="T424" s="51"/>
      <c r="U424" s="51"/>
      <c r="V424" s="51"/>
      <c r="W424" s="51"/>
      <c r="X424" s="51"/>
      <c r="Y424" s="45"/>
      <c r="Z424" s="45"/>
      <c r="AA424" s="45"/>
      <c r="AB424" s="45"/>
      <c r="AC424" s="45"/>
      <c r="AD424" s="45"/>
      <c r="AE424" s="45"/>
      <c r="AF424" s="45"/>
      <c r="AG424" s="45"/>
      <c r="AH424" s="45"/>
      <c r="AI424" s="45"/>
      <c r="AJ424" s="45"/>
      <c r="AK424" s="45"/>
      <c r="AL424" s="45"/>
      <c r="AM424" s="45"/>
      <c r="AN424" s="45"/>
      <c r="AO424" s="45"/>
      <c r="AP424" s="45"/>
      <c r="AQ424" s="36"/>
      <c r="AR424" s="36"/>
      <c r="AS424" s="36"/>
      <c r="AT424" s="36"/>
      <c r="AU424" s="36"/>
      <c r="AV424" s="36"/>
      <c r="AW424" s="36"/>
      <c r="AX424" s="36"/>
      <c r="AY424" s="36"/>
      <c r="AZ424" s="36"/>
      <c r="BA424" s="36"/>
      <c r="BB424" s="36"/>
      <c r="BC424" s="36"/>
      <c r="BD424" s="36"/>
      <c r="BE424" s="36"/>
      <c r="BF424" s="36"/>
      <c r="BG424" s="36"/>
      <c r="BH424" s="36"/>
      <c r="BI424" s="36"/>
      <c r="BJ424" s="36"/>
      <c r="BK424" s="36"/>
      <c r="BL424" s="36"/>
      <c r="BM424" s="36"/>
      <c r="BN424" s="36"/>
      <c r="BO424" s="36"/>
      <c r="BP424" s="36"/>
      <c r="BQ424" s="36"/>
    </row>
    <row r="4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51"/>
      <c r="S425" s="51"/>
      <c r="T425" s="51"/>
      <c r="U425" s="51"/>
      <c r="V425" s="51"/>
      <c r="W425" s="51"/>
      <c r="X425" s="51"/>
      <c r="Y425" s="45"/>
      <c r="Z425" s="45"/>
      <c r="AA425" s="45"/>
      <c r="AB425" s="45"/>
      <c r="AC425" s="45"/>
      <c r="AD425" s="45"/>
      <c r="AE425" s="45"/>
      <c r="AF425" s="45"/>
      <c r="AG425" s="45"/>
      <c r="AH425" s="45"/>
      <c r="AI425" s="45"/>
      <c r="AJ425" s="45"/>
      <c r="AK425" s="45"/>
      <c r="AL425" s="45"/>
      <c r="AM425" s="45"/>
      <c r="AN425" s="45"/>
      <c r="AO425" s="45"/>
      <c r="AP425" s="45"/>
      <c r="AQ425" s="36"/>
      <c r="AR425" s="36"/>
      <c r="AS425" s="36"/>
      <c r="AT425" s="36"/>
      <c r="AU425" s="36"/>
      <c r="AV425" s="36"/>
      <c r="AW425" s="36"/>
      <c r="AX425" s="36"/>
      <c r="AY425" s="36"/>
      <c r="AZ425" s="36"/>
      <c r="BA425" s="36"/>
      <c r="BB425" s="36"/>
      <c r="BC425" s="36"/>
      <c r="BD425" s="36"/>
      <c r="BE425" s="36"/>
      <c r="BF425" s="36"/>
      <c r="BG425" s="36"/>
      <c r="BH425" s="36"/>
      <c r="BI425" s="36"/>
      <c r="BJ425" s="36"/>
      <c r="BK425" s="36"/>
      <c r="BL425" s="36"/>
      <c r="BM425" s="36"/>
      <c r="BN425" s="36"/>
      <c r="BO425" s="36"/>
      <c r="BP425" s="36"/>
      <c r="BQ425" s="36"/>
    </row>
    <row r="426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51"/>
      <c r="S426" s="51"/>
      <c r="T426" s="51"/>
      <c r="U426" s="51"/>
      <c r="V426" s="51"/>
      <c r="W426" s="51"/>
      <c r="X426" s="51"/>
      <c r="Y426" s="45"/>
      <c r="Z426" s="45"/>
      <c r="AA426" s="45"/>
      <c r="AB426" s="45"/>
      <c r="AC426" s="45"/>
      <c r="AD426" s="45"/>
      <c r="AE426" s="45"/>
      <c r="AF426" s="45"/>
      <c r="AG426" s="45"/>
      <c r="AH426" s="45"/>
      <c r="AI426" s="45"/>
      <c r="AJ426" s="45"/>
      <c r="AK426" s="45"/>
      <c r="AL426" s="45"/>
      <c r="AM426" s="45"/>
      <c r="AN426" s="45"/>
      <c r="AO426" s="45"/>
      <c r="AP426" s="45"/>
      <c r="AQ426" s="36"/>
      <c r="AR426" s="36"/>
      <c r="AS426" s="36"/>
      <c r="AT426" s="36"/>
      <c r="AU426" s="36"/>
      <c r="AV426" s="36"/>
      <c r="AW426" s="36"/>
      <c r="AX426" s="36"/>
      <c r="AY426" s="36"/>
      <c r="AZ426" s="36"/>
      <c r="BA426" s="36"/>
      <c r="BB426" s="36"/>
      <c r="BC426" s="36"/>
      <c r="BD426" s="36"/>
      <c r="BE426" s="36"/>
      <c r="BF426" s="36"/>
      <c r="BG426" s="36"/>
      <c r="BH426" s="36"/>
      <c r="BI426" s="36"/>
      <c r="BJ426" s="36"/>
      <c r="BK426" s="36"/>
      <c r="BL426" s="36"/>
      <c r="BM426" s="36"/>
      <c r="BN426" s="36"/>
      <c r="BO426" s="36"/>
      <c r="BP426" s="36"/>
      <c r="BQ426" s="36"/>
    </row>
    <row r="427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51"/>
      <c r="S427" s="51"/>
      <c r="T427" s="51"/>
      <c r="U427" s="51"/>
      <c r="V427" s="51"/>
      <c r="W427" s="51"/>
      <c r="X427" s="51"/>
      <c r="Y427" s="45"/>
      <c r="Z427" s="45"/>
      <c r="AA427" s="45"/>
      <c r="AB427" s="45"/>
      <c r="AC427" s="45"/>
      <c r="AD427" s="45"/>
      <c r="AE427" s="45"/>
      <c r="AF427" s="45"/>
      <c r="AG427" s="45"/>
      <c r="AH427" s="45"/>
      <c r="AI427" s="45"/>
      <c r="AJ427" s="45"/>
      <c r="AK427" s="45"/>
      <c r="AL427" s="45"/>
      <c r="AM427" s="45"/>
      <c r="AN427" s="45"/>
      <c r="AO427" s="45"/>
      <c r="AP427" s="45"/>
      <c r="AQ427" s="36"/>
      <c r="AR427" s="36"/>
      <c r="AS427" s="36"/>
      <c r="AT427" s="36"/>
      <c r="AU427" s="36"/>
      <c r="AV427" s="36"/>
      <c r="AW427" s="36"/>
      <c r="AX427" s="36"/>
      <c r="AY427" s="36"/>
      <c r="AZ427" s="36"/>
      <c r="BA427" s="36"/>
      <c r="BB427" s="36"/>
      <c r="BC427" s="36"/>
      <c r="BD427" s="36"/>
      <c r="BE427" s="36"/>
      <c r="BF427" s="36"/>
      <c r="BG427" s="36"/>
      <c r="BH427" s="36"/>
      <c r="BI427" s="36"/>
      <c r="BJ427" s="36"/>
      <c r="BK427" s="36"/>
      <c r="BL427" s="36"/>
      <c r="BM427" s="36"/>
      <c r="BN427" s="36"/>
      <c r="BO427" s="36"/>
      <c r="BP427" s="36"/>
      <c r="BQ427" s="36"/>
    </row>
    <row r="428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51"/>
      <c r="S428" s="51"/>
      <c r="T428" s="51"/>
      <c r="U428" s="51"/>
      <c r="V428" s="51"/>
      <c r="W428" s="51"/>
      <c r="X428" s="51"/>
      <c r="Y428" s="45"/>
      <c r="Z428" s="45"/>
      <c r="AA428" s="45"/>
      <c r="AB428" s="45"/>
      <c r="AC428" s="45"/>
      <c r="AD428" s="45"/>
      <c r="AE428" s="45"/>
      <c r="AF428" s="45"/>
      <c r="AG428" s="45"/>
      <c r="AH428" s="45"/>
      <c r="AI428" s="45"/>
      <c r="AJ428" s="45"/>
      <c r="AK428" s="45"/>
      <c r="AL428" s="45"/>
      <c r="AM428" s="45"/>
      <c r="AN428" s="45"/>
      <c r="AO428" s="45"/>
      <c r="AP428" s="45"/>
      <c r="AQ428" s="36"/>
      <c r="AR428" s="36"/>
      <c r="AS428" s="36"/>
      <c r="AT428" s="36"/>
      <c r="AU428" s="36"/>
      <c r="AV428" s="36"/>
      <c r="AW428" s="36"/>
      <c r="AX428" s="36"/>
      <c r="AY428" s="36"/>
      <c r="AZ428" s="36"/>
      <c r="BA428" s="36"/>
      <c r="BB428" s="36"/>
      <c r="BC428" s="36"/>
      <c r="BD428" s="36"/>
      <c r="BE428" s="36"/>
      <c r="BF428" s="36"/>
      <c r="BG428" s="36"/>
      <c r="BH428" s="36"/>
      <c r="BI428" s="36"/>
      <c r="BJ428" s="36"/>
      <c r="BK428" s="36"/>
      <c r="BL428" s="36"/>
      <c r="BM428" s="36"/>
      <c r="BN428" s="36"/>
      <c r="BO428" s="36"/>
      <c r="BP428" s="36"/>
      <c r="BQ428" s="36"/>
    </row>
    <row r="429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51"/>
      <c r="S429" s="51"/>
      <c r="T429" s="51"/>
      <c r="U429" s="51"/>
      <c r="V429" s="51"/>
      <c r="W429" s="51"/>
      <c r="X429" s="51"/>
      <c r="Y429" s="45"/>
      <c r="Z429" s="45"/>
      <c r="AA429" s="45"/>
      <c r="AB429" s="45"/>
      <c r="AC429" s="45"/>
      <c r="AD429" s="45"/>
      <c r="AE429" s="45"/>
      <c r="AF429" s="45"/>
      <c r="AG429" s="45"/>
      <c r="AH429" s="45"/>
      <c r="AI429" s="45"/>
      <c r="AJ429" s="45"/>
      <c r="AK429" s="45"/>
      <c r="AL429" s="45"/>
      <c r="AM429" s="45"/>
      <c r="AN429" s="45"/>
      <c r="AO429" s="45"/>
      <c r="AP429" s="45"/>
      <c r="AQ429" s="36"/>
      <c r="AR429" s="36"/>
      <c r="AS429" s="36"/>
      <c r="AT429" s="36"/>
      <c r="AU429" s="36"/>
      <c r="AV429" s="36"/>
      <c r="AW429" s="36"/>
      <c r="AX429" s="36"/>
      <c r="AY429" s="36"/>
      <c r="AZ429" s="36"/>
      <c r="BA429" s="36"/>
      <c r="BB429" s="36"/>
      <c r="BC429" s="36"/>
      <c r="BD429" s="36"/>
      <c r="BE429" s="36"/>
      <c r="BF429" s="36"/>
      <c r="BG429" s="36"/>
      <c r="BH429" s="36"/>
      <c r="BI429" s="36"/>
      <c r="BJ429" s="36"/>
      <c r="BK429" s="36"/>
      <c r="BL429" s="36"/>
      <c r="BM429" s="36"/>
      <c r="BN429" s="36"/>
      <c r="BO429" s="36"/>
      <c r="BP429" s="36"/>
      <c r="BQ429" s="36"/>
    </row>
    <row r="430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51"/>
      <c r="S430" s="51"/>
      <c r="T430" s="51"/>
      <c r="U430" s="51"/>
      <c r="V430" s="51"/>
      <c r="W430" s="51"/>
      <c r="X430" s="51"/>
      <c r="Y430" s="45"/>
      <c r="Z430" s="45"/>
      <c r="AA430" s="45"/>
      <c r="AB430" s="45"/>
      <c r="AC430" s="45"/>
      <c r="AD430" s="45"/>
      <c r="AE430" s="45"/>
      <c r="AF430" s="45"/>
      <c r="AG430" s="45"/>
      <c r="AH430" s="45"/>
      <c r="AI430" s="45"/>
      <c r="AJ430" s="45"/>
      <c r="AK430" s="45"/>
      <c r="AL430" s="45"/>
      <c r="AM430" s="45"/>
      <c r="AN430" s="45"/>
      <c r="AO430" s="45"/>
      <c r="AP430" s="45"/>
      <c r="AQ430" s="36"/>
      <c r="AR430" s="36"/>
      <c r="AS430" s="36"/>
      <c r="AT430" s="36"/>
      <c r="AU430" s="36"/>
      <c r="AV430" s="36"/>
      <c r="AW430" s="36"/>
      <c r="AX430" s="36"/>
      <c r="AY430" s="36"/>
      <c r="AZ430" s="36"/>
      <c r="BA430" s="36"/>
      <c r="BB430" s="36"/>
      <c r="BC430" s="36"/>
      <c r="BD430" s="36"/>
      <c r="BE430" s="36"/>
      <c r="BF430" s="36"/>
      <c r="BG430" s="36"/>
      <c r="BH430" s="36"/>
      <c r="BI430" s="36"/>
      <c r="BJ430" s="36"/>
      <c r="BK430" s="36"/>
      <c r="BL430" s="36"/>
      <c r="BM430" s="36"/>
      <c r="BN430" s="36"/>
      <c r="BO430" s="36"/>
      <c r="BP430" s="36"/>
      <c r="BQ430" s="36"/>
    </row>
    <row r="43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51"/>
      <c r="S431" s="51"/>
      <c r="T431" s="51"/>
      <c r="U431" s="51"/>
      <c r="V431" s="51"/>
      <c r="W431" s="51"/>
      <c r="X431" s="51"/>
      <c r="Y431" s="45"/>
      <c r="Z431" s="45"/>
      <c r="AA431" s="45"/>
      <c r="AB431" s="45"/>
      <c r="AC431" s="45"/>
      <c r="AD431" s="45"/>
      <c r="AE431" s="45"/>
      <c r="AF431" s="45"/>
      <c r="AG431" s="45"/>
      <c r="AH431" s="45"/>
      <c r="AI431" s="45"/>
      <c r="AJ431" s="45"/>
      <c r="AK431" s="45"/>
      <c r="AL431" s="45"/>
      <c r="AM431" s="45"/>
      <c r="AN431" s="45"/>
      <c r="AO431" s="45"/>
      <c r="AP431" s="45"/>
      <c r="AQ431" s="36"/>
      <c r="AR431" s="36"/>
      <c r="AS431" s="36"/>
      <c r="AT431" s="36"/>
      <c r="AU431" s="36"/>
      <c r="AV431" s="36"/>
      <c r="AW431" s="36"/>
      <c r="AX431" s="36"/>
      <c r="AY431" s="36"/>
      <c r="AZ431" s="36"/>
      <c r="BA431" s="36"/>
      <c r="BB431" s="36"/>
      <c r="BC431" s="36"/>
      <c r="BD431" s="36"/>
      <c r="BE431" s="36"/>
      <c r="BF431" s="36"/>
      <c r="BG431" s="36"/>
      <c r="BH431" s="36"/>
      <c r="BI431" s="36"/>
      <c r="BJ431" s="36"/>
      <c r="BK431" s="36"/>
      <c r="BL431" s="36"/>
      <c r="BM431" s="36"/>
      <c r="BN431" s="36"/>
      <c r="BO431" s="36"/>
      <c r="BP431" s="36"/>
      <c r="BQ431" s="36"/>
    </row>
    <row r="432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51"/>
      <c r="S432" s="51"/>
      <c r="T432" s="51"/>
      <c r="U432" s="51"/>
      <c r="V432" s="51"/>
      <c r="W432" s="51"/>
      <c r="X432" s="51"/>
      <c r="Y432" s="45"/>
      <c r="Z432" s="45"/>
      <c r="AA432" s="45"/>
      <c r="AB432" s="45"/>
      <c r="AC432" s="45"/>
      <c r="AD432" s="45"/>
      <c r="AE432" s="45"/>
      <c r="AF432" s="45"/>
      <c r="AG432" s="45"/>
      <c r="AH432" s="45"/>
      <c r="AI432" s="45"/>
      <c r="AJ432" s="45"/>
      <c r="AK432" s="45"/>
      <c r="AL432" s="45"/>
      <c r="AM432" s="45"/>
      <c r="AN432" s="45"/>
      <c r="AO432" s="45"/>
      <c r="AP432" s="45"/>
      <c r="AQ432" s="36"/>
      <c r="AR432" s="36"/>
      <c r="AS432" s="36"/>
      <c r="AT432" s="36"/>
      <c r="AU432" s="36"/>
      <c r="AV432" s="36"/>
      <c r="AW432" s="36"/>
      <c r="AX432" s="36"/>
      <c r="AY432" s="36"/>
      <c r="AZ432" s="36"/>
      <c r="BA432" s="36"/>
      <c r="BB432" s="36"/>
      <c r="BC432" s="36"/>
      <c r="BD432" s="36"/>
      <c r="BE432" s="36"/>
      <c r="BF432" s="36"/>
      <c r="BG432" s="36"/>
      <c r="BH432" s="36"/>
      <c r="BI432" s="36"/>
      <c r="BJ432" s="36"/>
      <c r="BK432" s="36"/>
      <c r="BL432" s="36"/>
      <c r="BM432" s="36"/>
      <c r="BN432" s="36"/>
      <c r="BO432" s="36"/>
      <c r="BP432" s="36"/>
      <c r="BQ432" s="36"/>
    </row>
    <row r="433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51"/>
      <c r="S433" s="51"/>
      <c r="T433" s="51"/>
      <c r="U433" s="51"/>
      <c r="V433" s="51"/>
      <c r="W433" s="51"/>
      <c r="X433" s="51"/>
      <c r="Y433" s="45"/>
      <c r="Z433" s="45"/>
      <c r="AA433" s="45"/>
      <c r="AB433" s="45"/>
      <c r="AC433" s="45"/>
      <c r="AD433" s="45"/>
      <c r="AE433" s="45"/>
      <c r="AF433" s="45"/>
      <c r="AG433" s="45"/>
      <c r="AH433" s="45"/>
      <c r="AI433" s="45"/>
      <c r="AJ433" s="45"/>
      <c r="AK433" s="45"/>
      <c r="AL433" s="45"/>
      <c r="AM433" s="45"/>
      <c r="AN433" s="45"/>
      <c r="AO433" s="45"/>
      <c r="AP433" s="45"/>
      <c r="AQ433" s="36"/>
      <c r="AR433" s="36"/>
      <c r="AS433" s="36"/>
      <c r="AT433" s="36"/>
      <c r="AU433" s="36"/>
      <c r="AV433" s="36"/>
      <c r="AW433" s="36"/>
      <c r="AX433" s="36"/>
      <c r="AY433" s="36"/>
      <c r="AZ433" s="36"/>
      <c r="BA433" s="36"/>
      <c r="BB433" s="36"/>
      <c r="BC433" s="36"/>
      <c r="BD433" s="36"/>
      <c r="BE433" s="36"/>
      <c r="BF433" s="36"/>
      <c r="BG433" s="36"/>
      <c r="BH433" s="36"/>
      <c r="BI433" s="36"/>
      <c r="BJ433" s="36"/>
      <c r="BK433" s="36"/>
      <c r="BL433" s="36"/>
      <c r="BM433" s="36"/>
      <c r="BN433" s="36"/>
      <c r="BO433" s="36"/>
      <c r="BP433" s="36"/>
      <c r="BQ433" s="36"/>
    </row>
    <row r="434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51"/>
      <c r="S434" s="51"/>
      <c r="T434" s="51"/>
      <c r="U434" s="51"/>
      <c r="V434" s="51"/>
      <c r="W434" s="51"/>
      <c r="X434" s="51"/>
      <c r="Y434" s="45"/>
      <c r="Z434" s="45"/>
      <c r="AA434" s="45"/>
      <c r="AB434" s="45"/>
      <c r="AC434" s="45"/>
      <c r="AD434" s="45"/>
      <c r="AE434" s="45"/>
      <c r="AF434" s="45"/>
      <c r="AG434" s="45"/>
      <c r="AH434" s="45"/>
      <c r="AI434" s="45"/>
      <c r="AJ434" s="45"/>
      <c r="AK434" s="45"/>
      <c r="AL434" s="45"/>
      <c r="AM434" s="45"/>
      <c r="AN434" s="45"/>
      <c r="AO434" s="45"/>
      <c r="AP434" s="45"/>
      <c r="AQ434" s="36"/>
      <c r="AR434" s="36"/>
      <c r="AS434" s="36"/>
      <c r="AT434" s="36"/>
      <c r="AU434" s="36"/>
      <c r="AV434" s="36"/>
      <c r="AW434" s="36"/>
      <c r="AX434" s="36"/>
      <c r="AY434" s="36"/>
      <c r="AZ434" s="36"/>
      <c r="BA434" s="36"/>
      <c r="BB434" s="36"/>
      <c r="BC434" s="36"/>
      <c r="BD434" s="36"/>
      <c r="BE434" s="36"/>
      <c r="BF434" s="36"/>
      <c r="BG434" s="36"/>
      <c r="BH434" s="36"/>
      <c r="BI434" s="36"/>
      <c r="BJ434" s="36"/>
      <c r="BK434" s="36"/>
      <c r="BL434" s="36"/>
      <c r="BM434" s="36"/>
      <c r="BN434" s="36"/>
      <c r="BO434" s="36"/>
      <c r="BP434" s="36"/>
      <c r="BQ434" s="36"/>
    </row>
    <row r="4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51"/>
      <c r="S435" s="51"/>
      <c r="T435" s="51"/>
      <c r="U435" s="51"/>
      <c r="V435" s="51"/>
      <c r="W435" s="51"/>
      <c r="X435" s="51"/>
      <c r="Y435" s="45"/>
      <c r="Z435" s="45"/>
      <c r="AA435" s="45"/>
      <c r="AB435" s="45"/>
      <c r="AC435" s="45"/>
      <c r="AD435" s="45"/>
      <c r="AE435" s="45"/>
      <c r="AF435" s="45"/>
      <c r="AG435" s="45"/>
      <c r="AH435" s="45"/>
      <c r="AI435" s="45"/>
      <c r="AJ435" s="45"/>
      <c r="AK435" s="45"/>
      <c r="AL435" s="45"/>
      <c r="AM435" s="45"/>
      <c r="AN435" s="45"/>
      <c r="AO435" s="45"/>
      <c r="AP435" s="45"/>
      <c r="AQ435" s="36"/>
      <c r="AR435" s="36"/>
      <c r="AS435" s="36"/>
      <c r="AT435" s="36"/>
      <c r="AU435" s="36"/>
      <c r="AV435" s="36"/>
      <c r="AW435" s="36"/>
      <c r="AX435" s="36"/>
      <c r="AY435" s="36"/>
      <c r="AZ435" s="36"/>
      <c r="BA435" s="36"/>
      <c r="BB435" s="36"/>
      <c r="BC435" s="36"/>
      <c r="BD435" s="36"/>
      <c r="BE435" s="36"/>
      <c r="BF435" s="36"/>
      <c r="BG435" s="36"/>
      <c r="BH435" s="36"/>
      <c r="BI435" s="36"/>
      <c r="BJ435" s="36"/>
      <c r="BK435" s="36"/>
      <c r="BL435" s="36"/>
      <c r="BM435" s="36"/>
      <c r="BN435" s="36"/>
      <c r="BO435" s="36"/>
      <c r="BP435" s="36"/>
      <c r="BQ435" s="36"/>
    </row>
    <row r="436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51"/>
      <c r="S436" s="51"/>
      <c r="T436" s="51"/>
      <c r="U436" s="51"/>
      <c r="V436" s="51"/>
      <c r="W436" s="51"/>
      <c r="X436" s="51"/>
      <c r="Y436" s="45"/>
      <c r="Z436" s="45"/>
      <c r="AA436" s="45"/>
      <c r="AB436" s="45"/>
      <c r="AC436" s="45"/>
      <c r="AD436" s="45"/>
      <c r="AE436" s="45"/>
      <c r="AF436" s="45"/>
      <c r="AG436" s="45"/>
      <c r="AH436" s="45"/>
      <c r="AI436" s="45"/>
      <c r="AJ436" s="45"/>
      <c r="AK436" s="45"/>
      <c r="AL436" s="45"/>
      <c r="AM436" s="45"/>
      <c r="AN436" s="45"/>
      <c r="AO436" s="45"/>
      <c r="AP436" s="45"/>
      <c r="AQ436" s="36"/>
      <c r="AR436" s="36"/>
      <c r="AS436" s="36"/>
      <c r="AT436" s="36"/>
      <c r="AU436" s="36"/>
      <c r="AV436" s="36"/>
      <c r="AW436" s="36"/>
      <c r="AX436" s="36"/>
      <c r="AY436" s="36"/>
      <c r="AZ436" s="36"/>
      <c r="BA436" s="36"/>
      <c r="BB436" s="36"/>
      <c r="BC436" s="36"/>
      <c r="BD436" s="36"/>
      <c r="BE436" s="36"/>
      <c r="BF436" s="36"/>
      <c r="BG436" s="36"/>
      <c r="BH436" s="36"/>
      <c r="BI436" s="36"/>
      <c r="BJ436" s="36"/>
      <c r="BK436" s="36"/>
      <c r="BL436" s="36"/>
      <c r="BM436" s="36"/>
      <c r="BN436" s="36"/>
      <c r="BO436" s="36"/>
      <c r="BP436" s="36"/>
      <c r="BQ436" s="36"/>
    </row>
    <row r="437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51"/>
      <c r="S437" s="51"/>
      <c r="T437" s="51"/>
      <c r="U437" s="51"/>
      <c r="V437" s="51"/>
      <c r="W437" s="51"/>
      <c r="X437" s="51"/>
      <c r="Y437" s="45"/>
      <c r="Z437" s="45"/>
      <c r="AA437" s="45"/>
      <c r="AB437" s="45"/>
      <c r="AC437" s="45"/>
      <c r="AD437" s="45"/>
      <c r="AE437" s="45"/>
      <c r="AF437" s="45"/>
      <c r="AG437" s="45"/>
      <c r="AH437" s="45"/>
      <c r="AI437" s="45"/>
      <c r="AJ437" s="45"/>
      <c r="AK437" s="45"/>
      <c r="AL437" s="45"/>
      <c r="AM437" s="45"/>
      <c r="AN437" s="45"/>
      <c r="AO437" s="45"/>
      <c r="AP437" s="45"/>
      <c r="AQ437" s="36"/>
      <c r="AR437" s="36"/>
      <c r="AS437" s="36"/>
      <c r="AT437" s="36"/>
      <c r="AU437" s="36"/>
      <c r="AV437" s="36"/>
      <c r="AW437" s="36"/>
      <c r="AX437" s="36"/>
      <c r="AY437" s="36"/>
      <c r="AZ437" s="36"/>
      <c r="BA437" s="36"/>
      <c r="BB437" s="36"/>
      <c r="BC437" s="36"/>
      <c r="BD437" s="36"/>
      <c r="BE437" s="36"/>
      <c r="BF437" s="36"/>
      <c r="BG437" s="36"/>
      <c r="BH437" s="36"/>
      <c r="BI437" s="36"/>
      <c r="BJ437" s="36"/>
      <c r="BK437" s="36"/>
      <c r="BL437" s="36"/>
      <c r="BM437" s="36"/>
      <c r="BN437" s="36"/>
      <c r="BO437" s="36"/>
      <c r="BP437" s="36"/>
      <c r="BQ437" s="36"/>
    </row>
    <row r="438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51"/>
      <c r="S438" s="51"/>
      <c r="T438" s="51"/>
      <c r="U438" s="51"/>
      <c r="V438" s="51"/>
      <c r="W438" s="51"/>
      <c r="X438" s="51"/>
      <c r="Y438" s="45"/>
      <c r="Z438" s="45"/>
      <c r="AA438" s="45"/>
      <c r="AB438" s="45"/>
      <c r="AC438" s="45"/>
      <c r="AD438" s="45"/>
      <c r="AE438" s="45"/>
      <c r="AF438" s="45"/>
      <c r="AG438" s="45"/>
      <c r="AH438" s="45"/>
      <c r="AI438" s="45"/>
      <c r="AJ438" s="45"/>
      <c r="AK438" s="45"/>
      <c r="AL438" s="45"/>
      <c r="AM438" s="45"/>
      <c r="AN438" s="45"/>
      <c r="AO438" s="45"/>
      <c r="AP438" s="45"/>
      <c r="AQ438" s="36"/>
      <c r="AR438" s="36"/>
      <c r="AS438" s="36"/>
      <c r="AT438" s="36"/>
      <c r="AU438" s="36"/>
      <c r="AV438" s="36"/>
      <c r="AW438" s="36"/>
      <c r="AX438" s="36"/>
      <c r="AY438" s="36"/>
      <c r="AZ438" s="36"/>
      <c r="BA438" s="36"/>
      <c r="BB438" s="36"/>
      <c r="BC438" s="36"/>
      <c r="BD438" s="36"/>
      <c r="BE438" s="36"/>
      <c r="BF438" s="36"/>
      <c r="BG438" s="36"/>
      <c r="BH438" s="36"/>
      <c r="BI438" s="36"/>
      <c r="BJ438" s="36"/>
      <c r="BK438" s="36"/>
      <c r="BL438" s="36"/>
      <c r="BM438" s="36"/>
      <c r="BN438" s="36"/>
      <c r="BO438" s="36"/>
      <c r="BP438" s="36"/>
      <c r="BQ438" s="36"/>
    </row>
    <row r="439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51"/>
      <c r="S439" s="51"/>
      <c r="T439" s="51"/>
      <c r="U439" s="51"/>
      <c r="V439" s="51"/>
      <c r="W439" s="51"/>
      <c r="X439" s="51"/>
      <c r="Y439" s="45"/>
      <c r="Z439" s="45"/>
      <c r="AA439" s="45"/>
      <c r="AB439" s="45"/>
      <c r="AC439" s="45"/>
      <c r="AD439" s="45"/>
      <c r="AE439" s="45"/>
      <c r="AF439" s="45"/>
      <c r="AG439" s="45"/>
      <c r="AH439" s="45"/>
      <c r="AI439" s="45"/>
      <c r="AJ439" s="45"/>
      <c r="AK439" s="45"/>
      <c r="AL439" s="45"/>
      <c r="AM439" s="45"/>
      <c r="AN439" s="45"/>
      <c r="AO439" s="45"/>
      <c r="AP439" s="45"/>
      <c r="AQ439" s="36"/>
      <c r="AR439" s="36"/>
      <c r="AS439" s="36"/>
      <c r="AT439" s="36"/>
      <c r="AU439" s="36"/>
      <c r="AV439" s="36"/>
      <c r="AW439" s="36"/>
      <c r="AX439" s="36"/>
      <c r="AY439" s="36"/>
      <c r="AZ439" s="36"/>
      <c r="BA439" s="36"/>
      <c r="BB439" s="36"/>
      <c r="BC439" s="36"/>
      <c r="BD439" s="36"/>
      <c r="BE439" s="36"/>
      <c r="BF439" s="36"/>
      <c r="BG439" s="36"/>
      <c r="BH439" s="36"/>
      <c r="BI439" s="36"/>
      <c r="BJ439" s="36"/>
      <c r="BK439" s="36"/>
      <c r="BL439" s="36"/>
      <c r="BM439" s="36"/>
      <c r="BN439" s="36"/>
      <c r="BO439" s="36"/>
      <c r="BP439" s="36"/>
      <c r="BQ439" s="36"/>
    </row>
    <row r="440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51"/>
      <c r="S440" s="51"/>
      <c r="T440" s="51"/>
      <c r="U440" s="51"/>
      <c r="V440" s="51"/>
      <c r="W440" s="51"/>
      <c r="X440" s="51"/>
      <c r="Y440" s="45"/>
      <c r="Z440" s="45"/>
      <c r="AA440" s="45"/>
      <c r="AB440" s="45"/>
      <c r="AC440" s="45"/>
      <c r="AD440" s="45"/>
      <c r="AE440" s="45"/>
      <c r="AF440" s="45"/>
      <c r="AG440" s="45"/>
      <c r="AH440" s="45"/>
      <c r="AI440" s="45"/>
      <c r="AJ440" s="45"/>
      <c r="AK440" s="45"/>
      <c r="AL440" s="45"/>
      <c r="AM440" s="45"/>
      <c r="AN440" s="45"/>
      <c r="AO440" s="45"/>
      <c r="AP440" s="45"/>
      <c r="AQ440" s="36"/>
      <c r="AR440" s="36"/>
      <c r="AS440" s="36"/>
      <c r="AT440" s="36"/>
      <c r="AU440" s="36"/>
      <c r="AV440" s="36"/>
      <c r="AW440" s="36"/>
      <c r="AX440" s="36"/>
      <c r="AY440" s="36"/>
      <c r="AZ440" s="36"/>
      <c r="BA440" s="36"/>
      <c r="BB440" s="36"/>
      <c r="BC440" s="36"/>
      <c r="BD440" s="36"/>
      <c r="BE440" s="36"/>
      <c r="BF440" s="36"/>
      <c r="BG440" s="36"/>
      <c r="BH440" s="36"/>
      <c r="BI440" s="36"/>
      <c r="BJ440" s="36"/>
      <c r="BK440" s="36"/>
      <c r="BL440" s="36"/>
      <c r="BM440" s="36"/>
      <c r="BN440" s="36"/>
      <c r="BO440" s="36"/>
      <c r="BP440" s="36"/>
      <c r="BQ440" s="36"/>
    </row>
    <row r="44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51"/>
      <c r="S441" s="51"/>
      <c r="T441" s="51"/>
      <c r="U441" s="51"/>
      <c r="V441" s="51"/>
      <c r="W441" s="51"/>
      <c r="X441" s="51"/>
      <c r="Y441" s="45"/>
      <c r="Z441" s="45"/>
      <c r="AA441" s="45"/>
      <c r="AB441" s="45"/>
      <c r="AC441" s="45"/>
      <c r="AD441" s="45"/>
      <c r="AE441" s="45"/>
      <c r="AF441" s="45"/>
      <c r="AG441" s="45"/>
      <c r="AH441" s="45"/>
      <c r="AI441" s="45"/>
      <c r="AJ441" s="45"/>
      <c r="AK441" s="45"/>
      <c r="AL441" s="45"/>
      <c r="AM441" s="45"/>
      <c r="AN441" s="45"/>
      <c r="AO441" s="45"/>
      <c r="AP441" s="45"/>
      <c r="AQ441" s="36"/>
      <c r="AR441" s="36"/>
      <c r="AS441" s="36"/>
      <c r="AT441" s="36"/>
      <c r="AU441" s="36"/>
      <c r="AV441" s="36"/>
      <c r="AW441" s="36"/>
      <c r="AX441" s="36"/>
      <c r="AY441" s="36"/>
      <c r="AZ441" s="36"/>
      <c r="BA441" s="36"/>
      <c r="BB441" s="36"/>
      <c r="BC441" s="36"/>
      <c r="BD441" s="36"/>
      <c r="BE441" s="36"/>
      <c r="BF441" s="36"/>
      <c r="BG441" s="36"/>
      <c r="BH441" s="36"/>
      <c r="BI441" s="36"/>
      <c r="BJ441" s="36"/>
      <c r="BK441" s="36"/>
      <c r="BL441" s="36"/>
      <c r="BM441" s="36"/>
      <c r="BN441" s="36"/>
      <c r="BO441" s="36"/>
      <c r="BP441" s="36"/>
      <c r="BQ441" s="36"/>
    </row>
    <row r="44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51"/>
      <c r="S442" s="51"/>
      <c r="T442" s="51"/>
      <c r="U442" s="51"/>
      <c r="V442" s="51"/>
      <c r="W442" s="51"/>
      <c r="X442" s="51"/>
      <c r="Y442" s="45"/>
      <c r="Z442" s="45"/>
      <c r="AA442" s="45"/>
      <c r="AB442" s="45"/>
      <c r="AC442" s="45"/>
      <c r="AD442" s="45"/>
      <c r="AE442" s="45"/>
      <c r="AF442" s="45"/>
      <c r="AG442" s="45"/>
      <c r="AH442" s="45"/>
      <c r="AI442" s="45"/>
      <c r="AJ442" s="45"/>
      <c r="AK442" s="45"/>
      <c r="AL442" s="45"/>
      <c r="AM442" s="45"/>
      <c r="AN442" s="45"/>
      <c r="AO442" s="45"/>
      <c r="AP442" s="45"/>
      <c r="AQ442" s="36"/>
      <c r="AR442" s="36"/>
      <c r="AS442" s="36"/>
      <c r="AT442" s="36"/>
      <c r="AU442" s="36"/>
      <c r="AV442" s="36"/>
      <c r="AW442" s="36"/>
      <c r="AX442" s="36"/>
      <c r="AY442" s="36"/>
      <c r="AZ442" s="36"/>
      <c r="BA442" s="36"/>
      <c r="BB442" s="36"/>
      <c r="BC442" s="36"/>
      <c r="BD442" s="36"/>
      <c r="BE442" s="36"/>
      <c r="BF442" s="36"/>
      <c r="BG442" s="36"/>
      <c r="BH442" s="36"/>
      <c r="BI442" s="36"/>
      <c r="BJ442" s="36"/>
      <c r="BK442" s="36"/>
      <c r="BL442" s="36"/>
      <c r="BM442" s="36"/>
      <c r="BN442" s="36"/>
      <c r="BO442" s="36"/>
      <c r="BP442" s="36"/>
      <c r="BQ442" s="36"/>
    </row>
    <row r="443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51"/>
      <c r="S443" s="51"/>
      <c r="T443" s="51"/>
      <c r="U443" s="51"/>
      <c r="V443" s="51"/>
      <c r="W443" s="51"/>
      <c r="X443" s="51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5"/>
      <c r="AM443" s="45"/>
      <c r="AN443" s="45"/>
      <c r="AO443" s="45"/>
      <c r="AP443" s="45"/>
      <c r="AQ443" s="36"/>
      <c r="AR443" s="36"/>
      <c r="AS443" s="36"/>
      <c r="AT443" s="36"/>
      <c r="AU443" s="36"/>
      <c r="AV443" s="36"/>
      <c r="AW443" s="36"/>
      <c r="AX443" s="36"/>
      <c r="AY443" s="36"/>
      <c r="AZ443" s="36"/>
      <c r="BA443" s="36"/>
      <c r="BB443" s="36"/>
      <c r="BC443" s="36"/>
      <c r="BD443" s="36"/>
      <c r="BE443" s="36"/>
      <c r="BF443" s="36"/>
      <c r="BG443" s="36"/>
      <c r="BH443" s="36"/>
      <c r="BI443" s="36"/>
      <c r="BJ443" s="36"/>
      <c r="BK443" s="36"/>
      <c r="BL443" s="36"/>
      <c r="BM443" s="36"/>
      <c r="BN443" s="36"/>
      <c r="BO443" s="36"/>
      <c r="BP443" s="36"/>
      <c r="BQ443" s="36"/>
    </row>
    <row r="444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51"/>
      <c r="S444" s="51"/>
      <c r="T444" s="51"/>
      <c r="U444" s="51"/>
      <c r="V444" s="51"/>
      <c r="W444" s="51"/>
      <c r="X444" s="51"/>
      <c r="Y444" s="45"/>
      <c r="Z444" s="45"/>
      <c r="AA444" s="45"/>
      <c r="AB444" s="45"/>
      <c r="AC444" s="45"/>
      <c r="AD444" s="45"/>
      <c r="AE444" s="45"/>
      <c r="AF444" s="45"/>
      <c r="AG444" s="45"/>
      <c r="AH444" s="45"/>
      <c r="AI444" s="45"/>
      <c r="AJ444" s="45"/>
      <c r="AK444" s="45"/>
      <c r="AL444" s="45"/>
      <c r="AM444" s="45"/>
      <c r="AN444" s="45"/>
      <c r="AO444" s="45"/>
      <c r="AP444" s="45"/>
      <c r="AQ444" s="36"/>
      <c r="AR444" s="36"/>
      <c r="AS444" s="36"/>
      <c r="AT444" s="36"/>
      <c r="AU444" s="36"/>
      <c r="AV444" s="36"/>
      <c r="AW444" s="36"/>
      <c r="AX444" s="36"/>
      <c r="AY444" s="36"/>
      <c r="AZ444" s="36"/>
      <c r="BA444" s="36"/>
      <c r="BB444" s="36"/>
      <c r="BC444" s="36"/>
      <c r="BD444" s="36"/>
      <c r="BE444" s="36"/>
      <c r="BF444" s="36"/>
      <c r="BG444" s="36"/>
      <c r="BH444" s="36"/>
      <c r="BI444" s="36"/>
      <c r="BJ444" s="36"/>
      <c r="BK444" s="36"/>
      <c r="BL444" s="36"/>
      <c r="BM444" s="36"/>
      <c r="BN444" s="36"/>
      <c r="BO444" s="36"/>
      <c r="BP444" s="36"/>
      <c r="BQ444" s="36"/>
    </row>
    <row r="44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51"/>
      <c r="S445" s="51"/>
      <c r="T445" s="51"/>
      <c r="U445" s="51"/>
      <c r="V445" s="51"/>
      <c r="W445" s="51"/>
      <c r="X445" s="51"/>
      <c r="Y445" s="45"/>
      <c r="Z445" s="45"/>
      <c r="AA445" s="45"/>
      <c r="AB445" s="45"/>
      <c r="AC445" s="45"/>
      <c r="AD445" s="45"/>
      <c r="AE445" s="45"/>
      <c r="AF445" s="45"/>
      <c r="AG445" s="45"/>
      <c r="AH445" s="45"/>
      <c r="AI445" s="45"/>
      <c r="AJ445" s="45"/>
      <c r="AK445" s="45"/>
      <c r="AL445" s="45"/>
      <c r="AM445" s="45"/>
      <c r="AN445" s="45"/>
      <c r="AO445" s="45"/>
      <c r="AP445" s="45"/>
      <c r="AQ445" s="36"/>
      <c r="AR445" s="36"/>
      <c r="AS445" s="36"/>
      <c r="AT445" s="36"/>
      <c r="AU445" s="36"/>
      <c r="AV445" s="36"/>
      <c r="AW445" s="36"/>
      <c r="AX445" s="36"/>
      <c r="AY445" s="36"/>
      <c r="AZ445" s="36"/>
      <c r="BA445" s="36"/>
      <c r="BB445" s="36"/>
      <c r="BC445" s="36"/>
      <c r="BD445" s="36"/>
      <c r="BE445" s="36"/>
      <c r="BF445" s="36"/>
      <c r="BG445" s="36"/>
      <c r="BH445" s="36"/>
      <c r="BI445" s="36"/>
      <c r="BJ445" s="36"/>
      <c r="BK445" s="36"/>
      <c r="BL445" s="36"/>
      <c r="BM445" s="36"/>
      <c r="BN445" s="36"/>
      <c r="BO445" s="36"/>
      <c r="BP445" s="36"/>
      <c r="BQ445" s="36"/>
    </row>
    <row r="446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51"/>
      <c r="S446" s="51"/>
      <c r="T446" s="51"/>
      <c r="U446" s="51"/>
      <c r="V446" s="51"/>
      <c r="W446" s="51"/>
      <c r="X446" s="51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5"/>
      <c r="AM446" s="45"/>
      <c r="AN446" s="45"/>
      <c r="AO446" s="45"/>
      <c r="AP446" s="45"/>
      <c r="AQ446" s="36"/>
      <c r="AR446" s="36"/>
      <c r="AS446" s="36"/>
      <c r="AT446" s="36"/>
      <c r="AU446" s="36"/>
      <c r="AV446" s="36"/>
      <c r="AW446" s="36"/>
      <c r="AX446" s="36"/>
      <c r="AY446" s="36"/>
      <c r="AZ446" s="36"/>
      <c r="BA446" s="36"/>
      <c r="BB446" s="36"/>
      <c r="BC446" s="36"/>
      <c r="BD446" s="36"/>
      <c r="BE446" s="36"/>
      <c r="BF446" s="36"/>
      <c r="BG446" s="36"/>
      <c r="BH446" s="36"/>
      <c r="BI446" s="36"/>
      <c r="BJ446" s="36"/>
      <c r="BK446" s="36"/>
      <c r="BL446" s="36"/>
      <c r="BM446" s="36"/>
      <c r="BN446" s="36"/>
      <c r="BO446" s="36"/>
      <c r="BP446" s="36"/>
      <c r="BQ446" s="36"/>
    </row>
    <row r="447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51"/>
      <c r="S447" s="51"/>
      <c r="T447" s="51"/>
      <c r="U447" s="51"/>
      <c r="V447" s="51"/>
      <c r="W447" s="51"/>
      <c r="X447" s="51"/>
      <c r="Y447" s="45"/>
      <c r="Z447" s="45"/>
      <c r="AA447" s="45"/>
      <c r="AB447" s="45"/>
      <c r="AC447" s="45"/>
      <c r="AD447" s="45"/>
      <c r="AE447" s="45"/>
      <c r="AF447" s="45"/>
      <c r="AG447" s="45"/>
      <c r="AH447" s="45"/>
      <c r="AI447" s="45"/>
      <c r="AJ447" s="45"/>
      <c r="AK447" s="45"/>
      <c r="AL447" s="45"/>
      <c r="AM447" s="45"/>
      <c r="AN447" s="45"/>
      <c r="AO447" s="45"/>
      <c r="AP447" s="45"/>
      <c r="AQ447" s="36"/>
      <c r="AR447" s="36"/>
      <c r="AS447" s="36"/>
      <c r="AT447" s="36"/>
      <c r="AU447" s="36"/>
      <c r="AV447" s="36"/>
      <c r="AW447" s="36"/>
      <c r="AX447" s="36"/>
      <c r="AY447" s="36"/>
      <c r="AZ447" s="36"/>
      <c r="BA447" s="36"/>
      <c r="BB447" s="36"/>
      <c r="BC447" s="36"/>
      <c r="BD447" s="36"/>
      <c r="BE447" s="36"/>
      <c r="BF447" s="36"/>
      <c r="BG447" s="36"/>
      <c r="BH447" s="36"/>
      <c r="BI447" s="36"/>
      <c r="BJ447" s="36"/>
      <c r="BK447" s="36"/>
      <c r="BL447" s="36"/>
      <c r="BM447" s="36"/>
      <c r="BN447" s="36"/>
      <c r="BO447" s="36"/>
      <c r="BP447" s="36"/>
      <c r="BQ447" s="36"/>
    </row>
    <row r="448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51"/>
      <c r="S448" s="51"/>
      <c r="T448" s="51"/>
      <c r="U448" s="51"/>
      <c r="V448" s="51"/>
      <c r="W448" s="51"/>
      <c r="X448" s="51"/>
      <c r="Y448" s="45"/>
      <c r="Z448" s="45"/>
      <c r="AA448" s="45"/>
      <c r="AB448" s="45"/>
      <c r="AC448" s="45"/>
      <c r="AD448" s="45"/>
      <c r="AE448" s="45"/>
      <c r="AF448" s="45"/>
      <c r="AG448" s="45"/>
      <c r="AH448" s="45"/>
      <c r="AI448" s="45"/>
      <c r="AJ448" s="45"/>
      <c r="AK448" s="45"/>
      <c r="AL448" s="45"/>
      <c r="AM448" s="45"/>
      <c r="AN448" s="45"/>
      <c r="AO448" s="45"/>
      <c r="AP448" s="45"/>
      <c r="AQ448" s="36"/>
      <c r="AR448" s="36"/>
      <c r="AS448" s="36"/>
      <c r="AT448" s="36"/>
      <c r="AU448" s="36"/>
      <c r="AV448" s="36"/>
      <c r="AW448" s="36"/>
      <c r="AX448" s="36"/>
      <c r="AY448" s="36"/>
      <c r="AZ448" s="36"/>
      <c r="BA448" s="36"/>
      <c r="BB448" s="36"/>
      <c r="BC448" s="36"/>
      <c r="BD448" s="36"/>
      <c r="BE448" s="36"/>
      <c r="BF448" s="36"/>
      <c r="BG448" s="36"/>
      <c r="BH448" s="36"/>
      <c r="BI448" s="36"/>
      <c r="BJ448" s="36"/>
      <c r="BK448" s="36"/>
      <c r="BL448" s="36"/>
      <c r="BM448" s="36"/>
      <c r="BN448" s="36"/>
      <c r="BO448" s="36"/>
      <c r="BP448" s="36"/>
      <c r="BQ448" s="36"/>
    </row>
    <row r="449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51"/>
      <c r="S449" s="51"/>
      <c r="T449" s="51"/>
      <c r="U449" s="51"/>
      <c r="V449" s="51"/>
      <c r="W449" s="51"/>
      <c r="X449" s="51"/>
      <c r="Y449" s="45"/>
      <c r="Z449" s="45"/>
      <c r="AA449" s="45"/>
      <c r="AB449" s="45"/>
      <c r="AC449" s="45"/>
      <c r="AD449" s="45"/>
      <c r="AE449" s="45"/>
      <c r="AF449" s="45"/>
      <c r="AG449" s="45"/>
      <c r="AH449" s="45"/>
      <c r="AI449" s="45"/>
      <c r="AJ449" s="45"/>
      <c r="AK449" s="45"/>
      <c r="AL449" s="45"/>
      <c r="AM449" s="45"/>
      <c r="AN449" s="45"/>
      <c r="AO449" s="45"/>
      <c r="AP449" s="45"/>
      <c r="AQ449" s="36"/>
      <c r="AR449" s="36"/>
      <c r="AS449" s="36"/>
      <c r="AT449" s="36"/>
      <c r="AU449" s="36"/>
      <c r="AV449" s="36"/>
      <c r="AW449" s="36"/>
      <c r="AX449" s="36"/>
      <c r="AY449" s="36"/>
      <c r="AZ449" s="36"/>
      <c r="BA449" s="36"/>
      <c r="BB449" s="36"/>
      <c r="BC449" s="36"/>
      <c r="BD449" s="36"/>
      <c r="BE449" s="36"/>
      <c r="BF449" s="36"/>
      <c r="BG449" s="36"/>
      <c r="BH449" s="36"/>
      <c r="BI449" s="36"/>
      <c r="BJ449" s="36"/>
      <c r="BK449" s="36"/>
      <c r="BL449" s="36"/>
      <c r="BM449" s="36"/>
      <c r="BN449" s="36"/>
      <c r="BO449" s="36"/>
      <c r="BP449" s="36"/>
      <c r="BQ449" s="36"/>
    </row>
    <row r="450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51"/>
      <c r="S450" s="51"/>
      <c r="T450" s="51"/>
      <c r="U450" s="51"/>
      <c r="V450" s="51"/>
      <c r="W450" s="51"/>
      <c r="X450" s="51"/>
      <c r="Y450" s="45"/>
      <c r="Z450" s="45"/>
      <c r="AA450" s="45"/>
      <c r="AB450" s="45"/>
      <c r="AC450" s="45"/>
      <c r="AD450" s="45"/>
      <c r="AE450" s="45"/>
      <c r="AF450" s="45"/>
      <c r="AG450" s="45"/>
      <c r="AH450" s="45"/>
      <c r="AI450" s="45"/>
      <c r="AJ450" s="45"/>
      <c r="AK450" s="45"/>
      <c r="AL450" s="45"/>
      <c r="AM450" s="45"/>
      <c r="AN450" s="45"/>
      <c r="AO450" s="45"/>
      <c r="AP450" s="45"/>
      <c r="AQ450" s="36"/>
      <c r="AR450" s="36"/>
      <c r="AS450" s="36"/>
      <c r="AT450" s="36"/>
      <c r="AU450" s="36"/>
      <c r="AV450" s="36"/>
      <c r="AW450" s="36"/>
      <c r="AX450" s="36"/>
      <c r="AY450" s="36"/>
      <c r="AZ450" s="36"/>
      <c r="BA450" s="36"/>
      <c r="BB450" s="36"/>
      <c r="BC450" s="36"/>
      <c r="BD450" s="36"/>
      <c r="BE450" s="36"/>
      <c r="BF450" s="36"/>
      <c r="BG450" s="36"/>
      <c r="BH450" s="36"/>
      <c r="BI450" s="36"/>
      <c r="BJ450" s="36"/>
      <c r="BK450" s="36"/>
      <c r="BL450" s="36"/>
      <c r="BM450" s="36"/>
      <c r="BN450" s="36"/>
      <c r="BO450" s="36"/>
      <c r="BP450" s="36"/>
      <c r="BQ450" s="36"/>
    </row>
    <row r="45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51"/>
      <c r="S451" s="51"/>
      <c r="T451" s="51"/>
      <c r="U451" s="51"/>
      <c r="V451" s="51"/>
      <c r="W451" s="51"/>
      <c r="X451" s="51"/>
      <c r="Y451" s="45"/>
      <c r="Z451" s="45"/>
      <c r="AA451" s="45"/>
      <c r="AB451" s="45"/>
      <c r="AC451" s="45"/>
      <c r="AD451" s="45"/>
      <c r="AE451" s="45"/>
      <c r="AF451" s="45"/>
      <c r="AG451" s="45"/>
      <c r="AH451" s="45"/>
      <c r="AI451" s="45"/>
      <c r="AJ451" s="45"/>
      <c r="AK451" s="45"/>
      <c r="AL451" s="45"/>
      <c r="AM451" s="45"/>
      <c r="AN451" s="45"/>
      <c r="AO451" s="45"/>
      <c r="AP451" s="45"/>
      <c r="AQ451" s="36"/>
      <c r="AR451" s="36"/>
      <c r="AS451" s="36"/>
      <c r="AT451" s="36"/>
      <c r="AU451" s="36"/>
      <c r="AV451" s="36"/>
      <c r="AW451" s="36"/>
      <c r="AX451" s="36"/>
      <c r="AY451" s="36"/>
      <c r="AZ451" s="36"/>
      <c r="BA451" s="36"/>
      <c r="BB451" s="36"/>
      <c r="BC451" s="36"/>
      <c r="BD451" s="36"/>
      <c r="BE451" s="36"/>
      <c r="BF451" s="36"/>
      <c r="BG451" s="36"/>
      <c r="BH451" s="36"/>
      <c r="BI451" s="36"/>
      <c r="BJ451" s="36"/>
      <c r="BK451" s="36"/>
      <c r="BL451" s="36"/>
      <c r="BM451" s="36"/>
      <c r="BN451" s="36"/>
      <c r="BO451" s="36"/>
      <c r="BP451" s="36"/>
      <c r="BQ451" s="36"/>
    </row>
    <row r="452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51"/>
      <c r="S452" s="51"/>
      <c r="T452" s="51"/>
      <c r="U452" s="51"/>
      <c r="V452" s="51"/>
      <c r="W452" s="51"/>
      <c r="X452" s="51"/>
      <c r="Y452" s="45"/>
      <c r="Z452" s="45"/>
      <c r="AA452" s="45"/>
      <c r="AB452" s="45"/>
      <c r="AC452" s="45"/>
      <c r="AD452" s="45"/>
      <c r="AE452" s="45"/>
      <c r="AF452" s="45"/>
      <c r="AG452" s="45"/>
      <c r="AH452" s="45"/>
      <c r="AI452" s="45"/>
      <c r="AJ452" s="45"/>
      <c r="AK452" s="45"/>
      <c r="AL452" s="45"/>
      <c r="AM452" s="45"/>
      <c r="AN452" s="45"/>
      <c r="AO452" s="45"/>
      <c r="AP452" s="45"/>
      <c r="AQ452" s="36"/>
      <c r="AR452" s="36"/>
      <c r="AS452" s="36"/>
      <c r="AT452" s="36"/>
      <c r="AU452" s="36"/>
      <c r="AV452" s="36"/>
      <c r="AW452" s="36"/>
      <c r="AX452" s="36"/>
      <c r="AY452" s="36"/>
      <c r="AZ452" s="36"/>
      <c r="BA452" s="36"/>
      <c r="BB452" s="36"/>
      <c r="BC452" s="36"/>
      <c r="BD452" s="36"/>
      <c r="BE452" s="36"/>
      <c r="BF452" s="36"/>
      <c r="BG452" s="36"/>
      <c r="BH452" s="36"/>
      <c r="BI452" s="36"/>
      <c r="BJ452" s="36"/>
      <c r="BK452" s="36"/>
      <c r="BL452" s="36"/>
      <c r="BM452" s="36"/>
      <c r="BN452" s="36"/>
      <c r="BO452" s="36"/>
      <c r="BP452" s="36"/>
      <c r="BQ452" s="36"/>
    </row>
    <row r="453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51"/>
      <c r="S453" s="51"/>
      <c r="T453" s="51"/>
      <c r="U453" s="51"/>
      <c r="V453" s="51"/>
      <c r="W453" s="51"/>
      <c r="X453" s="51"/>
      <c r="Y453" s="45"/>
      <c r="Z453" s="45"/>
      <c r="AA453" s="45"/>
      <c r="AB453" s="45"/>
      <c r="AC453" s="45"/>
      <c r="AD453" s="45"/>
      <c r="AE453" s="45"/>
      <c r="AF453" s="45"/>
      <c r="AG453" s="45"/>
      <c r="AH453" s="45"/>
      <c r="AI453" s="45"/>
      <c r="AJ453" s="45"/>
      <c r="AK453" s="45"/>
      <c r="AL453" s="45"/>
      <c r="AM453" s="45"/>
      <c r="AN453" s="45"/>
      <c r="AO453" s="45"/>
      <c r="AP453" s="45"/>
      <c r="AQ453" s="36"/>
      <c r="AR453" s="36"/>
      <c r="AS453" s="36"/>
      <c r="AT453" s="36"/>
      <c r="AU453" s="36"/>
      <c r="AV453" s="36"/>
      <c r="AW453" s="36"/>
      <c r="AX453" s="36"/>
      <c r="AY453" s="36"/>
      <c r="AZ453" s="36"/>
      <c r="BA453" s="36"/>
      <c r="BB453" s="36"/>
      <c r="BC453" s="36"/>
      <c r="BD453" s="36"/>
      <c r="BE453" s="36"/>
      <c r="BF453" s="36"/>
      <c r="BG453" s="36"/>
      <c r="BH453" s="36"/>
      <c r="BI453" s="36"/>
      <c r="BJ453" s="36"/>
      <c r="BK453" s="36"/>
      <c r="BL453" s="36"/>
      <c r="BM453" s="36"/>
      <c r="BN453" s="36"/>
      <c r="BO453" s="36"/>
      <c r="BP453" s="36"/>
      <c r="BQ453" s="36"/>
    </row>
    <row r="454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51"/>
      <c r="S454" s="51"/>
      <c r="T454" s="51"/>
      <c r="U454" s="51"/>
      <c r="V454" s="51"/>
      <c r="W454" s="51"/>
      <c r="X454" s="51"/>
      <c r="Y454" s="45"/>
      <c r="Z454" s="45"/>
      <c r="AA454" s="45"/>
      <c r="AB454" s="45"/>
      <c r="AC454" s="45"/>
      <c r="AD454" s="45"/>
      <c r="AE454" s="45"/>
      <c r="AF454" s="45"/>
      <c r="AG454" s="45"/>
      <c r="AH454" s="45"/>
      <c r="AI454" s="45"/>
      <c r="AJ454" s="45"/>
      <c r="AK454" s="45"/>
      <c r="AL454" s="45"/>
      <c r="AM454" s="45"/>
      <c r="AN454" s="45"/>
      <c r="AO454" s="45"/>
      <c r="AP454" s="45"/>
      <c r="AQ454" s="36"/>
      <c r="AR454" s="36"/>
      <c r="AS454" s="36"/>
      <c r="AT454" s="36"/>
      <c r="AU454" s="36"/>
      <c r="AV454" s="36"/>
      <c r="AW454" s="36"/>
      <c r="AX454" s="36"/>
      <c r="AY454" s="36"/>
      <c r="AZ454" s="36"/>
      <c r="BA454" s="36"/>
      <c r="BB454" s="36"/>
      <c r="BC454" s="36"/>
      <c r="BD454" s="36"/>
      <c r="BE454" s="36"/>
      <c r="BF454" s="36"/>
      <c r="BG454" s="36"/>
      <c r="BH454" s="36"/>
      <c r="BI454" s="36"/>
      <c r="BJ454" s="36"/>
      <c r="BK454" s="36"/>
      <c r="BL454" s="36"/>
      <c r="BM454" s="36"/>
      <c r="BN454" s="36"/>
      <c r="BO454" s="36"/>
      <c r="BP454" s="36"/>
      <c r="BQ454" s="36"/>
    </row>
    <row r="45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51"/>
      <c r="S455" s="51"/>
      <c r="T455" s="51"/>
      <c r="U455" s="51"/>
      <c r="V455" s="51"/>
      <c r="W455" s="51"/>
      <c r="X455" s="51"/>
      <c r="Y455" s="45"/>
      <c r="Z455" s="45"/>
      <c r="AA455" s="45"/>
      <c r="AB455" s="45"/>
      <c r="AC455" s="45"/>
      <c r="AD455" s="45"/>
      <c r="AE455" s="45"/>
      <c r="AF455" s="45"/>
      <c r="AG455" s="45"/>
      <c r="AH455" s="45"/>
      <c r="AI455" s="45"/>
      <c r="AJ455" s="45"/>
      <c r="AK455" s="45"/>
      <c r="AL455" s="45"/>
      <c r="AM455" s="45"/>
      <c r="AN455" s="45"/>
      <c r="AO455" s="45"/>
      <c r="AP455" s="45"/>
      <c r="AQ455" s="36"/>
      <c r="AR455" s="36"/>
      <c r="AS455" s="36"/>
      <c r="AT455" s="36"/>
      <c r="AU455" s="36"/>
      <c r="AV455" s="36"/>
      <c r="AW455" s="36"/>
      <c r="AX455" s="36"/>
      <c r="AY455" s="36"/>
      <c r="AZ455" s="36"/>
      <c r="BA455" s="36"/>
      <c r="BB455" s="36"/>
      <c r="BC455" s="36"/>
      <c r="BD455" s="36"/>
      <c r="BE455" s="36"/>
      <c r="BF455" s="36"/>
      <c r="BG455" s="36"/>
      <c r="BH455" s="36"/>
      <c r="BI455" s="36"/>
      <c r="BJ455" s="36"/>
      <c r="BK455" s="36"/>
      <c r="BL455" s="36"/>
      <c r="BM455" s="36"/>
      <c r="BN455" s="36"/>
      <c r="BO455" s="36"/>
      <c r="BP455" s="36"/>
      <c r="BQ455" s="36"/>
    </row>
    <row r="456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51"/>
      <c r="S456" s="51"/>
      <c r="T456" s="51"/>
      <c r="U456" s="51"/>
      <c r="V456" s="51"/>
      <c r="W456" s="51"/>
      <c r="X456" s="51"/>
      <c r="Y456" s="45"/>
      <c r="Z456" s="45"/>
      <c r="AA456" s="45"/>
      <c r="AB456" s="45"/>
      <c r="AC456" s="45"/>
      <c r="AD456" s="45"/>
      <c r="AE456" s="45"/>
      <c r="AF456" s="45"/>
      <c r="AG456" s="45"/>
      <c r="AH456" s="45"/>
      <c r="AI456" s="45"/>
      <c r="AJ456" s="45"/>
      <c r="AK456" s="45"/>
      <c r="AL456" s="45"/>
      <c r="AM456" s="45"/>
      <c r="AN456" s="45"/>
      <c r="AO456" s="45"/>
      <c r="AP456" s="45"/>
      <c r="AQ456" s="36"/>
      <c r="AR456" s="36"/>
      <c r="AS456" s="36"/>
      <c r="AT456" s="36"/>
      <c r="AU456" s="36"/>
      <c r="AV456" s="36"/>
      <c r="AW456" s="36"/>
      <c r="AX456" s="36"/>
      <c r="AY456" s="36"/>
      <c r="AZ456" s="36"/>
      <c r="BA456" s="36"/>
      <c r="BB456" s="36"/>
      <c r="BC456" s="36"/>
      <c r="BD456" s="36"/>
      <c r="BE456" s="36"/>
      <c r="BF456" s="36"/>
      <c r="BG456" s="36"/>
      <c r="BH456" s="36"/>
      <c r="BI456" s="36"/>
      <c r="BJ456" s="36"/>
      <c r="BK456" s="36"/>
      <c r="BL456" s="36"/>
      <c r="BM456" s="36"/>
      <c r="BN456" s="36"/>
      <c r="BO456" s="36"/>
      <c r="BP456" s="36"/>
      <c r="BQ456" s="36"/>
    </row>
    <row r="457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51"/>
      <c r="S457" s="51"/>
      <c r="T457" s="51"/>
      <c r="U457" s="51"/>
      <c r="V457" s="51"/>
      <c r="W457" s="51"/>
      <c r="X457" s="51"/>
      <c r="Y457" s="45"/>
      <c r="Z457" s="45"/>
      <c r="AA457" s="45"/>
      <c r="AB457" s="45"/>
      <c r="AC457" s="45"/>
      <c r="AD457" s="45"/>
      <c r="AE457" s="45"/>
      <c r="AF457" s="45"/>
      <c r="AG457" s="45"/>
      <c r="AH457" s="45"/>
      <c r="AI457" s="45"/>
      <c r="AJ457" s="45"/>
      <c r="AK457" s="45"/>
      <c r="AL457" s="45"/>
      <c r="AM457" s="45"/>
      <c r="AN457" s="45"/>
      <c r="AO457" s="45"/>
      <c r="AP457" s="45"/>
      <c r="AQ457" s="36"/>
      <c r="AR457" s="36"/>
      <c r="AS457" s="36"/>
      <c r="AT457" s="36"/>
      <c r="AU457" s="36"/>
      <c r="AV457" s="36"/>
      <c r="AW457" s="36"/>
      <c r="AX457" s="36"/>
      <c r="AY457" s="36"/>
      <c r="AZ457" s="36"/>
      <c r="BA457" s="36"/>
      <c r="BB457" s="36"/>
      <c r="BC457" s="36"/>
      <c r="BD457" s="36"/>
      <c r="BE457" s="36"/>
      <c r="BF457" s="36"/>
      <c r="BG457" s="36"/>
      <c r="BH457" s="36"/>
      <c r="BI457" s="36"/>
      <c r="BJ457" s="36"/>
      <c r="BK457" s="36"/>
      <c r="BL457" s="36"/>
      <c r="BM457" s="36"/>
      <c r="BN457" s="36"/>
      <c r="BO457" s="36"/>
      <c r="BP457" s="36"/>
      <c r="BQ457" s="36"/>
    </row>
    <row r="458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51"/>
      <c r="S458" s="51"/>
      <c r="T458" s="51"/>
      <c r="U458" s="51"/>
      <c r="V458" s="51"/>
      <c r="W458" s="51"/>
      <c r="X458" s="51"/>
      <c r="Y458" s="45"/>
      <c r="Z458" s="45"/>
      <c r="AA458" s="45"/>
      <c r="AB458" s="45"/>
      <c r="AC458" s="45"/>
      <c r="AD458" s="45"/>
      <c r="AE458" s="45"/>
      <c r="AF458" s="45"/>
      <c r="AG458" s="45"/>
      <c r="AH458" s="45"/>
      <c r="AI458" s="45"/>
      <c r="AJ458" s="45"/>
      <c r="AK458" s="45"/>
      <c r="AL458" s="45"/>
      <c r="AM458" s="45"/>
      <c r="AN458" s="45"/>
      <c r="AO458" s="45"/>
      <c r="AP458" s="45"/>
      <c r="AQ458" s="36"/>
      <c r="AR458" s="36"/>
      <c r="AS458" s="36"/>
      <c r="AT458" s="36"/>
      <c r="AU458" s="36"/>
      <c r="AV458" s="36"/>
      <c r="AW458" s="36"/>
      <c r="AX458" s="36"/>
      <c r="AY458" s="36"/>
      <c r="AZ458" s="36"/>
      <c r="BA458" s="36"/>
      <c r="BB458" s="36"/>
      <c r="BC458" s="36"/>
      <c r="BD458" s="36"/>
      <c r="BE458" s="36"/>
      <c r="BF458" s="36"/>
      <c r="BG458" s="36"/>
      <c r="BH458" s="36"/>
      <c r="BI458" s="36"/>
      <c r="BJ458" s="36"/>
      <c r="BK458" s="36"/>
      <c r="BL458" s="36"/>
      <c r="BM458" s="36"/>
      <c r="BN458" s="36"/>
      <c r="BO458" s="36"/>
      <c r="BP458" s="36"/>
      <c r="BQ458" s="36"/>
    </row>
    <row r="459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51"/>
      <c r="S459" s="51"/>
      <c r="T459" s="51"/>
      <c r="U459" s="51"/>
      <c r="V459" s="51"/>
      <c r="W459" s="51"/>
      <c r="X459" s="51"/>
      <c r="Y459" s="45"/>
      <c r="Z459" s="45"/>
      <c r="AA459" s="45"/>
      <c r="AB459" s="45"/>
      <c r="AC459" s="45"/>
      <c r="AD459" s="45"/>
      <c r="AE459" s="45"/>
      <c r="AF459" s="45"/>
      <c r="AG459" s="45"/>
      <c r="AH459" s="45"/>
      <c r="AI459" s="45"/>
      <c r="AJ459" s="45"/>
      <c r="AK459" s="45"/>
      <c r="AL459" s="45"/>
      <c r="AM459" s="45"/>
      <c r="AN459" s="45"/>
      <c r="AO459" s="45"/>
      <c r="AP459" s="45"/>
      <c r="AQ459" s="36"/>
      <c r="AR459" s="36"/>
      <c r="AS459" s="36"/>
      <c r="AT459" s="36"/>
      <c r="AU459" s="36"/>
      <c r="AV459" s="36"/>
      <c r="AW459" s="36"/>
      <c r="AX459" s="36"/>
      <c r="AY459" s="36"/>
      <c r="AZ459" s="36"/>
      <c r="BA459" s="36"/>
      <c r="BB459" s="36"/>
      <c r="BC459" s="36"/>
      <c r="BD459" s="36"/>
      <c r="BE459" s="36"/>
      <c r="BF459" s="36"/>
      <c r="BG459" s="36"/>
      <c r="BH459" s="36"/>
      <c r="BI459" s="36"/>
      <c r="BJ459" s="36"/>
      <c r="BK459" s="36"/>
      <c r="BL459" s="36"/>
      <c r="BM459" s="36"/>
      <c r="BN459" s="36"/>
      <c r="BO459" s="36"/>
      <c r="BP459" s="36"/>
      <c r="BQ459" s="36"/>
    </row>
    <row r="460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51"/>
      <c r="S460" s="51"/>
      <c r="T460" s="51"/>
      <c r="U460" s="51"/>
      <c r="V460" s="51"/>
      <c r="W460" s="51"/>
      <c r="X460" s="51"/>
      <c r="Y460" s="45"/>
      <c r="Z460" s="45"/>
      <c r="AA460" s="45"/>
      <c r="AB460" s="45"/>
      <c r="AC460" s="45"/>
      <c r="AD460" s="45"/>
      <c r="AE460" s="45"/>
      <c r="AF460" s="45"/>
      <c r="AG460" s="45"/>
      <c r="AH460" s="45"/>
      <c r="AI460" s="45"/>
      <c r="AJ460" s="45"/>
      <c r="AK460" s="45"/>
      <c r="AL460" s="45"/>
      <c r="AM460" s="45"/>
      <c r="AN460" s="45"/>
      <c r="AO460" s="45"/>
      <c r="AP460" s="45"/>
      <c r="AQ460" s="36"/>
      <c r="AR460" s="36"/>
      <c r="AS460" s="36"/>
      <c r="AT460" s="36"/>
      <c r="AU460" s="36"/>
      <c r="AV460" s="36"/>
      <c r="AW460" s="36"/>
      <c r="AX460" s="36"/>
      <c r="AY460" s="36"/>
      <c r="AZ460" s="36"/>
      <c r="BA460" s="36"/>
      <c r="BB460" s="36"/>
      <c r="BC460" s="36"/>
      <c r="BD460" s="36"/>
      <c r="BE460" s="36"/>
      <c r="BF460" s="36"/>
      <c r="BG460" s="36"/>
      <c r="BH460" s="36"/>
      <c r="BI460" s="36"/>
      <c r="BJ460" s="36"/>
      <c r="BK460" s="36"/>
      <c r="BL460" s="36"/>
      <c r="BM460" s="36"/>
      <c r="BN460" s="36"/>
      <c r="BO460" s="36"/>
      <c r="BP460" s="36"/>
      <c r="BQ460" s="36"/>
    </row>
    <row r="46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51"/>
      <c r="S461" s="51"/>
      <c r="T461" s="51"/>
      <c r="U461" s="51"/>
      <c r="V461" s="51"/>
      <c r="W461" s="51"/>
      <c r="X461" s="51"/>
      <c r="Y461" s="45"/>
      <c r="Z461" s="45"/>
      <c r="AA461" s="45"/>
      <c r="AB461" s="45"/>
      <c r="AC461" s="45"/>
      <c r="AD461" s="45"/>
      <c r="AE461" s="45"/>
      <c r="AF461" s="45"/>
      <c r="AG461" s="45"/>
      <c r="AH461" s="45"/>
      <c r="AI461" s="45"/>
      <c r="AJ461" s="45"/>
      <c r="AK461" s="45"/>
      <c r="AL461" s="45"/>
      <c r="AM461" s="45"/>
      <c r="AN461" s="45"/>
      <c r="AO461" s="45"/>
      <c r="AP461" s="45"/>
      <c r="AQ461" s="36"/>
      <c r="AR461" s="36"/>
      <c r="AS461" s="36"/>
      <c r="AT461" s="36"/>
      <c r="AU461" s="36"/>
      <c r="AV461" s="36"/>
      <c r="AW461" s="36"/>
      <c r="AX461" s="36"/>
      <c r="AY461" s="36"/>
      <c r="AZ461" s="36"/>
      <c r="BA461" s="36"/>
      <c r="BB461" s="36"/>
      <c r="BC461" s="36"/>
      <c r="BD461" s="36"/>
      <c r="BE461" s="36"/>
      <c r="BF461" s="36"/>
      <c r="BG461" s="36"/>
      <c r="BH461" s="36"/>
      <c r="BI461" s="36"/>
      <c r="BJ461" s="36"/>
      <c r="BK461" s="36"/>
      <c r="BL461" s="36"/>
      <c r="BM461" s="36"/>
      <c r="BN461" s="36"/>
      <c r="BO461" s="36"/>
      <c r="BP461" s="36"/>
      <c r="BQ461" s="36"/>
    </row>
    <row r="462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51"/>
      <c r="S462" s="51"/>
      <c r="T462" s="51"/>
      <c r="U462" s="51"/>
      <c r="V462" s="51"/>
      <c r="W462" s="51"/>
      <c r="X462" s="51"/>
      <c r="Y462" s="45"/>
      <c r="Z462" s="45"/>
      <c r="AA462" s="45"/>
      <c r="AB462" s="45"/>
      <c r="AC462" s="45"/>
      <c r="AD462" s="45"/>
      <c r="AE462" s="45"/>
      <c r="AF462" s="45"/>
      <c r="AG462" s="45"/>
      <c r="AH462" s="45"/>
      <c r="AI462" s="45"/>
      <c r="AJ462" s="45"/>
      <c r="AK462" s="45"/>
      <c r="AL462" s="45"/>
      <c r="AM462" s="45"/>
      <c r="AN462" s="45"/>
      <c r="AO462" s="45"/>
      <c r="AP462" s="45"/>
      <c r="AQ462" s="36"/>
      <c r="AR462" s="36"/>
      <c r="AS462" s="36"/>
      <c r="AT462" s="36"/>
      <c r="AU462" s="36"/>
      <c r="AV462" s="36"/>
      <c r="AW462" s="36"/>
      <c r="AX462" s="36"/>
      <c r="AY462" s="36"/>
      <c r="AZ462" s="36"/>
      <c r="BA462" s="36"/>
      <c r="BB462" s="36"/>
      <c r="BC462" s="36"/>
      <c r="BD462" s="36"/>
      <c r="BE462" s="36"/>
      <c r="BF462" s="36"/>
      <c r="BG462" s="36"/>
      <c r="BH462" s="36"/>
      <c r="BI462" s="36"/>
      <c r="BJ462" s="36"/>
      <c r="BK462" s="36"/>
      <c r="BL462" s="36"/>
      <c r="BM462" s="36"/>
      <c r="BN462" s="36"/>
      <c r="BO462" s="36"/>
      <c r="BP462" s="36"/>
      <c r="BQ462" s="36"/>
    </row>
    <row r="463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51"/>
      <c r="S463" s="51"/>
      <c r="T463" s="51"/>
      <c r="U463" s="51"/>
      <c r="V463" s="51"/>
      <c r="W463" s="51"/>
      <c r="X463" s="51"/>
      <c r="Y463" s="45"/>
      <c r="Z463" s="45"/>
      <c r="AA463" s="45"/>
      <c r="AB463" s="45"/>
      <c r="AC463" s="45"/>
      <c r="AD463" s="45"/>
      <c r="AE463" s="45"/>
      <c r="AF463" s="45"/>
      <c r="AG463" s="45"/>
      <c r="AH463" s="45"/>
      <c r="AI463" s="45"/>
      <c r="AJ463" s="45"/>
      <c r="AK463" s="45"/>
      <c r="AL463" s="45"/>
      <c r="AM463" s="45"/>
      <c r="AN463" s="45"/>
      <c r="AO463" s="45"/>
      <c r="AP463" s="45"/>
      <c r="AQ463" s="36"/>
      <c r="AR463" s="36"/>
      <c r="AS463" s="36"/>
      <c r="AT463" s="36"/>
      <c r="AU463" s="36"/>
      <c r="AV463" s="36"/>
      <c r="AW463" s="36"/>
      <c r="AX463" s="36"/>
      <c r="AY463" s="36"/>
      <c r="AZ463" s="36"/>
      <c r="BA463" s="36"/>
      <c r="BB463" s="36"/>
      <c r="BC463" s="36"/>
      <c r="BD463" s="36"/>
      <c r="BE463" s="36"/>
      <c r="BF463" s="36"/>
      <c r="BG463" s="36"/>
      <c r="BH463" s="36"/>
      <c r="BI463" s="36"/>
      <c r="BJ463" s="36"/>
      <c r="BK463" s="36"/>
      <c r="BL463" s="36"/>
      <c r="BM463" s="36"/>
      <c r="BN463" s="36"/>
      <c r="BO463" s="36"/>
      <c r="BP463" s="36"/>
      <c r="BQ463" s="36"/>
    </row>
    <row r="464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51"/>
      <c r="S464" s="51"/>
      <c r="T464" s="51"/>
      <c r="U464" s="51"/>
      <c r="V464" s="51"/>
      <c r="W464" s="51"/>
      <c r="X464" s="51"/>
      <c r="Y464" s="45"/>
      <c r="Z464" s="45"/>
      <c r="AA464" s="45"/>
      <c r="AB464" s="45"/>
      <c r="AC464" s="45"/>
      <c r="AD464" s="45"/>
      <c r="AE464" s="45"/>
      <c r="AF464" s="45"/>
      <c r="AG464" s="45"/>
      <c r="AH464" s="45"/>
      <c r="AI464" s="45"/>
      <c r="AJ464" s="45"/>
      <c r="AK464" s="45"/>
      <c r="AL464" s="45"/>
      <c r="AM464" s="45"/>
      <c r="AN464" s="45"/>
      <c r="AO464" s="45"/>
      <c r="AP464" s="45"/>
      <c r="AQ464" s="36"/>
      <c r="AR464" s="36"/>
      <c r="AS464" s="36"/>
      <c r="AT464" s="36"/>
      <c r="AU464" s="36"/>
      <c r="AV464" s="36"/>
      <c r="AW464" s="36"/>
      <c r="AX464" s="36"/>
      <c r="AY464" s="36"/>
      <c r="AZ464" s="36"/>
      <c r="BA464" s="36"/>
      <c r="BB464" s="36"/>
      <c r="BC464" s="36"/>
      <c r="BD464" s="36"/>
      <c r="BE464" s="36"/>
      <c r="BF464" s="36"/>
      <c r="BG464" s="36"/>
      <c r="BH464" s="36"/>
      <c r="BI464" s="36"/>
      <c r="BJ464" s="36"/>
      <c r="BK464" s="36"/>
      <c r="BL464" s="36"/>
      <c r="BM464" s="36"/>
      <c r="BN464" s="36"/>
      <c r="BO464" s="36"/>
      <c r="BP464" s="36"/>
      <c r="BQ464" s="36"/>
    </row>
    <row r="46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51"/>
      <c r="S465" s="51"/>
      <c r="T465" s="51"/>
      <c r="U465" s="51"/>
      <c r="V465" s="51"/>
      <c r="W465" s="51"/>
      <c r="X465" s="51"/>
      <c r="Y465" s="45"/>
      <c r="Z465" s="45"/>
      <c r="AA465" s="45"/>
      <c r="AB465" s="45"/>
      <c r="AC465" s="45"/>
      <c r="AD465" s="45"/>
      <c r="AE465" s="45"/>
      <c r="AF465" s="45"/>
      <c r="AG465" s="45"/>
      <c r="AH465" s="45"/>
      <c r="AI465" s="45"/>
      <c r="AJ465" s="45"/>
      <c r="AK465" s="45"/>
      <c r="AL465" s="45"/>
      <c r="AM465" s="45"/>
      <c r="AN465" s="45"/>
      <c r="AO465" s="45"/>
      <c r="AP465" s="45"/>
      <c r="AQ465" s="36"/>
      <c r="AR465" s="36"/>
      <c r="AS465" s="36"/>
      <c r="AT465" s="36"/>
      <c r="AU465" s="36"/>
      <c r="AV465" s="36"/>
      <c r="AW465" s="36"/>
      <c r="AX465" s="36"/>
      <c r="AY465" s="36"/>
      <c r="AZ465" s="36"/>
      <c r="BA465" s="36"/>
      <c r="BB465" s="36"/>
      <c r="BC465" s="36"/>
      <c r="BD465" s="36"/>
      <c r="BE465" s="36"/>
      <c r="BF465" s="36"/>
      <c r="BG465" s="36"/>
      <c r="BH465" s="36"/>
      <c r="BI465" s="36"/>
      <c r="BJ465" s="36"/>
      <c r="BK465" s="36"/>
      <c r="BL465" s="36"/>
      <c r="BM465" s="36"/>
      <c r="BN465" s="36"/>
      <c r="BO465" s="36"/>
      <c r="BP465" s="36"/>
      <c r="BQ465" s="36"/>
    </row>
    <row r="466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51"/>
      <c r="S466" s="51"/>
      <c r="T466" s="51"/>
      <c r="U466" s="51"/>
      <c r="V466" s="51"/>
      <c r="W466" s="51"/>
      <c r="X466" s="51"/>
      <c r="Y466" s="45"/>
      <c r="Z466" s="45"/>
      <c r="AA466" s="45"/>
      <c r="AB466" s="45"/>
      <c r="AC466" s="45"/>
      <c r="AD466" s="45"/>
      <c r="AE466" s="45"/>
      <c r="AF466" s="45"/>
      <c r="AG466" s="45"/>
      <c r="AH466" s="45"/>
      <c r="AI466" s="45"/>
      <c r="AJ466" s="45"/>
      <c r="AK466" s="45"/>
      <c r="AL466" s="45"/>
      <c r="AM466" s="45"/>
      <c r="AN466" s="45"/>
      <c r="AO466" s="45"/>
      <c r="AP466" s="45"/>
      <c r="AQ466" s="36"/>
      <c r="AR466" s="36"/>
      <c r="AS466" s="36"/>
      <c r="AT466" s="36"/>
      <c r="AU466" s="36"/>
      <c r="AV466" s="36"/>
      <c r="AW466" s="36"/>
      <c r="AX466" s="36"/>
      <c r="AY466" s="36"/>
      <c r="AZ466" s="36"/>
      <c r="BA466" s="36"/>
      <c r="BB466" s="36"/>
      <c r="BC466" s="36"/>
      <c r="BD466" s="36"/>
      <c r="BE466" s="36"/>
      <c r="BF466" s="36"/>
      <c r="BG466" s="36"/>
      <c r="BH466" s="36"/>
      <c r="BI466" s="36"/>
      <c r="BJ466" s="36"/>
      <c r="BK466" s="36"/>
      <c r="BL466" s="36"/>
      <c r="BM466" s="36"/>
      <c r="BN466" s="36"/>
      <c r="BO466" s="36"/>
      <c r="BP466" s="36"/>
      <c r="BQ466" s="36"/>
    </row>
    <row r="467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51"/>
      <c r="S467" s="51"/>
      <c r="T467" s="51"/>
      <c r="U467" s="51"/>
      <c r="V467" s="51"/>
      <c r="W467" s="51"/>
      <c r="X467" s="51"/>
      <c r="Y467" s="45"/>
      <c r="Z467" s="45"/>
      <c r="AA467" s="45"/>
      <c r="AB467" s="45"/>
      <c r="AC467" s="45"/>
      <c r="AD467" s="45"/>
      <c r="AE467" s="45"/>
      <c r="AF467" s="45"/>
      <c r="AG467" s="45"/>
      <c r="AH467" s="45"/>
      <c r="AI467" s="45"/>
      <c r="AJ467" s="45"/>
      <c r="AK467" s="45"/>
      <c r="AL467" s="45"/>
      <c r="AM467" s="45"/>
      <c r="AN467" s="45"/>
      <c r="AO467" s="45"/>
      <c r="AP467" s="45"/>
      <c r="AQ467" s="36"/>
      <c r="AR467" s="36"/>
      <c r="AS467" s="36"/>
      <c r="AT467" s="36"/>
      <c r="AU467" s="36"/>
      <c r="AV467" s="36"/>
      <c r="AW467" s="36"/>
      <c r="AX467" s="36"/>
      <c r="AY467" s="36"/>
      <c r="AZ467" s="36"/>
      <c r="BA467" s="36"/>
      <c r="BB467" s="36"/>
      <c r="BC467" s="36"/>
      <c r="BD467" s="36"/>
      <c r="BE467" s="36"/>
      <c r="BF467" s="36"/>
      <c r="BG467" s="36"/>
      <c r="BH467" s="36"/>
      <c r="BI467" s="36"/>
      <c r="BJ467" s="36"/>
      <c r="BK467" s="36"/>
      <c r="BL467" s="36"/>
      <c r="BM467" s="36"/>
      <c r="BN467" s="36"/>
      <c r="BO467" s="36"/>
      <c r="BP467" s="36"/>
      <c r="BQ467" s="36"/>
    </row>
    <row r="468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51"/>
      <c r="S468" s="51"/>
      <c r="T468" s="51"/>
      <c r="U468" s="51"/>
      <c r="V468" s="51"/>
      <c r="W468" s="51"/>
      <c r="X468" s="51"/>
      <c r="Y468" s="45"/>
      <c r="Z468" s="45"/>
      <c r="AA468" s="45"/>
      <c r="AB468" s="45"/>
      <c r="AC468" s="45"/>
      <c r="AD468" s="45"/>
      <c r="AE468" s="45"/>
      <c r="AF468" s="45"/>
      <c r="AG468" s="45"/>
      <c r="AH468" s="45"/>
      <c r="AI468" s="45"/>
      <c r="AJ468" s="45"/>
      <c r="AK468" s="45"/>
      <c r="AL468" s="45"/>
      <c r="AM468" s="45"/>
      <c r="AN468" s="45"/>
      <c r="AO468" s="45"/>
      <c r="AP468" s="45"/>
      <c r="AQ468" s="36"/>
      <c r="AR468" s="36"/>
      <c r="AS468" s="36"/>
      <c r="AT468" s="36"/>
      <c r="AU468" s="36"/>
      <c r="AV468" s="36"/>
      <c r="AW468" s="36"/>
      <c r="AX468" s="36"/>
      <c r="AY468" s="36"/>
      <c r="AZ468" s="36"/>
      <c r="BA468" s="36"/>
      <c r="BB468" s="36"/>
      <c r="BC468" s="36"/>
      <c r="BD468" s="36"/>
      <c r="BE468" s="36"/>
      <c r="BF468" s="36"/>
      <c r="BG468" s="36"/>
      <c r="BH468" s="36"/>
      <c r="BI468" s="36"/>
      <c r="BJ468" s="36"/>
      <c r="BK468" s="36"/>
      <c r="BL468" s="36"/>
      <c r="BM468" s="36"/>
      <c r="BN468" s="36"/>
      <c r="BO468" s="36"/>
      <c r="BP468" s="36"/>
      <c r="BQ468" s="36"/>
    </row>
    <row r="469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51"/>
      <c r="S469" s="51"/>
      <c r="T469" s="51"/>
      <c r="U469" s="51"/>
      <c r="V469" s="51"/>
      <c r="W469" s="51"/>
      <c r="X469" s="51"/>
      <c r="Y469" s="45"/>
      <c r="Z469" s="45"/>
      <c r="AA469" s="45"/>
      <c r="AB469" s="45"/>
      <c r="AC469" s="45"/>
      <c r="AD469" s="45"/>
      <c r="AE469" s="45"/>
      <c r="AF469" s="45"/>
      <c r="AG469" s="45"/>
      <c r="AH469" s="45"/>
      <c r="AI469" s="45"/>
      <c r="AJ469" s="45"/>
      <c r="AK469" s="45"/>
      <c r="AL469" s="45"/>
      <c r="AM469" s="45"/>
      <c r="AN469" s="45"/>
      <c r="AO469" s="45"/>
      <c r="AP469" s="45"/>
      <c r="AQ469" s="36"/>
      <c r="AR469" s="36"/>
      <c r="AS469" s="36"/>
      <c r="AT469" s="36"/>
      <c r="AU469" s="36"/>
      <c r="AV469" s="36"/>
      <c r="AW469" s="36"/>
      <c r="AX469" s="36"/>
      <c r="AY469" s="36"/>
      <c r="AZ469" s="36"/>
      <c r="BA469" s="36"/>
      <c r="BB469" s="36"/>
      <c r="BC469" s="36"/>
      <c r="BD469" s="36"/>
      <c r="BE469" s="36"/>
      <c r="BF469" s="36"/>
      <c r="BG469" s="36"/>
      <c r="BH469" s="36"/>
      <c r="BI469" s="36"/>
      <c r="BJ469" s="36"/>
      <c r="BK469" s="36"/>
      <c r="BL469" s="36"/>
      <c r="BM469" s="36"/>
      <c r="BN469" s="36"/>
      <c r="BO469" s="36"/>
      <c r="BP469" s="36"/>
      <c r="BQ469" s="36"/>
    </row>
    <row r="470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51"/>
      <c r="S470" s="51"/>
      <c r="T470" s="51"/>
      <c r="U470" s="51"/>
      <c r="V470" s="51"/>
      <c r="W470" s="51"/>
      <c r="X470" s="51"/>
      <c r="Y470" s="45"/>
      <c r="Z470" s="45"/>
      <c r="AA470" s="45"/>
      <c r="AB470" s="45"/>
      <c r="AC470" s="45"/>
      <c r="AD470" s="45"/>
      <c r="AE470" s="45"/>
      <c r="AF470" s="45"/>
      <c r="AG470" s="45"/>
      <c r="AH470" s="45"/>
      <c r="AI470" s="45"/>
      <c r="AJ470" s="45"/>
      <c r="AK470" s="45"/>
      <c r="AL470" s="45"/>
      <c r="AM470" s="45"/>
      <c r="AN470" s="45"/>
      <c r="AO470" s="45"/>
      <c r="AP470" s="45"/>
      <c r="AQ470" s="36"/>
      <c r="AR470" s="36"/>
      <c r="AS470" s="36"/>
      <c r="AT470" s="36"/>
      <c r="AU470" s="36"/>
      <c r="AV470" s="36"/>
      <c r="AW470" s="36"/>
      <c r="AX470" s="36"/>
      <c r="AY470" s="36"/>
      <c r="AZ470" s="36"/>
      <c r="BA470" s="36"/>
      <c r="BB470" s="36"/>
      <c r="BC470" s="36"/>
      <c r="BD470" s="36"/>
      <c r="BE470" s="36"/>
      <c r="BF470" s="36"/>
      <c r="BG470" s="36"/>
      <c r="BH470" s="36"/>
      <c r="BI470" s="36"/>
      <c r="BJ470" s="36"/>
      <c r="BK470" s="36"/>
      <c r="BL470" s="36"/>
      <c r="BM470" s="36"/>
      <c r="BN470" s="36"/>
      <c r="BO470" s="36"/>
      <c r="BP470" s="36"/>
      <c r="BQ470" s="36"/>
    </row>
    <row r="47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51"/>
      <c r="S471" s="51"/>
      <c r="T471" s="51"/>
      <c r="U471" s="51"/>
      <c r="V471" s="51"/>
      <c r="W471" s="51"/>
      <c r="X471" s="51"/>
      <c r="Y471" s="45"/>
      <c r="Z471" s="45"/>
      <c r="AA471" s="45"/>
      <c r="AB471" s="45"/>
      <c r="AC471" s="45"/>
      <c r="AD471" s="45"/>
      <c r="AE471" s="45"/>
      <c r="AF471" s="45"/>
      <c r="AG471" s="45"/>
      <c r="AH471" s="45"/>
      <c r="AI471" s="45"/>
      <c r="AJ471" s="45"/>
      <c r="AK471" s="45"/>
      <c r="AL471" s="45"/>
      <c r="AM471" s="45"/>
      <c r="AN471" s="45"/>
      <c r="AO471" s="45"/>
      <c r="AP471" s="45"/>
      <c r="AQ471" s="36"/>
      <c r="AR471" s="36"/>
      <c r="AS471" s="36"/>
      <c r="AT471" s="36"/>
      <c r="AU471" s="36"/>
      <c r="AV471" s="36"/>
      <c r="AW471" s="36"/>
      <c r="AX471" s="36"/>
      <c r="AY471" s="36"/>
      <c r="AZ471" s="36"/>
      <c r="BA471" s="36"/>
      <c r="BB471" s="36"/>
      <c r="BC471" s="36"/>
      <c r="BD471" s="36"/>
      <c r="BE471" s="36"/>
      <c r="BF471" s="36"/>
      <c r="BG471" s="36"/>
      <c r="BH471" s="36"/>
      <c r="BI471" s="36"/>
      <c r="BJ471" s="36"/>
      <c r="BK471" s="36"/>
      <c r="BL471" s="36"/>
      <c r="BM471" s="36"/>
      <c r="BN471" s="36"/>
      <c r="BO471" s="36"/>
      <c r="BP471" s="36"/>
      <c r="BQ471" s="36"/>
    </row>
    <row r="47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51"/>
      <c r="S472" s="51"/>
      <c r="T472" s="51"/>
      <c r="U472" s="51"/>
      <c r="V472" s="51"/>
      <c r="W472" s="51"/>
      <c r="X472" s="51"/>
      <c r="Y472" s="45"/>
      <c r="Z472" s="45"/>
      <c r="AA472" s="45"/>
      <c r="AB472" s="45"/>
      <c r="AC472" s="45"/>
      <c r="AD472" s="45"/>
      <c r="AE472" s="45"/>
      <c r="AF472" s="45"/>
      <c r="AG472" s="45"/>
      <c r="AH472" s="45"/>
      <c r="AI472" s="45"/>
      <c r="AJ472" s="45"/>
      <c r="AK472" s="45"/>
      <c r="AL472" s="45"/>
      <c r="AM472" s="45"/>
      <c r="AN472" s="45"/>
      <c r="AO472" s="45"/>
      <c r="AP472" s="45"/>
      <c r="AQ472" s="36"/>
      <c r="AR472" s="36"/>
      <c r="AS472" s="36"/>
      <c r="AT472" s="36"/>
      <c r="AU472" s="36"/>
      <c r="AV472" s="36"/>
      <c r="AW472" s="36"/>
      <c r="AX472" s="36"/>
      <c r="AY472" s="36"/>
      <c r="AZ472" s="36"/>
      <c r="BA472" s="36"/>
      <c r="BB472" s="36"/>
      <c r="BC472" s="36"/>
      <c r="BD472" s="36"/>
      <c r="BE472" s="36"/>
      <c r="BF472" s="36"/>
      <c r="BG472" s="36"/>
      <c r="BH472" s="36"/>
      <c r="BI472" s="36"/>
      <c r="BJ472" s="36"/>
      <c r="BK472" s="36"/>
      <c r="BL472" s="36"/>
      <c r="BM472" s="36"/>
      <c r="BN472" s="36"/>
      <c r="BO472" s="36"/>
      <c r="BP472" s="36"/>
      <c r="BQ472" s="36"/>
    </row>
    <row r="473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51"/>
      <c r="S473" s="51"/>
      <c r="T473" s="51"/>
      <c r="U473" s="51"/>
      <c r="V473" s="51"/>
      <c r="W473" s="51"/>
      <c r="X473" s="51"/>
      <c r="Y473" s="45"/>
      <c r="Z473" s="45"/>
      <c r="AA473" s="45"/>
      <c r="AB473" s="45"/>
      <c r="AC473" s="45"/>
      <c r="AD473" s="45"/>
      <c r="AE473" s="45"/>
      <c r="AF473" s="45"/>
      <c r="AG473" s="45"/>
      <c r="AH473" s="45"/>
      <c r="AI473" s="45"/>
      <c r="AJ473" s="45"/>
      <c r="AK473" s="45"/>
      <c r="AL473" s="45"/>
      <c r="AM473" s="45"/>
      <c r="AN473" s="45"/>
      <c r="AO473" s="45"/>
      <c r="AP473" s="45"/>
      <c r="AQ473" s="36"/>
      <c r="AR473" s="36"/>
      <c r="AS473" s="36"/>
      <c r="AT473" s="36"/>
      <c r="AU473" s="36"/>
      <c r="AV473" s="36"/>
      <c r="AW473" s="36"/>
      <c r="AX473" s="36"/>
      <c r="AY473" s="36"/>
      <c r="AZ473" s="36"/>
      <c r="BA473" s="36"/>
      <c r="BB473" s="36"/>
      <c r="BC473" s="36"/>
      <c r="BD473" s="36"/>
      <c r="BE473" s="36"/>
      <c r="BF473" s="36"/>
      <c r="BG473" s="36"/>
      <c r="BH473" s="36"/>
      <c r="BI473" s="36"/>
      <c r="BJ473" s="36"/>
      <c r="BK473" s="36"/>
      <c r="BL473" s="36"/>
      <c r="BM473" s="36"/>
      <c r="BN473" s="36"/>
      <c r="BO473" s="36"/>
      <c r="BP473" s="36"/>
      <c r="BQ473" s="36"/>
    </row>
    <row r="474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51"/>
      <c r="S474" s="51"/>
      <c r="T474" s="51"/>
      <c r="U474" s="51"/>
      <c r="V474" s="51"/>
      <c r="W474" s="51"/>
      <c r="X474" s="51"/>
      <c r="Y474" s="45"/>
      <c r="Z474" s="45"/>
      <c r="AA474" s="45"/>
      <c r="AB474" s="45"/>
      <c r="AC474" s="45"/>
      <c r="AD474" s="45"/>
      <c r="AE474" s="45"/>
      <c r="AF474" s="45"/>
      <c r="AG474" s="45"/>
      <c r="AH474" s="45"/>
      <c r="AI474" s="45"/>
      <c r="AJ474" s="45"/>
      <c r="AK474" s="45"/>
      <c r="AL474" s="45"/>
      <c r="AM474" s="45"/>
      <c r="AN474" s="45"/>
      <c r="AO474" s="45"/>
      <c r="AP474" s="45"/>
      <c r="AQ474" s="36"/>
      <c r="AR474" s="36"/>
      <c r="AS474" s="36"/>
      <c r="AT474" s="36"/>
      <c r="AU474" s="36"/>
      <c r="AV474" s="36"/>
      <c r="AW474" s="36"/>
      <c r="AX474" s="36"/>
      <c r="AY474" s="36"/>
      <c r="AZ474" s="36"/>
      <c r="BA474" s="36"/>
      <c r="BB474" s="36"/>
      <c r="BC474" s="36"/>
      <c r="BD474" s="36"/>
      <c r="BE474" s="36"/>
      <c r="BF474" s="36"/>
      <c r="BG474" s="36"/>
      <c r="BH474" s="36"/>
      <c r="BI474" s="36"/>
      <c r="BJ474" s="36"/>
      <c r="BK474" s="36"/>
      <c r="BL474" s="36"/>
      <c r="BM474" s="36"/>
      <c r="BN474" s="36"/>
      <c r="BO474" s="36"/>
      <c r="BP474" s="36"/>
      <c r="BQ474" s="36"/>
    </row>
    <row r="4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51"/>
      <c r="S475" s="51"/>
      <c r="T475" s="51"/>
      <c r="U475" s="51"/>
      <c r="V475" s="51"/>
      <c r="W475" s="51"/>
      <c r="X475" s="51"/>
      <c r="Y475" s="45"/>
      <c r="Z475" s="45"/>
      <c r="AA475" s="45"/>
      <c r="AB475" s="45"/>
      <c r="AC475" s="45"/>
      <c r="AD475" s="45"/>
      <c r="AE475" s="45"/>
      <c r="AF475" s="45"/>
      <c r="AG475" s="45"/>
      <c r="AH475" s="45"/>
      <c r="AI475" s="45"/>
      <c r="AJ475" s="45"/>
      <c r="AK475" s="45"/>
      <c r="AL475" s="45"/>
      <c r="AM475" s="45"/>
      <c r="AN475" s="45"/>
      <c r="AO475" s="45"/>
      <c r="AP475" s="45"/>
      <c r="AQ475" s="36"/>
      <c r="AR475" s="36"/>
      <c r="AS475" s="36"/>
      <c r="AT475" s="36"/>
      <c r="AU475" s="36"/>
      <c r="AV475" s="36"/>
      <c r="AW475" s="36"/>
      <c r="AX475" s="36"/>
      <c r="AY475" s="36"/>
      <c r="AZ475" s="36"/>
      <c r="BA475" s="36"/>
      <c r="BB475" s="36"/>
      <c r="BC475" s="36"/>
      <c r="BD475" s="36"/>
      <c r="BE475" s="36"/>
      <c r="BF475" s="36"/>
      <c r="BG475" s="36"/>
      <c r="BH475" s="36"/>
      <c r="BI475" s="36"/>
      <c r="BJ475" s="36"/>
      <c r="BK475" s="36"/>
      <c r="BL475" s="36"/>
      <c r="BM475" s="36"/>
      <c r="BN475" s="36"/>
      <c r="BO475" s="36"/>
      <c r="BP475" s="36"/>
      <c r="BQ475" s="36"/>
    </row>
    <row r="476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51"/>
      <c r="S476" s="51"/>
      <c r="T476" s="51"/>
      <c r="U476" s="51"/>
      <c r="V476" s="51"/>
      <c r="W476" s="51"/>
      <c r="X476" s="51"/>
      <c r="Y476" s="45"/>
      <c r="Z476" s="45"/>
      <c r="AA476" s="45"/>
      <c r="AB476" s="45"/>
      <c r="AC476" s="45"/>
      <c r="AD476" s="45"/>
      <c r="AE476" s="45"/>
      <c r="AF476" s="45"/>
      <c r="AG476" s="45"/>
      <c r="AH476" s="45"/>
      <c r="AI476" s="45"/>
      <c r="AJ476" s="45"/>
      <c r="AK476" s="45"/>
      <c r="AL476" s="45"/>
      <c r="AM476" s="45"/>
      <c r="AN476" s="45"/>
      <c r="AO476" s="45"/>
      <c r="AP476" s="45"/>
      <c r="AQ476" s="36"/>
      <c r="AR476" s="36"/>
      <c r="AS476" s="36"/>
      <c r="AT476" s="36"/>
      <c r="AU476" s="36"/>
      <c r="AV476" s="36"/>
      <c r="AW476" s="36"/>
      <c r="AX476" s="36"/>
      <c r="AY476" s="36"/>
      <c r="AZ476" s="36"/>
      <c r="BA476" s="36"/>
      <c r="BB476" s="36"/>
      <c r="BC476" s="36"/>
      <c r="BD476" s="36"/>
      <c r="BE476" s="36"/>
      <c r="BF476" s="36"/>
      <c r="BG476" s="36"/>
      <c r="BH476" s="36"/>
      <c r="BI476" s="36"/>
      <c r="BJ476" s="36"/>
      <c r="BK476" s="36"/>
      <c r="BL476" s="36"/>
      <c r="BM476" s="36"/>
      <c r="BN476" s="36"/>
      <c r="BO476" s="36"/>
      <c r="BP476" s="36"/>
      <c r="BQ476" s="36"/>
    </row>
    <row r="477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51"/>
      <c r="S477" s="51"/>
      <c r="T477" s="51"/>
      <c r="U477" s="51"/>
      <c r="V477" s="51"/>
      <c r="W477" s="51"/>
      <c r="X477" s="51"/>
      <c r="Y477" s="45"/>
      <c r="Z477" s="45"/>
      <c r="AA477" s="45"/>
      <c r="AB477" s="45"/>
      <c r="AC477" s="45"/>
      <c r="AD477" s="45"/>
      <c r="AE477" s="45"/>
      <c r="AF477" s="45"/>
      <c r="AG477" s="45"/>
      <c r="AH477" s="45"/>
      <c r="AI477" s="45"/>
      <c r="AJ477" s="45"/>
      <c r="AK477" s="45"/>
      <c r="AL477" s="45"/>
      <c r="AM477" s="45"/>
      <c r="AN477" s="45"/>
      <c r="AO477" s="45"/>
      <c r="AP477" s="45"/>
      <c r="AQ477" s="36"/>
      <c r="AR477" s="36"/>
      <c r="AS477" s="36"/>
      <c r="AT477" s="36"/>
      <c r="AU477" s="36"/>
      <c r="AV477" s="36"/>
      <c r="AW477" s="36"/>
      <c r="AX477" s="36"/>
      <c r="AY477" s="36"/>
      <c r="AZ477" s="36"/>
      <c r="BA477" s="36"/>
      <c r="BB477" s="36"/>
      <c r="BC477" s="36"/>
      <c r="BD477" s="36"/>
      <c r="BE477" s="36"/>
      <c r="BF477" s="36"/>
      <c r="BG477" s="36"/>
      <c r="BH477" s="36"/>
      <c r="BI477" s="36"/>
      <c r="BJ477" s="36"/>
      <c r="BK477" s="36"/>
      <c r="BL477" s="36"/>
      <c r="BM477" s="36"/>
      <c r="BN477" s="36"/>
      <c r="BO477" s="36"/>
      <c r="BP477" s="36"/>
      <c r="BQ477" s="36"/>
    </row>
    <row r="478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51"/>
      <c r="S478" s="51"/>
      <c r="T478" s="51"/>
      <c r="U478" s="51"/>
      <c r="V478" s="51"/>
      <c r="W478" s="51"/>
      <c r="X478" s="51"/>
      <c r="Y478" s="45"/>
      <c r="Z478" s="45"/>
      <c r="AA478" s="45"/>
      <c r="AB478" s="45"/>
      <c r="AC478" s="45"/>
      <c r="AD478" s="45"/>
      <c r="AE478" s="45"/>
      <c r="AF478" s="45"/>
      <c r="AG478" s="45"/>
      <c r="AH478" s="45"/>
      <c r="AI478" s="45"/>
      <c r="AJ478" s="45"/>
      <c r="AK478" s="45"/>
      <c r="AL478" s="45"/>
      <c r="AM478" s="45"/>
      <c r="AN478" s="45"/>
      <c r="AO478" s="45"/>
      <c r="AP478" s="45"/>
      <c r="AQ478" s="36"/>
      <c r="AR478" s="36"/>
      <c r="AS478" s="36"/>
      <c r="AT478" s="36"/>
      <c r="AU478" s="36"/>
      <c r="AV478" s="36"/>
      <c r="AW478" s="36"/>
      <c r="AX478" s="36"/>
      <c r="AY478" s="36"/>
      <c r="AZ478" s="36"/>
      <c r="BA478" s="36"/>
      <c r="BB478" s="36"/>
      <c r="BC478" s="36"/>
      <c r="BD478" s="36"/>
      <c r="BE478" s="36"/>
      <c r="BF478" s="36"/>
      <c r="BG478" s="36"/>
      <c r="BH478" s="36"/>
      <c r="BI478" s="36"/>
      <c r="BJ478" s="36"/>
      <c r="BK478" s="36"/>
      <c r="BL478" s="36"/>
      <c r="BM478" s="36"/>
      <c r="BN478" s="36"/>
      <c r="BO478" s="36"/>
      <c r="BP478" s="36"/>
      <c r="BQ478" s="36"/>
    </row>
    <row r="479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51"/>
      <c r="S479" s="51"/>
      <c r="T479" s="51"/>
      <c r="U479" s="51"/>
      <c r="V479" s="51"/>
      <c r="W479" s="51"/>
      <c r="X479" s="51"/>
      <c r="Y479" s="45"/>
      <c r="Z479" s="45"/>
      <c r="AA479" s="45"/>
      <c r="AB479" s="45"/>
      <c r="AC479" s="45"/>
      <c r="AD479" s="45"/>
      <c r="AE479" s="45"/>
      <c r="AF479" s="45"/>
      <c r="AG479" s="45"/>
      <c r="AH479" s="45"/>
      <c r="AI479" s="45"/>
      <c r="AJ479" s="45"/>
      <c r="AK479" s="45"/>
      <c r="AL479" s="45"/>
      <c r="AM479" s="45"/>
      <c r="AN479" s="45"/>
      <c r="AO479" s="45"/>
      <c r="AP479" s="45"/>
      <c r="AQ479" s="36"/>
      <c r="AR479" s="36"/>
      <c r="AS479" s="36"/>
      <c r="AT479" s="36"/>
      <c r="AU479" s="36"/>
      <c r="AV479" s="36"/>
      <c r="AW479" s="36"/>
      <c r="AX479" s="36"/>
      <c r="AY479" s="36"/>
      <c r="AZ479" s="36"/>
      <c r="BA479" s="36"/>
      <c r="BB479" s="36"/>
      <c r="BC479" s="36"/>
      <c r="BD479" s="36"/>
      <c r="BE479" s="36"/>
      <c r="BF479" s="36"/>
      <c r="BG479" s="36"/>
      <c r="BH479" s="36"/>
      <c r="BI479" s="36"/>
      <c r="BJ479" s="36"/>
      <c r="BK479" s="36"/>
      <c r="BL479" s="36"/>
      <c r="BM479" s="36"/>
      <c r="BN479" s="36"/>
      <c r="BO479" s="36"/>
      <c r="BP479" s="36"/>
      <c r="BQ479" s="36"/>
    </row>
    <row r="480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51"/>
      <c r="S480" s="51"/>
      <c r="T480" s="51"/>
      <c r="U480" s="51"/>
      <c r="V480" s="51"/>
      <c r="W480" s="51"/>
      <c r="X480" s="51"/>
      <c r="Y480" s="45"/>
      <c r="Z480" s="45"/>
      <c r="AA480" s="45"/>
      <c r="AB480" s="45"/>
      <c r="AC480" s="45"/>
      <c r="AD480" s="45"/>
      <c r="AE480" s="45"/>
      <c r="AF480" s="45"/>
      <c r="AG480" s="45"/>
      <c r="AH480" s="45"/>
      <c r="AI480" s="45"/>
      <c r="AJ480" s="45"/>
      <c r="AK480" s="45"/>
      <c r="AL480" s="45"/>
      <c r="AM480" s="45"/>
      <c r="AN480" s="45"/>
      <c r="AO480" s="45"/>
      <c r="AP480" s="45"/>
      <c r="AQ480" s="36"/>
      <c r="AR480" s="36"/>
      <c r="AS480" s="36"/>
      <c r="AT480" s="36"/>
      <c r="AU480" s="36"/>
      <c r="AV480" s="36"/>
      <c r="AW480" s="36"/>
      <c r="AX480" s="36"/>
      <c r="AY480" s="36"/>
      <c r="AZ480" s="36"/>
      <c r="BA480" s="36"/>
      <c r="BB480" s="36"/>
      <c r="BC480" s="36"/>
      <c r="BD480" s="36"/>
      <c r="BE480" s="36"/>
      <c r="BF480" s="36"/>
      <c r="BG480" s="36"/>
      <c r="BH480" s="36"/>
      <c r="BI480" s="36"/>
      <c r="BJ480" s="36"/>
      <c r="BK480" s="36"/>
      <c r="BL480" s="36"/>
      <c r="BM480" s="36"/>
      <c r="BN480" s="36"/>
      <c r="BO480" s="36"/>
      <c r="BP480" s="36"/>
      <c r="BQ480" s="36"/>
    </row>
    <row r="48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51"/>
      <c r="S481" s="51"/>
      <c r="T481" s="51"/>
      <c r="U481" s="51"/>
      <c r="V481" s="51"/>
      <c r="W481" s="51"/>
      <c r="X481" s="51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5"/>
      <c r="AM481" s="45"/>
      <c r="AN481" s="45"/>
      <c r="AO481" s="45"/>
      <c r="AP481" s="45"/>
      <c r="AQ481" s="36"/>
      <c r="AR481" s="36"/>
      <c r="AS481" s="36"/>
      <c r="AT481" s="36"/>
      <c r="AU481" s="36"/>
      <c r="AV481" s="36"/>
      <c r="AW481" s="36"/>
      <c r="AX481" s="36"/>
      <c r="AY481" s="36"/>
      <c r="AZ481" s="36"/>
      <c r="BA481" s="36"/>
      <c r="BB481" s="36"/>
      <c r="BC481" s="36"/>
      <c r="BD481" s="36"/>
      <c r="BE481" s="36"/>
      <c r="BF481" s="36"/>
      <c r="BG481" s="36"/>
      <c r="BH481" s="36"/>
      <c r="BI481" s="36"/>
      <c r="BJ481" s="36"/>
      <c r="BK481" s="36"/>
      <c r="BL481" s="36"/>
      <c r="BM481" s="36"/>
      <c r="BN481" s="36"/>
      <c r="BO481" s="36"/>
      <c r="BP481" s="36"/>
      <c r="BQ481" s="36"/>
    </row>
    <row r="482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51"/>
      <c r="S482" s="51"/>
      <c r="T482" s="51"/>
      <c r="U482" s="51"/>
      <c r="V482" s="51"/>
      <c r="W482" s="51"/>
      <c r="X482" s="51"/>
      <c r="Y482" s="45"/>
      <c r="Z482" s="45"/>
      <c r="AA482" s="45"/>
      <c r="AB482" s="45"/>
      <c r="AC482" s="45"/>
      <c r="AD482" s="45"/>
      <c r="AE482" s="45"/>
      <c r="AF482" s="45"/>
      <c r="AG482" s="45"/>
      <c r="AH482" s="45"/>
      <c r="AI482" s="45"/>
      <c r="AJ482" s="45"/>
      <c r="AK482" s="45"/>
      <c r="AL482" s="45"/>
      <c r="AM482" s="45"/>
      <c r="AN482" s="45"/>
      <c r="AO482" s="45"/>
      <c r="AP482" s="45"/>
      <c r="AQ482" s="36"/>
      <c r="AR482" s="36"/>
      <c r="AS482" s="36"/>
      <c r="AT482" s="36"/>
      <c r="AU482" s="36"/>
      <c r="AV482" s="36"/>
      <c r="AW482" s="36"/>
      <c r="AX482" s="36"/>
      <c r="AY482" s="36"/>
      <c r="AZ482" s="36"/>
      <c r="BA482" s="36"/>
      <c r="BB482" s="36"/>
      <c r="BC482" s="36"/>
      <c r="BD482" s="36"/>
      <c r="BE482" s="36"/>
      <c r="BF482" s="36"/>
      <c r="BG482" s="36"/>
      <c r="BH482" s="36"/>
      <c r="BI482" s="36"/>
      <c r="BJ482" s="36"/>
      <c r="BK482" s="36"/>
      <c r="BL482" s="36"/>
      <c r="BM482" s="36"/>
      <c r="BN482" s="36"/>
      <c r="BO482" s="36"/>
      <c r="BP482" s="36"/>
      <c r="BQ482" s="36"/>
    </row>
    <row r="483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51"/>
      <c r="S483" s="51"/>
      <c r="T483" s="51"/>
      <c r="U483" s="51"/>
      <c r="V483" s="51"/>
      <c r="W483" s="51"/>
      <c r="X483" s="51"/>
      <c r="Y483" s="45"/>
      <c r="Z483" s="45"/>
      <c r="AA483" s="45"/>
      <c r="AB483" s="45"/>
      <c r="AC483" s="45"/>
      <c r="AD483" s="45"/>
      <c r="AE483" s="45"/>
      <c r="AF483" s="45"/>
      <c r="AG483" s="45"/>
      <c r="AH483" s="45"/>
      <c r="AI483" s="45"/>
      <c r="AJ483" s="45"/>
      <c r="AK483" s="45"/>
      <c r="AL483" s="45"/>
      <c r="AM483" s="45"/>
      <c r="AN483" s="45"/>
      <c r="AO483" s="45"/>
      <c r="AP483" s="45"/>
      <c r="AQ483" s="36"/>
      <c r="AR483" s="36"/>
      <c r="AS483" s="36"/>
      <c r="AT483" s="36"/>
      <c r="AU483" s="36"/>
      <c r="AV483" s="36"/>
      <c r="AW483" s="36"/>
      <c r="AX483" s="36"/>
      <c r="AY483" s="36"/>
      <c r="AZ483" s="36"/>
      <c r="BA483" s="36"/>
      <c r="BB483" s="36"/>
      <c r="BC483" s="36"/>
      <c r="BD483" s="36"/>
      <c r="BE483" s="36"/>
      <c r="BF483" s="36"/>
      <c r="BG483" s="36"/>
      <c r="BH483" s="36"/>
      <c r="BI483" s="36"/>
      <c r="BJ483" s="36"/>
      <c r="BK483" s="36"/>
      <c r="BL483" s="36"/>
      <c r="BM483" s="36"/>
      <c r="BN483" s="36"/>
      <c r="BO483" s="36"/>
      <c r="BP483" s="36"/>
      <c r="BQ483" s="36"/>
    </row>
    <row r="484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51"/>
      <c r="S484" s="51"/>
      <c r="T484" s="51"/>
      <c r="U484" s="51"/>
      <c r="V484" s="51"/>
      <c r="W484" s="51"/>
      <c r="X484" s="51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5"/>
      <c r="AM484" s="45"/>
      <c r="AN484" s="45"/>
      <c r="AO484" s="45"/>
      <c r="AP484" s="45"/>
      <c r="AQ484" s="36"/>
      <c r="AR484" s="36"/>
      <c r="AS484" s="36"/>
      <c r="AT484" s="36"/>
      <c r="AU484" s="36"/>
      <c r="AV484" s="36"/>
      <c r="AW484" s="36"/>
      <c r="AX484" s="36"/>
      <c r="AY484" s="36"/>
      <c r="AZ484" s="36"/>
      <c r="BA484" s="36"/>
      <c r="BB484" s="36"/>
      <c r="BC484" s="36"/>
      <c r="BD484" s="36"/>
      <c r="BE484" s="36"/>
      <c r="BF484" s="36"/>
      <c r="BG484" s="36"/>
      <c r="BH484" s="36"/>
      <c r="BI484" s="36"/>
      <c r="BJ484" s="36"/>
      <c r="BK484" s="36"/>
      <c r="BL484" s="36"/>
      <c r="BM484" s="36"/>
      <c r="BN484" s="36"/>
      <c r="BO484" s="36"/>
      <c r="BP484" s="36"/>
      <c r="BQ484" s="36"/>
    </row>
    <row r="48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51"/>
      <c r="S485" s="51"/>
      <c r="T485" s="51"/>
      <c r="U485" s="51"/>
      <c r="V485" s="51"/>
      <c r="W485" s="51"/>
      <c r="X485" s="51"/>
      <c r="Y485" s="45"/>
      <c r="Z485" s="45"/>
      <c r="AA485" s="45"/>
      <c r="AB485" s="45"/>
      <c r="AC485" s="45"/>
      <c r="AD485" s="45"/>
      <c r="AE485" s="45"/>
      <c r="AF485" s="45"/>
      <c r="AG485" s="45"/>
      <c r="AH485" s="45"/>
      <c r="AI485" s="45"/>
      <c r="AJ485" s="45"/>
      <c r="AK485" s="45"/>
      <c r="AL485" s="45"/>
      <c r="AM485" s="45"/>
      <c r="AN485" s="45"/>
      <c r="AO485" s="45"/>
      <c r="AP485" s="45"/>
      <c r="AQ485" s="36"/>
      <c r="AR485" s="36"/>
      <c r="AS485" s="36"/>
      <c r="AT485" s="36"/>
      <c r="AU485" s="36"/>
      <c r="AV485" s="36"/>
      <c r="AW485" s="36"/>
      <c r="AX485" s="36"/>
      <c r="AY485" s="36"/>
      <c r="AZ485" s="36"/>
      <c r="BA485" s="36"/>
      <c r="BB485" s="36"/>
      <c r="BC485" s="36"/>
      <c r="BD485" s="36"/>
      <c r="BE485" s="36"/>
      <c r="BF485" s="36"/>
      <c r="BG485" s="36"/>
      <c r="BH485" s="36"/>
      <c r="BI485" s="36"/>
      <c r="BJ485" s="36"/>
      <c r="BK485" s="36"/>
      <c r="BL485" s="36"/>
      <c r="BM485" s="36"/>
      <c r="BN485" s="36"/>
      <c r="BO485" s="36"/>
      <c r="BP485" s="36"/>
      <c r="BQ485" s="36"/>
    </row>
    <row r="486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51"/>
      <c r="S486" s="51"/>
      <c r="T486" s="51"/>
      <c r="U486" s="51"/>
      <c r="V486" s="51"/>
      <c r="W486" s="51"/>
      <c r="X486" s="51"/>
      <c r="Y486" s="45"/>
      <c r="Z486" s="45"/>
      <c r="AA486" s="45"/>
      <c r="AB486" s="45"/>
      <c r="AC486" s="45"/>
      <c r="AD486" s="45"/>
      <c r="AE486" s="45"/>
      <c r="AF486" s="45"/>
      <c r="AG486" s="45"/>
      <c r="AH486" s="45"/>
      <c r="AI486" s="45"/>
      <c r="AJ486" s="45"/>
      <c r="AK486" s="45"/>
      <c r="AL486" s="45"/>
      <c r="AM486" s="45"/>
      <c r="AN486" s="45"/>
      <c r="AO486" s="45"/>
      <c r="AP486" s="45"/>
      <c r="AQ486" s="36"/>
      <c r="AR486" s="36"/>
      <c r="AS486" s="36"/>
      <c r="AT486" s="36"/>
      <c r="AU486" s="36"/>
      <c r="AV486" s="36"/>
      <c r="AW486" s="36"/>
      <c r="AX486" s="36"/>
      <c r="AY486" s="36"/>
      <c r="AZ486" s="36"/>
      <c r="BA486" s="36"/>
      <c r="BB486" s="36"/>
      <c r="BC486" s="36"/>
      <c r="BD486" s="36"/>
      <c r="BE486" s="36"/>
      <c r="BF486" s="36"/>
      <c r="BG486" s="36"/>
      <c r="BH486" s="36"/>
      <c r="BI486" s="36"/>
      <c r="BJ486" s="36"/>
      <c r="BK486" s="36"/>
      <c r="BL486" s="36"/>
      <c r="BM486" s="36"/>
      <c r="BN486" s="36"/>
      <c r="BO486" s="36"/>
      <c r="BP486" s="36"/>
      <c r="BQ486" s="36"/>
    </row>
    <row r="487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51"/>
      <c r="S487" s="51"/>
      <c r="T487" s="51"/>
      <c r="U487" s="51"/>
      <c r="V487" s="51"/>
      <c r="W487" s="51"/>
      <c r="X487" s="51"/>
      <c r="Y487" s="45"/>
      <c r="Z487" s="45"/>
      <c r="AA487" s="45"/>
      <c r="AB487" s="45"/>
      <c r="AC487" s="45"/>
      <c r="AD487" s="45"/>
      <c r="AE487" s="45"/>
      <c r="AF487" s="45"/>
      <c r="AG487" s="45"/>
      <c r="AH487" s="45"/>
      <c r="AI487" s="45"/>
      <c r="AJ487" s="45"/>
      <c r="AK487" s="45"/>
      <c r="AL487" s="45"/>
      <c r="AM487" s="45"/>
      <c r="AN487" s="45"/>
      <c r="AO487" s="45"/>
      <c r="AP487" s="45"/>
      <c r="AQ487" s="36"/>
      <c r="AR487" s="36"/>
      <c r="AS487" s="36"/>
      <c r="AT487" s="36"/>
      <c r="AU487" s="36"/>
      <c r="AV487" s="36"/>
      <c r="AW487" s="36"/>
      <c r="AX487" s="36"/>
      <c r="AY487" s="36"/>
      <c r="AZ487" s="36"/>
      <c r="BA487" s="36"/>
      <c r="BB487" s="36"/>
      <c r="BC487" s="36"/>
      <c r="BD487" s="36"/>
      <c r="BE487" s="36"/>
      <c r="BF487" s="36"/>
      <c r="BG487" s="36"/>
      <c r="BH487" s="36"/>
      <c r="BI487" s="36"/>
      <c r="BJ487" s="36"/>
      <c r="BK487" s="36"/>
      <c r="BL487" s="36"/>
      <c r="BM487" s="36"/>
      <c r="BN487" s="36"/>
      <c r="BO487" s="36"/>
      <c r="BP487" s="36"/>
      <c r="BQ487" s="36"/>
    </row>
    <row r="488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51"/>
      <c r="S488" s="51"/>
      <c r="T488" s="51"/>
      <c r="U488" s="51"/>
      <c r="V488" s="51"/>
      <c r="W488" s="51"/>
      <c r="X488" s="51"/>
      <c r="Y488" s="45"/>
      <c r="Z488" s="45"/>
      <c r="AA488" s="45"/>
      <c r="AB488" s="45"/>
      <c r="AC488" s="45"/>
      <c r="AD488" s="45"/>
      <c r="AE488" s="45"/>
      <c r="AF488" s="45"/>
      <c r="AG488" s="45"/>
      <c r="AH488" s="45"/>
      <c r="AI488" s="45"/>
      <c r="AJ488" s="45"/>
      <c r="AK488" s="45"/>
      <c r="AL488" s="45"/>
      <c r="AM488" s="45"/>
      <c r="AN488" s="45"/>
      <c r="AO488" s="45"/>
      <c r="AP488" s="45"/>
      <c r="AQ488" s="36"/>
      <c r="AR488" s="36"/>
      <c r="AS488" s="36"/>
      <c r="AT488" s="36"/>
      <c r="AU488" s="36"/>
      <c r="AV488" s="36"/>
      <c r="AW488" s="36"/>
      <c r="AX488" s="36"/>
      <c r="AY488" s="36"/>
      <c r="AZ488" s="36"/>
      <c r="BA488" s="36"/>
      <c r="BB488" s="36"/>
      <c r="BC488" s="36"/>
      <c r="BD488" s="36"/>
      <c r="BE488" s="36"/>
      <c r="BF488" s="36"/>
      <c r="BG488" s="36"/>
      <c r="BH488" s="36"/>
      <c r="BI488" s="36"/>
      <c r="BJ488" s="36"/>
      <c r="BK488" s="36"/>
      <c r="BL488" s="36"/>
      <c r="BM488" s="36"/>
      <c r="BN488" s="36"/>
      <c r="BO488" s="36"/>
      <c r="BP488" s="36"/>
      <c r="BQ488" s="36"/>
    </row>
    <row r="489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51"/>
      <c r="S489" s="51"/>
      <c r="T489" s="51"/>
      <c r="U489" s="51"/>
      <c r="V489" s="51"/>
      <c r="W489" s="51"/>
      <c r="X489" s="51"/>
      <c r="Y489" s="45"/>
      <c r="Z489" s="45"/>
      <c r="AA489" s="45"/>
      <c r="AB489" s="45"/>
      <c r="AC489" s="45"/>
      <c r="AD489" s="45"/>
      <c r="AE489" s="45"/>
      <c r="AF489" s="45"/>
      <c r="AG489" s="45"/>
      <c r="AH489" s="45"/>
      <c r="AI489" s="45"/>
      <c r="AJ489" s="45"/>
      <c r="AK489" s="45"/>
      <c r="AL489" s="45"/>
      <c r="AM489" s="45"/>
      <c r="AN489" s="45"/>
      <c r="AO489" s="45"/>
      <c r="AP489" s="45"/>
      <c r="AQ489" s="36"/>
      <c r="AR489" s="36"/>
      <c r="AS489" s="36"/>
      <c r="AT489" s="36"/>
      <c r="AU489" s="36"/>
      <c r="AV489" s="36"/>
      <c r="AW489" s="36"/>
      <c r="AX489" s="36"/>
      <c r="AY489" s="36"/>
      <c r="AZ489" s="36"/>
      <c r="BA489" s="36"/>
      <c r="BB489" s="36"/>
      <c r="BC489" s="36"/>
      <c r="BD489" s="36"/>
      <c r="BE489" s="36"/>
      <c r="BF489" s="36"/>
      <c r="BG489" s="36"/>
      <c r="BH489" s="36"/>
      <c r="BI489" s="36"/>
      <c r="BJ489" s="36"/>
      <c r="BK489" s="36"/>
      <c r="BL489" s="36"/>
      <c r="BM489" s="36"/>
      <c r="BN489" s="36"/>
      <c r="BO489" s="36"/>
      <c r="BP489" s="36"/>
      <c r="BQ489" s="36"/>
    </row>
    <row r="490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51"/>
      <c r="S490" s="51"/>
      <c r="T490" s="51"/>
      <c r="U490" s="51"/>
      <c r="V490" s="51"/>
      <c r="W490" s="51"/>
      <c r="X490" s="51"/>
      <c r="Y490" s="45"/>
      <c r="Z490" s="45"/>
      <c r="AA490" s="45"/>
      <c r="AB490" s="45"/>
      <c r="AC490" s="45"/>
      <c r="AD490" s="45"/>
      <c r="AE490" s="45"/>
      <c r="AF490" s="45"/>
      <c r="AG490" s="45"/>
      <c r="AH490" s="45"/>
      <c r="AI490" s="45"/>
      <c r="AJ490" s="45"/>
      <c r="AK490" s="45"/>
      <c r="AL490" s="45"/>
      <c r="AM490" s="45"/>
      <c r="AN490" s="45"/>
      <c r="AO490" s="45"/>
      <c r="AP490" s="45"/>
      <c r="AQ490" s="36"/>
      <c r="AR490" s="36"/>
      <c r="AS490" s="36"/>
      <c r="AT490" s="36"/>
      <c r="AU490" s="36"/>
      <c r="AV490" s="36"/>
      <c r="AW490" s="36"/>
      <c r="AX490" s="36"/>
      <c r="AY490" s="36"/>
      <c r="AZ490" s="36"/>
      <c r="BA490" s="36"/>
      <c r="BB490" s="36"/>
      <c r="BC490" s="36"/>
      <c r="BD490" s="36"/>
      <c r="BE490" s="36"/>
      <c r="BF490" s="36"/>
      <c r="BG490" s="36"/>
      <c r="BH490" s="36"/>
      <c r="BI490" s="36"/>
      <c r="BJ490" s="36"/>
      <c r="BK490" s="36"/>
      <c r="BL490" s="36"/>
      <c r="BM490" s="36"/>
      <c r="BN490" s="36"/>
      <c r="BO490" s="36"/>
      <c r="BP490" s="36"/>
      <c r="BQ490" s="36"/>
    </row>
    <row r="49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51"/>
      <c r="S491" s="51"/>
      <c r="T491" s="51"/>
      <c r="U491" s="51"/>
      <c r="V491" s="51"/>
      <c r="W491" s="51"/>
      <c r="X491" s="51"/>
      <c r="Y491" s="45"/>
      <c r="Z491" s="45"/>
      <c r="AA491" s="45"/>
      <c r="AB491" s="45"/>
      <c r="AC491" s="45"/>
      <c r="AD491" s="45"/>
      <c r="AE491" s="45"/>
      <c r="AF491" s="45"/>
      <c r="AG491" s="45"/>
      <c r="AH491" s="45"/>
      <c r="AI491" s="45"/>
      <c r="AJ491" s="45"/>
      <c r="AK491" s="45"/>
      <c r="AL491" s="45"/>
      <c r="AM491" s="45"/>
      <c r="AN491" s="45"/>
      <c r="AO491" s="45"/>
      <c r="AP491" s="45"/>
      <c r="AQ491" s="36"/>
      <c r="AR491" s="36"/>
      <c r="AS491" s="36"/>
      <c r="AT491" s="36"/>
      <c r="AU491" s="36"/>
      <c r="AV491" s="36"/>
      <c r="AW491" s="36"/>
      <c r="AX491" s="36"/>
      <c r="AY491" s="36"/>
      <c r="AZ491" s="36"/>
      <c r="BA491" s="36"/>
      <c r="BB491" s="36"/>
      <c r="BC491" s="36"/>
      <c r="BD491" s="36"/>
      <c r="BE491" s="36"/>
      <c r="BF491" s="36"/>
      <c r="BG491" s="36"/>
      <c r="BH491" s="36"/>
      <c r="BI491" s="36"/>
      <c r="BJ491" s="36"/>
      <c r="BK491" s="36"/>
      <c r="BL491" s="36"/>
      <c r="BM491" s="36"/>
      <c r="BN491" s="36"/>
      <c r="BO491" s="36"/>
      <c r="BP491" s="36"/>
      <c r="BQ491" s="36"/>
    </row>
    <row r="49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51"/>
      <c r="S492" s="51"/>
      <c r="T492" s="51"/>
      <c r="U492" s="51"/>
      <c r="V492" s="51"/>
      <c r="W492" s="51"/>
      <c r="X492" s="51"/>
      <c r="Y492" s="45"/>
      <c r="Z492" s="45"/>
      <c r="AA492" s="45"/>
      <c r="AB492" s="45"/>
      <c r="AC492" s="45"/>
      <c r="AD492" s="45"/>
      <c r="AE492" s="45"/>
      <c r="AF492" s="45"/>
      <c r="AG492" s="45"/>
      <c r="AH492" s="45"/>
      <c r="AI492" s="45"/>
      <c r="AJ492" s="45"/>
      <c r="AK492" s="45"/>
      <c r="AL492" s="45"/>
      <c r="AM492" s="45"/>
      <c r="AN492" s="45"/>
      <c r="AO492" s="45"/>
      <c r="AP492" s="45"/>
      <c r="AQ492" s="36"/>
      <c r="AR492" s="36"/>
      <c r="AS492" s="36"/>
      <c r="AT492" s="36"/>
      <c r="AU492" s="36"/>
      <c r="AV492" s="36"/>
      <c r="AW492" s="36"/>
      <c r="AX492" s="36"/>
      <c r="AY492" s="36"/>
      <c r="AZ492" s="36"/>
      <c r="BA492" s="36"/>
      <c r="BB492" s="36"/>
      <c r="BC492" s="36"/>
      <c r="BD492" s="36"/>
      <c r="BE492" s="36"/>
      <c r="BF492" s="36"/>
      <c r="BG492" s="36"/>
      <c r="BH492" s="36"/>
      <c r="BI492" s="36"/>
      <c r="BJ492" s="36"/>
      <c r="BK492" s="36"/>
      <c r="BL492" s="36"/>
      <c r="BM492" s="36"/>
      <c r="BN492" s="36"/>
      <c r="BO492" s="36"/>
      <c r="BP492" s="36"/>
      <c r="BQ492" s="36"/>
    </row>
    <row r="493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51"/>
      <c r="S493" s="51"/>
      <c r="T493" s="51"/>
      <c r="U493" s="51"/>
      <c r="V493" s="51"/>
      <c r="W493" s="51"/>
      <c r="X493" s="51"/>
      <c r="Y493" s="45"/>
      <c r="Z493" s="45"/>
      <c r="AA493" s="45"/>
      <c r="AB493" s="45"/>
      <c r="AC493" s="45"/>
      <c r="AD493" s="45"/>
      <c r="AE493" s="45"/>
      <c r="AF493" s="45"/>
      <c r="AG493" s="45"/>
      <c r="AH493" s="45"/>
      <c r="AI493" s="45"/>
      <c r="AJ493" s="45"/>
      <c r="AK493" s="45"/>
      <c r="AL493" s="45"/>
      <c r="AM493" s="45"/>
      <c r="AN493" s="45"/>
      <c r="AO493" s="45"/>
      <c r="AP493" s="45"/>
      <c r="AQ493" s="36"/>
      <c r="AR493" s="36"/>
      <c r="AS493" s="36"/>
      <c r="AT493" s="36"/>
      <c r="AU493" s="36"/>
      <c r="AV493" s="36"/>
      <c r="AW493" s="36"/>
      <c r="AX493" s="36"/>
      <c r="AY493" s="36"/>
      <c r="AZ493" s="36"/>
      <c r="BA493" s="36"/>
      <c r="BB493" s="36"/>
      <c r="BC493" s="36"/>
      <c r="BD493" s="36"/>
      <c r="BE493" s="36"/>
      <c r="BF493" s="36"/>
      <c r="BG493" s="36"/>
      <c r="BH493" s="36"/>
      <c r="BI493" s="36"/>
      <c r="BJ493" s="36"/>
      <c r="BK493" s="36"/>
      <c r="BL493" s="36"/>
      <c r="BM493" s="36"/>
      <c r="BN493" s="36"/>
      <c r="BO493" s="36"/>
      <c r="BP493" s="36"/>
      <c r="BQ493" s="36"/>
    </row>
    <row r="494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51"/>
      <c r="S494" s="51"/>
      <c r="T494" s="51"/>
      <c r="U494" s="51"/>
      <c r="V494" s="51"/>
      <c r="W494" s="51"/>
      <c r="X494" s="51"/>
      <c r="Y494" s="45"/>
      <c r="Z494" s="45"/>
      <c r="AA494" s="45"/>
      <c r="AB494" s="45"/>
      <c r="AC494" s="45"/>
      <c r="AD494" s="45"/>
      <c r="AE494" s="45"/>
      <c r="AF494" s="45"/>
      <c r="AG494" s="45"/>
      <c r="AH494" s="45"/>
      <c r="AI494" s="45"/>
      <c r="AJ494" s="45"/>
      <c r="AK494" s="45"/>
      <c r="AL494" s="45"/>
      <c r="AM494" s="45"/>
      <c r="AN494" s="45"/>
      <c r="AO494" s="45"/>
      <c r="AP494" s="45"/>
      <c r="AQ494" s="36"/>
      <c r="AR494" s="36"/>
      <c r="AS494" s="36"/>
      <c r="AT494" s="36"/>
      <c r="AU494" s="36"/>
      <c r="AV494" s="36"/>
      <c r="AW494" s="36"/>
      <c r="AX494" s="36"/>
      <c r="AY494" s="36"/>
      <c r="AZ494" s="36"/>
      <c r="BA494" s="36"/>
      <c r="BB494" s="36"/>
      <c r="BC494" s="36"/>
      <c r="BD494" s="36"/>
      <c r="BE494" s="36"/>
      <c r="BF494" s="36"/>
      <c r="BG494" s="36"/>
      <c r="BH494" s="36"/>
      <c r="BI494" s="36"/>
      <c r="BJ494" s="36"/>
      <c r="BK494" s="36"/>
      <c r="BL494" s="36"/>
      <c r="BM494" s="36"/>
      <c r="BN494" s="36"/>
      <c r="BO494" s="36"/>
      <c r="BP494" s="36"/>
      <c r="BQ494" s="36"/>
    </row>
    <row r="49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51"/>
      <c r="S495" s="51"/>
      <c r="T495" s="51"/>
      <c r="U495" s="51"/>
      <c r="V495" s="51"/>
      <c r="W495" s="51"/>
      <c r="X495" s="51"/>
      <c r="Y495" s="45"/>
      <c r="Z495" s="45"/>
      <c r="AA495" s="45"/>
      <c r="AB495" s="45"/>
      <c r="AC495" s="45"/>
      <c r="AD495" s="45"/>
      <c r="AE495" s="45"/>
      <c r="AF495" s="45"/>
      <c r="AG495" s="45"/>
      <c r="AH495" s="45"/>
      <c r="AI495" s="45"/>
      <c r="AJ495" s="45"/>
      <c r="AK495" s="45"/>
      <c r="AL495" s="45"/>
      <c r="AM495" s="45"/>
      <c r="AN495" s="45"/>
      <c r="AO495" s="45"/>
      <c r="AP495" s="45"/>
      <c r="AQ495" s="36"/>
      <c r="AR495" s="36"/>
      <c r="AS495" s="36"/>
      <c r="AT495" s="36"/>
      <c r="AU495" s="36"/>
      <c r="AV495" s="36"/>
      <c r="AW495" s="36"/>
      <c r="AX495" s="36"/>
      <c r="AY495" s="36"/>
      <c r="AZ495" s="36"/>
      <c r="BA495" s="36"/>
      <c r="BB495" s="36"/>
      <c r="BC495" s="36"/>
      <c r="BD495" s="36"/>
      <c r="BE495" s="36"/>
      <c r="BF495" s="36"/>
      <c r="BG495" s="36"/>
      <c r="BH495" s="36"/>
      <c r="BI495" s="36"/>
      <c r="BJ495" s="36"/>
      <c r="BK495" s="36"/>
      <c r="BL495" s="36"/>
      <c r="BM495" s="36"/>
      <c r="BN495" s="36"/>
      <c r="BO495" s="36"/>
      <c r="BP495" s="36"/>
      <c r="BQ495" s="36"/>
    </row>
    <row r="496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51"/>
      <c r="S496" s="51"/>
      <c r="T496" s="51"/>
      <c r="U496" s="51"/>
      <c r="V496" s="51"/>
      <c r="W496" s="51"/>
      <c r="X496" s="51"/>
      <c r="Y496" s="45"/>
      <c r="Z496" s="45"/>
      <c r="AA496" s="45"/>
      <c r="AB496" s="45"/>
      <c r="AC496" s="45"/>
      <c r="AD496" s="45"/>
      <c r="AE496" s="45"/>
      <c r="AF496" s="45"/>
      <c r="AG496" s="45"/>
      <c r="AH496" s="45"/>
      <c r="AI496" s="45"/>
      <c r="AJ496" s="45"/>
      <c r="AK496" s="45"/>
      <c r="AL496" s="45"/>
      <c r="AM496" s="45"/>
      <c r="AN496" s="45"/>
      <c r="AO496" s="45"/>
      <c r="AP496" s="45"/>
      <c r="AQ496" s="36"/>
      <c r="AR496" s="36"/>
      <c r="AS496" s="36"/>
      <c r="AT496" s="36"/>
      <c r="AU496" s="36"/>
      <c r="AV496" s="36"/>
      <c r="AW496" s="36"/>
      <c r="AX496" s="36"/>
      <c r="AY496" s="36"/>
      <c r="AZ496" s="36"/>
      <c r="BA496" s="36"/>
      <c r="BB496" s="36"/>
      <c r="BC496" s="36"/>
      <c r="BD496" s="36"/>
      <c r="BE496" s="36"/>
      <c r="BF496" s="36"/>
      <c r="BG496" s="36"/>
      <c r="BH496" s="36"/>
      <c r="BI496" s="36"/>
      <c r="BJ496" s="36"/>
      <c r="BK496" s="36"/>
      <c r="BL496" s="36"/>
      <c r="BM496" s="36"/>
      <c r="BN496" s="36"/>
      <c r="BO496" s="36"/>
      <c r="BP496" s="36"/>
      <c r="BQ496" s="36"/>
    </row>
    <row r="497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51"/>
      <c r="S497" s="51"/>
      <c r="T497" s="51"/>
      <c r="U497" s="51"/>
      <c r="V497" s="51"/>
      <c r="W497" s="51"/>
      <c r="X497" s="51"/>
      <c r="Y497" s="45"/>
      <c r="Z497" s="45"/>
      <c r="AA497" s="45"/>
      <c r="AB497" s="45"/>
      <c r="AC497" s="45"/>
      <c r="AD497" s="45"/>
      <c r="AE497" s="45"/>
      <c r="AF497" s="45"/>
      <c r="AG497" s="45"/>
      <c r="AH497" s="45"/>
      <c r="AI497" s="45"/>
      <c r="AJ497" s="45"/>
      <c r="AK497" s="45"/>
      <c r="AL497" s="45"/>
      <c r="AM497" s="45"/>
      <c r="AN497" s="45"/>
      <c r="AO497" s="45"/>
      <c r="AP497" s="45"/>
      <c r="AQ497" s="36"/>
      <c r="AR497" s="36"/>
      <c r="AS497" s="36"/>
      <c r="AT497" s="36"/>
      <c r="AU497" s="36"/>
      <c r="AV497" s="36"/>
      <c r="AW497" s="36"/>
      <c r="AX497" s="36"/>
      <c r="AY497" s="36"/>
      <c r="AZ497" s="36"/>
      <c r="BA497" s="36"/>
      <c r="BB497" s="36"/>
      <c r="BC497" s="36"/>
      <c r="BD497" s="36"/>
      <c r="BE497" s="36"/>
      <c r="BF497" s="36"/>
      <c r="BG497" s="36"/>
      <c r="BH497" s="36"/>
      <c r="BI497" s="36"/>
      <c r="BJ497" s="36"/>
      <c r="BK497" s="36"/>
      <c r="BL497" s="36"/>
      <c r="BM497" s="36"/>
      <c r="BN497" s="36"/>
      <c r="BO497" s="36"/>
      <c r="BP497" s="36"/>
      <c r="BQ497" s="36"/>
    </row>
    <row r="498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51"/>
      <c r="S498" s="51"/>
      <c r="T498" s="51"/>
      <c r="U498" s="51"/>
      <c r="V498" s="51"/>
      <c r="W498" s="51"/>
      <c r="X498" s="51"/>
      <c r="Y498" s="45"/>
      <c r="Z498" s="45"/>
      <c r="AA498" s="45"/>
      <c r="AB498" s="45"/>
      <c r="AC498" s="45"/>
      <c r="AD498" s="45"/>
      <c r="AE498" s="45"/>
      <c r="AF498" s="45"/>
      <c r="AG498" s="45"/>
      <c r="AH498" s="45"/>
      <c r="AI498" s="45"/>
      <c r="AJ498" s="45"/>
      <c r="AK498" s="45"/>
      <c r="AL498" s="45"/>
      <c r="AM498" s="45"/>
      <c r="AN498" s="45"/>
      <c r="AO498" s="45"/>
      <c r="AP498" s="45"/>
      <c r="AQ498" s="36"/>
      <c r="AR498" s="36"/>
      <c r="AS498" s="36"/>
      <c r="AT498" s="36"/>
      <c r="AU498" s="36"/>
      <c r="AV498" s="36"/>
      <c r="AW498" s="36"/>
      <c r="AX498" s="36"/>
      <c r="AY498" s="36"/>
      <c r="AZ498" s="36"/>
      <c r="BA498" s="36"/>
      <c r="BB498" s="36"/>
      <c r="BC498" s="36"/>
      <c r="BD498" s="36"/>
      <c r="BE498" s="36"/>
      <c r="BF498" s="36"/>
      <c r="BG498" s="36"/>
      <c r="BH498" s="36"/>
      <c r="BI498" s="36"/>
      <c r="BJ498" s="36"/>
      <c r="BK498" s="36"/>
      <c r="BL498" s="36"/>
      <c r="BM498" s="36"/>
      <c r="BN498" s="36"/>
      <c r="BO498" s="36"/>
      <c r="BP498" s="36"/>
      <c r="BQ498" s="36"/>
    </row>
    <row r="499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51"/>
      <c r="S499" s="51"/>
      <c r="T499" s="51"/>
      <c r="U499" s="51"/>
      <c r="V499" s="51"/>
      <c r="W499" s="51"/>
      <c r="X499" s="51"/>
      <c r="Y499" s="45"/>
      <c r="Z499" s="45"/>
      <c r="AA499" s="45"/>
      <c r="AB499" s="45"/>
      <c r="AC499" s="45"/>
      <c r="AD499" s="45"/>
      <c r="AE499" s="45"/>
      <c r="AF499" s="45"/>
      <c r="AG499" s="45"/>
      <c r="AH499" s="45"/>
      <c r="AI499" s="45"/>
      <c r="AJ499" s="45"/>
      <c r="AK499" s="45"/>
      <c r="AL499" s="45"/>
      <c r="AM499" s="45"/>
      <c r="AN499" s="45"/>
      <c r="AO499" s="45"/>
      <c r="AP499" s="45"/>
      <c r="AQ499" s="36"/>
      <c r="AR499" s="36"/>
      <c r="AS499" s="36"/>
      <c r="AT499" s="36"/>
      <c r="AU499" s="36"/>
      <c r="AV499" s="36"/>
      <c r="AW499" s="36"/>
      <c r="AX499" s="36"/>
      <c r="AY499" s="36"/>
      <c r="AZ499" s="36"/>
      <c r="BA499" s="36"/>
      <c r="BB499" s="36"/>
      <c r="BC499" s="36"/>
      <c r="BD499" s="36"/>
      <c r="BE499" s="36"/>
      <c r="BF499" s="36"/>
      <c r="BG499" s="36"/>
      <c r="BH499" s="36"/>
      <c r="BI499" s="36"/>
      <c r="BJ499" s="36"/>
      <c r="BK499" s="36"/>
      <c r="BL499" s="36"/>
      <c r="BM499" s="36"/>
      <c r="BN499" s="36"/>
      <c r="BO499" s="36"/>
      <c r="BP499" s="36"/>
      <c r="BQ499" s="36"/>
    </row>
    <row r="500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51"/>
      <c r="S500" s="51"/>
      <c r="T500" s="51"/>
      <c r="U500" s="51"/>
      <c r="V500" s="51"/>
      <c r="W500" s="51"/>
      <c r="X500" s="51"/>
      <c r="Y500" s="45"/>
      <c r="Z500" s="45"/>
      <c r="AA500" s="45"/>
      <c r="AB500" s="45"/>
      <c r="AC500" s="45"/>
      <c r="AD500" s="45"/>
      <c r="AE500" s="45"/>
      <c r="AF500" s="45"/>
      <c r="AG500" s="45"/>
      <c r="AH500" s="45"/>
      <c r="AI500" s="45"/>
      <c r="AJ500" s="45"/>
      <c r="AK500" s="45"/>
      <c r="AL500" s="45"/>
      <c r="AM500" s="45"/>
      <c r="AN500" s="45"/>
      <c r="AO500" s="45"/>
      <c r="AP500" s="45"/>
      <c r="AQ500" s="36"/>
      <c r="AR500" s="36"/>
      <c r="AS500" s="36"/>
      <c r="AT500" s="36"/>
      <c r="AU500" s="36"/>
      <c r="AV500" s="36"/>
      <c r="AW500" s="36"/>
      <c r="AX500" s="36"/>
      <c r="AY500" s="36"/>
      <c r="AZ500" s="36"/>
      <c r="BA500" s="36"/>
      <c r="BB500" s="36"/>
      <c r="BC500" s="36"/>
      <c r="BD500" s="36"/>
      <c r="BE500" s="36"/>
      <c r="BF500" s="36"/>
      <c r="BG500" s="36"/>
      <c r="BH500" s="36"/>
      <c r="BI500" s="36"/>
      <c r="BJ500" s="36"/>
      <c r="BK500" s="36"/>
      <c r="BL500" s="36"/>
      <c r="BM500" s="36"/>
      <c r="BN500" s="36"/>
      <c r="BO500" s="36"/>
      <c r="BP500" s="36"/>
      <c r="BQ500" s="36"/>
    </row>
    <row r="50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51"/>
      <c r="S501" s="51"/>
      <c r="T501" s="51"/>
      <c r="U501" s="51"/>
      <c r="V501" s="51"/>
      <c r="W501" s="51"/>
      <c r="X501" s="51"/>
      <c r="Y501" s="45"/>
      <c r="Z501" s="45"/>
      <c r="AA501" s="45"/>
      <c r="AB501" s="45"/>
      <c r="AC501" s="45"/>
      <c r="AD501" s="45"/>
      <c r="AE501" s="45"/>
      <c r="AF501" s="45"/>
      <c r="AG501" s="45"/>
      <c r="AH501" s="45"/>
      <c r="AI501" s="45"/>
      <c r="AJ501" s="45"/>
      <c r="AK501" s="45"/>
      <c r="AL501" s="45"/>
      <c r="AM501" s="45"/>
      <c r="AN501" s="45"/>
      <c r="AO501" s="45"/>
      <c r="AP501" s="45"/>
      <c r="AQ501" s="36"/>
      <c r="AR501" s="36"/>
      <c r="AS501" s="36"/>
      <c r="AT501" s="36"/>
      <c r="AU501" s="36"/>
      <c r="AV501" s="36"/>
      <c r="AW501" s="36"/>
      <c r="AX501" s="36"/>
      <c r="AY501" s="36"/>
      <c r="AZ501" s="36"/>
      <c r="BA501" s="36"/>
      <c r="BB501" s="36"/>
      <c r="BC501" s="36"/>
      <c r="BD501" s="36"/>
      <c r="BE501" s="36"/>
      <c r="BF501" s="36"/>
      <c r="BG501" s="36"/>
      <c r="BH501" s="36"/>
      <c r="BI501" s="36"/>
      <c r="BJ501" s="36"/>
      <c r="BK501" s="36"/>
      <c r="BL501" s="36"/>
      <c r="BM501" s="36"/>
      <c r="BN501" s="36"/>
      <c r="BO501" s="36"/>
      <c r="BP501" s="36"/>
      <c r="BQ501" s="36"/>
    </row>
    <row r="502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51"/>
      <c r="S502" s="51"/>
      <c r="T502" s="51"/>
      <c r="U502" s="51"/>
      <c r="V502" s="51"/>
      <c r="W502" s="51"/>
      <c r="X502" s="51"/>
      <c r="Y502" s="45"/>
      <c r="Z502" s="45"/>
      <c r="AA502" s="45"/>
      <c r="AB502" s="45"/>
      <c r="AC502" s="45"/>
      <c r="AD502" s="45"/>
      <c r="AE502" s="45"/>
      <c r="AF502" s="45"/>
      <c r="AG502" s="45"/>
      <c r="AH502" s="45"/>
      <c r="AI502" s="45"/>
      <c r="AJ502" s="45"/>
      <c r="AK502" s="45"/>
      <c r="AL502" s="45"/>
      <c r="AM502" s="45"/>
      <c r="AN502" s="45"/>
      <c r="AO502" s="45"/>
      <c r="AP502" s="45"/>
      <c r="AQ502" s="36"/>
      <c r="AR502" s="36"/>
      <c r="AS502" s="36"/>
      <c r="AT502" s="36"/>
      <c r="AU502" s="36"/>
      <c r="AV502" s="36"/>
      <c r="AW502" s="36"/>
      <c r="AX502" s="36"/>
      <c r="AY502" s="36"/>
      <c r="AZ502" s="36"/>
      <c r="BA502" s="36"/>
      <c r="BB502" s="36"/>
      <c r="BC502" s="36"/>
      <c r="BD502" s="36"/>
      <c r="BE502" s="36"/>
      <c r="BF502" s="36"/>
      <c r="BG502" s="36"/>
      <c r="BH502" s="36"/>
      <c r="BI502" s="36"/>
      <c r="BJ502" s="36"/>
      <c r="BK502" s="36"/>
      <c r="BL502" s="36"/>
      <c r="BM502" s="36"/>
      <c r="BN502" s="36"/>
      <c r="BO502" s="36"/>
      <c r="BP502" s="36"/>
      <c r="BQ502" s="36"/>
    </row>
    <row r="503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51"/>
      <c r="S503" s="51"/>
      <c r="T503" s="51"/>
      <c r="U503" s="51"/>
      <c r="V503" s="51"/>
      <c r="W503" s="51"/>
      <c r="X503" s="51"/>
      <c r="Y503" s="45"/>
      <c r="Z503" s="45"/>
      <c r="AA503" s="45"/>
      <c r="AB503" s="45"/>
      <c r="AC503" s="45"/>
      <c r="AD503" s="45"/>
      <c r="AE503" s="45"/>
      <c r="AF503" s="45"/>
      <c r="AG503" s="45"/>
      <c r="AH503" s="45"/>
      <c r="AI503" s="45"/>
      <c r="AJ503" s="45"/>
      <c r="AK503" s="45"/>
      <c r="AL503" s="45"/>
      <c r="AM503" s="45"/>
      <c r="AN503" s="45"/>
      <c r="AO503" s="45"/>
      <c r="AP503" s="45"/>
      <c r="AQ503" s="36"/>
      <c r="AR503" s="36"/>
      <c r="AS503" s="36"/>
      <c r="AT503" s="36"/>
      <c r="AU503" s="36"/>
      <c r="AV503" s="36"/>
      <c r="AW503" s="36"/>
      <c r="AX503" s="36"/>
      <c r="AY503" s="36"/>
      <c r="AZ503" s="36"/>
      <c r="BA503" s="36"/>
      <c r="BB503" s="36"/>
      <c r="BC503" s="36"/>
      <c r="BD503" s="36"/>
      <c r="BE503" s="36"/>
      <c r="BF503" s="36"/>
      <c r="BG503" s="36"/>
      <c r="BH503" s="36"/>
      <c r="BI503" s="36"/>
      <c r="BJ503" s="36"/>
      <c r="BK503" s="36"/>
      <c r="BL503" s="36"/>
      <c r="BM503" s="36"/>
      <c r="BN503" s="36"/>
      <c r="BO503" s="36"/>
      <c r="BP503" s="36"/>
      <c r="BQ503" s="36"/>
    </row>
    <row r="504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51"/>
      <c r="S504" s="51"/>
      <c r="T504" s="51"/>
      <c r="U504" s="51"/>
      <c r="V504" s="51"/>
      <c r="W504" s="51"/>
      <c r="X504" s="51"/>
      <c r="Y504" s="45"/>
      <c r="Z504" s="45"/>
      <c r="AA504" s="45"/>
      <c r="AB504" s="45"/>
      <c r="AC504" s="45"/>
      <c r="AD504" s="45"/>
      <c r="AE504" s="45"/>
      <c r="AF504" s="45"/>
      <c r="AG504" s="45"/>
      <c r="AH504" s="45"/>
      <c r="AI504" s="45"/>
      <c r="AJ504" s="45"/>
      <c r="AK504" s="45"/>
      <c r="AL504" s="45"/>
      <c r="AM504" s="45"/>
      <c r="AN504" s="45"/>
      <c r="AO504" s="45"/>
      <c r="AP504" s="45"/>
      <c r="AQ504" s="36"/>
      <c r="AR504" s="36"/>
      <c r="AS504" s="36"/>
      <c r="AT504" s="36"/>
      <c r="AU504" s="36"/>
      <c r="AV504" s="36"/>
      <c r="AW504" s="36"/>
      <c r="AX504" s="36"/>
      <c r="AY504" s="36"/>
      <c r="AZ504" s="36"/>
      <c r="BA504" s="36"/>
      <c r="BB504" s="36"/>
      <c r="BC504" s="36"/>
      <c r="BD504" s="36"/>
      <c r="BE504" s="36"/>
      <c r="BF504" s="36"/>
      <c r="BG504" s="36"/>
      <c r="BH504" s="36"/>
      <c r="BI504" s="36"/>
      <c r="BJ504" s="36"/>
      <c r="BK504" s="36"/>
      <c r="BL504" s="36"/>
      <c r="BM504" s="36"/>
      <c r="BN504" s="36"/>
      <c r="BO504" s="36"/>
      <c r="BP504" s="36"/>
      <c r="BQ504" s="36"/>
    </row>
    <row r="50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51"/>
      <c r="S505" s="51"/>
      <c r="T505" s="51"/>
      <c r="U505" s="51"/>
      <c r="V505" s="51"/>
      <c r="W505" s="51"/>
      <c r="X505" s="51"/>
      <c r="Y505" s="45"/>
      <c r="Z505" s="45"/>
      <c r="AA505" s="45"/>
      <c r="AB505" s="45"/>
      <c r="AC505" s="45"/>
      <c r="AD505" s="45"/>
      <c r="AE505" s="45"/>
      <c r="AF505" s="45"/>
      <c r="AG505" s="45"/>
      <c r="AH505" s="45"/>
      <c r="AI505" s="45"/>
      <c r="AJ505" s="45"/>
      <c r="AK505" s="45"/>
      <c r="AL505" s="45"/>
      <c r="AM505" s="45"/>
      <c r="AN505" s="45"/>
      <c r="AO505" s="45"/>
      <c r="AP505" s="45"/>
      <c r="AQ505" s="36"/>
      <c r="AR505" s="36"/>
      <c r="AS505" s="36"/>
      <c r="AT505" s="36"/>
      <c r="AU505" s="36"/>
      <c r="AV505" s="36"/>
      <c r="AW505" s="36"/>
      <c r="AX505" s="36"/>
      <c r="AY505" s="36"/>
      <c r="AZ505" s="36"/>
      <c r="BA505" s="36"/>
      <c r="BB505" s="36"/>
      <c r="BC505" s="36"/>
      <c r="BD505" s="36"/>
      <c r="BE505" s="36"/>
      <c r="BF505" s="36"/>
      <c r="BG505" s="36"/>
      <c r="BH505" s="36"/>
      <c r="BI505" s="36"/>
      <c r="BJ505" s="36"/>
      <c r="BK505" s="36"/>
      <c r="BL505" s="36"/>
      <c r="BM505" s="36"/>
      <c r="BN505" s="36"/>
      <c r="BO505" s="36"/>
      <c r="BP505" s="36"/>
      <c r="BQ505" s="36"/>
    </row>
    <row r="506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51"/>
      <c r="S506" s="51"/>
      <c r="T506" s="51"/>
      <c r="U506" s="51"/>
      <c r="V506" s="51"/>
      <c r="W506" s="51"/>
      <c r="X506" s="51"/>
      <c r="Y506" s="45"/>
      <c r="Z506" s="45"/>
      <c r="AA506" s="45"/>
      <c r="AB506" s="45"/>
      <c r="AC506" s="45"/>
      <c r="AD506" s="45"/>
      <c r="AE506" s="45"/>
      <c r="AF506" s="45"/>
      <c r="AG506" s="45"/>
      <c r="AH506" s="45"/>
      <c r="AI506" s="45"/>
      <c r="AJ506" s="45"/>
      <c r="AK506" s="45"/>
      <c r="AL506" s="45"/>
      <c r="AM506" s="45"/>
      <c r="AN506" s="45"/>
      <c r="AO506" s="45"/>
      <c r="AP506" s="45"/>
      <c r="AQ506" s="36"/>
      <c r="AR506" s="36"/>
      <c r="AS506" s="36"/>
      <c r="AT506" s="36"/>
      <c r="AU506" s="36"/>
      <c r="AV506" s="36"/>
      <c r="AW506" s="36"/>
      <c r="AX506" s="36"/>
      <c r="AY506" s="36"/>
      <c r="AZ506" s="36"/>
      <c r="BA506" s="36"/>
      <c r="BB506" s="36"/>
      <c r="BC506" s="36"/>
      <c r="BD506" s="36"/>
      <c r="BE506" s="36"/>
      <c r="BF506" s="36"/>
      <c r="BG506" s="36"/>
      <c r="BH506" s="36"/>
      <c r="BI506" s="36"/>
      <c r="BJ506" s="36"/>
      <c r="BK506" s="36"/>
      <c r="BL506" s="36"/>
      <c r="BM506" s="36"/>
      <c r="BN506" s="36"/>
      <c r="BO506" s="36"/>
      <c r="BP506" s="36"/>
      <c r="BQ506" s="36"/>
    </row>
    <row r="507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51"/>
      <c r="S507" s="51"/>
      <c r="T507" s="51"/>
      <c r="U507" s="51"/>
      <c r="V507" s="51"/>
      <c r="W507" s="51"/>
      <c r="X507" s="51"/>
      <c r="Y507" s="45"/>
      <c r="Z507" s="45"/>
      <c r="AA507" s="45"/>
      <c r="AB507" s="45"/>
      <c r="AC507" s="45"/>
      <c r="AD507" s="45"/>
      <c r="AE507" s="45"/>
      <c r="AF507" s="45"/>
      <c r="AG507" s="45"/>
      <c r="AH507" s="45"/>
      <c r="AI507" s="45"/>
      <c r="AJ507" s="45"/>
      <c r="AK507" s="45"/>
      <c r="AL507" s="45"/>
      <c r="AM507" s="45"/>
      <c r="AN507" s="45"/>
      <c r="AO507" s="45"/>
      <c r="AP507" s="45"/>
      <c r="AQ507" s="36"/>
      <c r="AR507" s="36"/>
      <c r="AS507" s="36"/>
      <c r="AT507" s="36"/>
      <c r="AU507" s="36"/>
      <c r="AV507" s="36"/>
      <c r="AW507" s="36"/>
      <c r="AX507" s="36"/>
      <c r="AY507" s="36"/>
      <c r="AZ507" s="36"/>
      <c r="BA507" s="36"/>
      <c r="BB507" s="36"/>
      <c r="BC507" s="36"/>
      <c r="BD507" s="36"/>
      <c r="BE507" s="36"/>
      <c r="BF507" s="36"/>
      <c r="BG507" s="36"/>
      <c r="BH507" s="36"/>
      <c r="BI507" s="36"/>
      <c r="BJ507" s="36"/>
      <c r="BK507" s="36"/>
      <c r="BL507" s="36"/>
      <c r="BM507" s="36"/>
      <c r="BN507" s="36"/>
      <c r="BO507" s="36"/>
      <c r="BP507" s="36"/>
      <c r="BQ507" s="36"/>
    </row>
    <row r="508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51"/>
      <c r="S508" s="51"/>
      <c r="T508" s="51"/>
      <c r="U508" s="51"/>
      <c r="V508" s="51"/>
      <c r="W508" s="51"/>
      <c r="X508" s="51"/>
      <c r="Y508" s="45"/>
      <c r="Z508" s="45"/>
      <c r="AA508" s="45"/>
      <c r="AB508" s="45"/>
      <c r="AC508" s="45"/>
      <c r="AD508" s="45"/>
      <c r="AE508" s="45"/>
      <c r="AF508" s="45"/>
      <c r="AG508" s="45"/>
      <c r="AH508" s="45"/>
      <c r="AI508" s="45"/>
      <c r="AJ508" s="45"/>
      <c r="AK508" s="45"/>
      <c r="AL508" s="45"/>
      <c r="AM508" s="45"/>
      <c r="AN508" s="45"/>
      <c r="AO508" s="45"/>
      <c r="AP508" s="45"/>
      <c r="AQ508" s="36"/>
      <c r="AR508" s="36"/>
      <c r="AS508" s="36"/>
      <c r="AT508" s="36"/>
      <c r="AU508" s="36"/>
      <c r="AV508" s="36"/>
      <c r="AW508" s="36"/>
      <c r="AX508" s="36"/>
      <c r="AY508" s="36"/>
      <c r="AZ508" s="36"/>
      <c r="BA508" s="36"/>
      <c r="BB508" s="36"/>
      <c r="BC508" s="36"/>
      <c r="BD508" s="36"/>
      <c r="BE508" s="36"/>
      <c r="BF508" s="36"/>
      <c r="BG508" s="36"/>
      <c r="BH508" s="36"/>
      <c r="BI508" s="36"/>
      <c r="BJ508" s="36"/>
      <c r="BK508" s="36"/>
      <c r="BL508" s="36"/>
      <c r="BM508" s="36"/>
      <c r="BN508" s="36"/>
      <c r="BO508" s="36"/>
      <c r="BP508" s="36"/>
      <c r="BQ508" s="36"/>
    </row>
    <row r="509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51"/>
      <c r="S509" s="51"/>
      <c r="T509" s="51"/>
      <c r="U509" s="51"/>
      <c r="V509" s="51"/>
      <c r="W509" s="51"/>
      <c r="X509" s="51"/>
      <c r="Y509" s="45"/>
      <c r="Z509" s="45"/>
      <c r="AA509" s="45"/>
      <c r="AB509" s="45"/>
      <c r="AC509" s="45"/>
      <c r="AD509" s="45"/>
      <c r="AE509" s="45"/>
      <c r="AF509" s="45"/>
      <c r="AG509" s="45"/>
      <c r="AH509" s="45"/>
      <c r="AI509" s="45"/>
      <c r="AJ509" s="45"/>
      <c r="AK509" s="45"/>
      <c r="AL509" s="45"/>
      <c r="AM509" s="45"/>
      <c r="AN509" s="45"/>
      <c r="AO509" s="45"/>
      <c r="AP509" s="45"/>
      <c r="AQ509" s="36"/>
      <c r="AR509" s="36"/>
      <c r="AS509" s="36"/>
      <c r="AT509" s="36"/>
      <c r="AU509" s="36"/>
      <c r="AV509" s="36"/>
      <c r="AW509" s="36"/>
      <c r="AX509" s="36"/>
      <c r="AY509" s="36"/>
      <c r="AZ509" s="36"/>
      <c r="BA509" s="36"/>
      <c r="BB509" s="36"/>
      <c r="BC509" s="36"/>
      <c r="BD509" s="36"/>
      <c r="BE509" s="36"/>
      <c r="BF509" s="36"/>
      <c r="BG509" s="36"/>
      <c r="BH509" s="36"/>
      <c r="BI509" s="36"/>
      <c r="BJ509" s="36"/>
      <c r="BK509" s="36"/>
      <c r="BL509" s="36"/>
      <c r="BM509" s="36"/>
      <c r="BN509" s="36"/>
      <c r="BO509" s="36"/>
      <c r="BP509" s="36"/>
      <c r="BQ509" s="36"/>
    </row>
    <row r="510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51"/>
      <c r="S510" s="51"/>
      <c r="T510" s="51"/>
      <c r="U510" s="51"/>
      <c r="V510" s="51"/>
      <c r="W510" s="51"/>
      <c r="X510" s="51"/>
      <c r="Y510" s="45"/>
      <c r="Z510" s="45"/>
      <c r="AA510" s="45"/>
      <c r="AB510" s="45"/>
      <c r="AC510" s="45"/>
      <c r="AD510" s="45"/>
      <c r="AE510" s="45"/>
      <c r="AF510" s="45"/>
      <c r="AG510" s="45"/>
      <c r="AH510" s="45"/>
      <c r="AI510" s="45"/>
      <c r="AJ510" s="45"/>
      <c r="AK510" s="45"/>
      <c r="AL510" s="45"/>
      <c r="AM510" s="45"/>
      <c r="AN510" s="45"/>
      <c r="AO510" s="45"/>
      <c r="AP510" s="45"/>
      <c r="AQ510" s="36"/>
      <c r="AR510" s="36"/>
      <c r="AS510" s="36"/>
      <c r="AT510" s="36"/>
      <c r="AU510" s="36"/>
      <c r="AV510" s="36"/>
      <c r="AW510" s="36"/>
      <c r="AX510" s="36"/>
      <c r="AY510" s="36"/>
      <c r="AZ510" s="36"/>
      <c r="BA510" s="36"/>
      <c r="BB510" s="36"/>
      <c r="BC510" s="36"/>
      <c r="BD510" s="36"/>
      <c r="BE510" s="36"/>
      <c r="BF510" s="36"/>
      <c r="BG510" s="36"/>
      <c r="BH510" s="36"/>
      <c r="BI510" s="36"/>
      <c r="BJ510" s="36"/>
      <c r="BK510" s="36"/>
      <c r="BL510" s="36"/>
      <c r="BM510" s="36"/>
      <c r="BN510" s="36"/>
      <c r="BO510" s="36"/>
      <c r="BP510" s="36"/>
      <c r="BQ510" s="36"/>
    </row>
    <row r="51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51"/>
      <c r="S511" s="51"/>
      <c r="T511" s="51"/>
      <c r="U511" s="51"/>
      <c r="V511" s="51"/>
      <c r="W511" s="51"/>
      <c r="X511" s="51"/>
      <c r="Y511" s="45"/>
      <c r="Z511" s="45"/>
      <c r="AA511" s="45"/>
      <c r="AB511" s="45"/>
      <c r="AC511" s="45"/>
      <c r="AD511" s="45"/>
      <c r="AE511" s="45"/>
      <c r="AF511" s="45"/>
      <c r="AG511" s="45"/>
      <c r="AH511" s="45"/>
      <c r="AI511" s="45"/>
      <c r="AJ511" s="45"/>
      <c r="AK511" s="45"/>
      <c r="AL511" s="45"/>
      <c r="AM511" s="45"/>
      <c r="AN511" s="45"/>
      <c r="AO511" s="45"/>
      <c r="AP511" s="45"/>
      <c r="AQ511" s="36"/>
      <c r="AR511" s="36"/>
      <c r="AS511" s="36"/>
      <c r="AT511" s="36"/>
      <c r="AU511" s="36"/>
      <c r="AV511" s="36"/>
      <c r="AW511" s="36"/>
      <c r="AX511" s="36"/>
      <c r="AY511" s="36"/>
      <c r="AZ511" s="36"/>
      <c r="BA511" s="36"/>
      <c r="BB511" s="36"/>
      <c r="BC511" s="36"/>
      <c r="BD511" s="36"/>
      <c r="BE511" s="36"/>
      <c r="BF511" s="36"/>
      <c r="BG511" s="36"/>
      <c r="BH511" s="36"/>
      <c r="BI511" s="36"/>
      <c r="BJ511" s="36"/>
      <c r="BK511" s="36"/>
      <c r="BL511" s="36"/>
      <c r="BM511" s="36"/>
      <c r="BN511" s="36"/>
      <c r="BO511" s="36"/>
      <c r="BP511" s="36"/>
      <c r="BQ511" s="36"/>
    </row>
    <row r="512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51"/>
      <c r="S512" s="51"/>
      <c r="T512" s="51"/>
      <c r="U512" s="51"/>
      <c r="V512" s="51"/>
      <c r="W512" s="51"/>
      <c r="X512" s="51"/>
      <c r="Y512" s="45"/>
      <c r="Z512" s="45"/>
      <c r="AA512" s="45"/>
      <c r="AB512" s="45"/>
      <c r="AC512" s="45"/>
      <c r="AD512" s="45"/>
      <c r="AE512" s="45"/>
      <c r="AF512" s="45"/>
      <c r="AG512" s="45"/>
      <c r="AH512" s="45"/>
      <c r="AI512" s="45"/>
      <c r="AJ512" s="45"/>
      <c r="AK512" s="45"/>
      <c r="AL512" s="45"/>
      <c r="AM512" s="45"/>
      <c r="AN512" s="45"/>
      <c r="AO512" s="45"/>
      <c r="AP512" s="45"/>
      <c r="AQ512" s="36"/>
      <c r="AR512" s="36"/>
      <c r="AS512" s="36"/>
      <c r="AT512" s="36"/>
      <c r="AU512" s="36"/>
      <c r="AV512" s="36"/>
      <c r="AW512" s="36"/>
      <c r="AX512" s="36"/>
      <c r="AY512" s="36"/>
      <c r="AZ512" s="36"/>
      <c r="BA512" s="36"/>
      <c r="BB512" s="36"/>
      <c r="BC512" s="36"/>
      <c r="BD512" s="36"/>
      <c r="BE512" s="36"/>
      <c r="BF512" s="36"/>
      <c r="BG512" s="36"/>
      <c r="BH512" s="36"/>
      <c r="BI512" s="36"/>
      <c r="BJ512" s="36"/>
      <c r="BK512" s="36"/>
      <c r="BL512" s="36"/>
      <c r="BM512" s="36"/>
      <c r="BN512" s="36"/>
      <c r="BO512" s="36"/>
      <c r="BP512" s="36"/>
      <c r="BQ512" s="36"/>
    </row>
    <row r="513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51"/>
      <c r="S513" s="51"/>
      <c r="T513" s="51"/>
      <c r="U513" s="51"/>
      <c r="V513" s="51"/>
      <c r="W513" s="51"/>
      <c r="X513" s="51"/>
      <c r="Y513" s="45"/>
      <c r="Z513" s="45"/>
      <c r="AA513" s="45"/>
      <c r="AB513" s="45"/>
      <c r="AC513" s="45"/>
      <c r="AD513" s="45"/>
      <c r="AE513" s="45"/>
      <c r="AF513" s="45"/>
      <c r="AG513" s="45"/>
      <c r="AH513" s="45"/>
      <c r="AI513" s="45"/>
      <c r="AJ513" s="45"/>
      <c r="AK513" s="45"/>
      <c r="AL513" s="45"/>
      <c r="AM513" s="45"/>
      <c r="AN513" s="45"/>
      <c r="AO513" s="45"/>
      <c r="AP513" s="45"/>
      <c r="AQ513" s="36"/>
      <c r="AR513" s="36"/>
      <c r="AS513" s="36"/>
      <c r="AT513" s="36"/>
      <c r="AU513" s="36"/>
      <c r="AV513" s="36"/>
      <c r="AW513" s="36"/>
      <c r="AX513" s="36"/>
      <c r="AY513" s="36"/>
      <c r="AZ513" s="36"/>
      <c r="BA513" s="36"/>
      <c r="BB513" s="36"/>
      <c r="BC513" s="36"/>
      <c r="BD513" s="36"/>
      <c r="BE513" s="36"/>
      <c r="BF513" s="36"/>
      <c r="BG513" s="36"/>
      <c r="BH513" s="36"/>
      <c r="BI513" s="36"/>
      <c r="BJ513" s="36"/>
      <c r="BK513" s="36"/>
      <c r="BL513" s="36"/>
      <c r="BM513" s="36"/>
      <c r="BN513" s="36"/>
      <c r="BO513" s="36"/>
      <c r="BP513" s="36"/>
      <c r="BQ513" s="36"/>
    </row>
    <row r="514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51"/>
      <c r="S514" s="51"/>
      <c r="T514" s="51"/>
      <c r="U514" s="51"/>
      <c r="V514" s="51"/>
      <c r="W514" s="51"/>
      <c r="X514" s="51"/>
      <c r="Y514" s="45"/>
      <c r="Z514" s="45"/>
      <c r="AA514" s="45"/>
      <c r="AB514" s="45"/>
      <c r="AC514" s="45"/>
      <c r="AD514" s="45"/>
      <c r="AE514" s="45"/>
      <c r="AF514" s="45"/>
      <c r="AG514" s="45"/>
      <c r="AH514" s="45"/>
      <c r="AI514" s="45"/>
      <c r="AJ514" s="45"/>
      <c r="AK514" s="45"/>
      <c r="AL514" s="45"/>
      <c r="AM514" s="45"/>
      <c r="AN514" s="45"/>
      <c r="AO514" s="45"/>
      <c r="AP514" s="45"/>
      <c r="AQ514" s="36"/>
      <c r="AR514" s="36"/>
      <c r="AS514" s="36"/>
      <c r="AT514" s="36"/>
      <c r="AU514" s="36"/>
      <c r="AV514" s="36"/>
      <c r="AW514" s="36"/>
      <c r="AX514" s="36"/>
      <c r="AY514" s="36"/>
      <c r="AZ514" s="36"/>
      <c r="BA514" s="36"/>
      <c r="BB514" s="36"/>
      <c r="BC514" s="36"/>
      <c r="BD514" s="36"/>
      <c r="BE514" s="36"/>
      <c r="BF514" s="36"/>
      <c r="BG514" s="36"/>
      <c r="BH514" s="36"/>
      <c r="BI514" s="36"/>
      <c r="BJ514" s="36"/>
      <c r="BK514" s="36"/>
      <c r="BL514" s="36"/>
      <c r="BM514" s="36"/>
      <c r="BN514" s="36"/>
      <c r="BO514" s="36"/>
      <c r="BP514" s="36"/>
      <c r="BQ514" s="36"/>
    </row>
    <row r="51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51"/>
      <c r="S515" s="51"/>
      <c r="T515" s="51"/>
      <c r="U515" s="51"/>
      <c r="V515" s="51"/>
      <c r="W515" s="51"/>
      <c r="X515" s="51"/>
      <c r="Y515" s="45"/>
      <c r="Z515" s="45"/>
      <c r="AA515" s="45"/>
      <c r="AB515" s="45"/>
      <c r="AC515" s="45"/>
      <c r="AD515" s="45"/>
      <c r="AE515" s="45"/>
      <c r="AF515" s="45"/>
      <c r="AG515" s="45"/>
      <c r="AH515" s="45"/>
      <c r="AI515" s="45"/>
      <c r="AJ515" s="45"/>
      <c r="AK515" s="45"/>
      <c r="AL515" s="45"/>
      <c r="AM515" s="45"/>
      <c r="AN515" s="45"/>
      <c r="AO515" s="45"/>
      <c r="AP515" s="45"/>
      <c r="AQ515" s="36"/>
      <c r="AR515" s="36"/>
      <c r="AS515" s="36"/>
      <c r="AT515" s="36"/>
      <c r="AU515" s="36"/>
      <c r="AV515" s="36"/>
      <c r="AW515" s="36"/>
      <c r="AX515" s="36"/>
      <c r="AY515" s="36"/>
      <c r="AZ515" s="36"/>
      <c r="BA515" s="36"/>
      <c r="BB515" s="36"/>
      <c r="BC515" s="36"/>
      <c r="BD515" s="36"/>
      <c r="BE515" s="36"/>
      <c r="BF515" s="36"/>
      <c r="BG515" s="36"/>
      <c r="BH515" s="36"/>
      <c r="BI515" s="36"/>
      <c r="BJ515" s="36"/>
      <c r="BK515" s="36"/>
      <c r="BL515" s="36"/>
      <c r="BM515" s="36"/>
      <c r="BN515" s="36"/>
      <c r="BO515" s="36"/>
      <c r="BP515" s="36"/>
      <c r="BQ515" s="36"/>
    </row>
    <row r="516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51"/>
      <c r="S516" s="51"/>
      <c r="T516" s="51"/>
      <c r="U516" s="51"/>
      <c r="V516" s="51"/>
      <c r="W516" s="51"/>
      <c r="X516" s="51"/>
      <c r="Y516" s="45"/>
      <c r="Z516" s="45"/>
      <c r="AA516" s="45"/>
      <c r="AB516" s="45"/>
      <c r="AC516" s="45"/>
      <c r="AD516" s="45"/>
      <c r="AE516" s="45"/>
      <c r="AF516" s="45"/>
      <c r="AG516" s="45"/>
      <c r="AH516" s="45"/>
      <c r="AI516" s="45"/>
      <c r="AJ516" s="45"/>
      <c r="AK516" s="45"/>
      <c r="AL516" s="45"/>
      <c r="AM516" s="45"/>
      <c r="AN516" s="45"/>
      <c r="AO516" s="45"/>
      <c r="AP516" s="45"/>
      <c r="AQ516" s="36"/>
      <c r="AR516" s="36"/>
      <c r="AS516" s="36"/>
      <c r="AT516" s="36"/>
      <c r="AU516" s="36"/>
      <c r="AV516" s="36"/>
      <c r="AW516" s="36"/>
      <c r="AX516" s="36"/>
      <c r="AY516" s="36"/>
      <c r="AZ516" s="36"/>
      <c r="BA516" s="36"/>
      <c r="BB516" s="36"/>
      <c r="BC516" s="36"/>
      <c r="BD516" s="36"/>
      <c r="BE516" s="36"/>
      <c r="BF516" s="36"/>
      <c r="BG516" s="36"/>
      <c r="BH516" s="36"/>
      <c r="BI516" s="36"/>
      <c r="BJ516" s="36"/>
      <c r="BK516" s="36"/>
      <c r="BL516" s="36"/>
      <c r="BM516" s="36"/>
      <c r="BN516" s="36"/>
      <c r="BO516" s="36"/>
      <c r="BP516" s="36"/>
      <c r="BQ516" s="36"/>
    </row>
    <row r="517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51"/>
      <c r="S517" s="51"/>
      <c r="T517" s="51"/>
      <c r="U517" s="51"/>
      <c r="V517" s="51"/>
      <c r="W517" s="51"/>
      <c r="X517" s="51"/>
      <c r="Y517" s="45"/>
      <c r="Z517" s="45"/>
      <c r="AA517" s="45"/>
      <c r="AB517" s="45"/>
      <c r="AC517" s="45"/>
      <c r="AD517" s="45"/>
      <c r="AE517" s="45"/>
      <c r="AF517" s="45"/>
      <c r="AG517" s="45"/>
      <c r="AH517" s="45"/>
      <c r="AI517" s="45"/>
      <c r="AJ517" s="45"/>
      <c r="AK517" s="45"/>
      <c r="AL517" s="45"/>
      <c r="AM517" s="45"/>
      <c r="AN517" s="45"/>
      <c r="AO517" s="45"/>
      <c r="AP517" s="45"/>
      <c r="AQ517" s="36"/>
      <c r="AR517" s="36"/>
      <c r="AS517" s="36"/>
      <c r="AT517" s="36"/>
      <c r="AU517" s="36"/>
      <c r="AV517" s="36"/>
      <c r="AW517" s="36"/>
      <c r="AX517" s="36"/>
      <c r="AY517" s="36"/>
      <c r="AZ517" s="36"/>
      <c r="BA517" s="36"/>
      <c r="BB517" s="36"/>
      <c r="BC517" s="36"/>
      <c r="BD517" s="36"/>
      <c r="BE517" s="36"/>
      <c r="BF517" s="36"/>
      <c r="BG517" s="36"/>
      <c r="BH517" s="36"/>
      <c r="BI517" s="36"/>
      <c r="BJ517" s="36"/>
      <c r="BK517" s="36"/>
      <c r="BL517" s="36"/>
      <c r="BM517" s="36"/>
      <c r="BN517" s="36"/>
      <c r="BO517" s="36"/>
      <c r="BP517" s="36"/>
      <c r="BQ517" s="36"/>
    </row>
    <row r="518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51"/>
      <c r="S518" s="51"/>
      <c r="T518" s="51"/>
      <c r="U518" s="51"/>
      <c r="V518" s="51"/>
      <c r="W518" s="51"/>
      <c r="X518" s="51"/>
      <c r="Y518" s="45"/>
      <c r="Z518" s="45"/>
      <c r="AA518" s="45"/>
      <c r="AB518" s="45"/>
      <c r="AC518" s="45"/>
      <c r="AD518" s="45"/>
      <c r="AE518" s="45"/>
      <c r="AF518" s="45"/>
      <c r="AG518" s="45"/>
      <c r="AH518" s="45"/>
      <c r="AI518" s="45"/>
      <c r="AJ518" s="45"/>
      <c r="AK518" s="45"/>
      <c r="AL518" s="45"/>
      <c r="AM518" s="45"/>
      <c r="AN518" s="45"/>
      <c r="AO518" s="45"/>
      <c r="AP518" s="45"/>
      <c r="AQ518" s="36"/>
      <c r="AR518" s="36"/>
      <c r="AS518" s="36"/>
      <c r="AT518" s="36"/>
      <c r="AU518" s="36"/>
      <c r="AV518" s="36"/>
      <c r="AW518" s="36"/>
      <c r="AX518" s="36"/>
      <c r="AY518" s="36"/>
      <c r="AZ518" s="36"/>
      <c r="BA518" s="36"/>
      <c r="BB518" s="36"/>
      <c r="BC518" s="36"/>
      <c r="BD518" s="36"/>
      <c r="BE518" s="36"/>
      <c r="BF518" s="36"/>
      <c r="BG518" s="36"/>
      <c r="BH518" s="36"/>
      <c r="BI518" s="36"/>
      <c r="BJ518" s="36"/>
      <c r="BK518" s="36"/>
      <c r="BL518" s="36"/>
      <c r="BM518" s="36"/>
      <c r="BN518" s="36"/>
      <c r="BO518" s="36"/>
      <c r="BP518" s="36"/>
      <c r="BQ518" s="36"/>
    </row>
    <row r="519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51"/>
      <c r="S519" s="51"/>
      <c r="T519" s="51"/>
      <c r="U519" s="51"/>
      <c r="V519" s="51"/>
      <c r="W519" s="51"/>
      <c r="X519" s="51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5"/>
      <c r="AM519" s="45"/>
      <c r="AN519" s="45"/>
      <c r="AO519" s="45"/>
      <c r="AP519" s="45"/>
      <c r="AQ519" s="36"/>
      <c r="AR519" s="36"/>
      <c r="AS519" s="36"/>
      <c r="AT519" s="36"/>
      <c r="AU519" s="36"/>
      <c r="AV519" s="36"/>
      <c r="AW519" s="36"/>
      <c r="AX519" s="36"/>
      <c r="AY519" s="36"/>
      <c r="AZ519" s="36"/>
      <c r="BA519" s="36"/>
      <c r="BB519" s="36"/>
      <c r="BC519" s="36"/>
      <c r="BD519" s="36"/>
      <c r="BE519" s="36"/>
      <c r="BF519" s="36"/>
      <c r="BG519" s="36"/>
      <c r="BH519" s="36"/>
      <c r="BI519" s="36"/>
      <c r="BJ519" s="36"/>
      <c r="BK519" s="36"/>
      <c r="BL519" s="36"/>
      <c r="BM519" s="36"/>
      <c r="BN519" s="36"/>
      <c r="BO519" s="36"/>
      <c r="BP519" s="36"/>
      <c r="BQ519" s="36"/>
    </row>
    <row r="520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51"/>
      <c r="S520" s="51"/>
      <c r="T520" s="51"/>
      <c r="U520" s="51"/>
      <c r="V520" s="51"/>
      <c r="W520" s="51"/>
      <c r="X520" s="51"/>
      <c r="Y520" s="45"/>
      <c r="Z520" s="45"/>
      <c r="AA520" s="45"/>
      <c r="AB520" s="45"/>
      <c r="AC520" s="45"/>
      <c r="AD520" s="45"/>
      <c r="AE520" s="45"/>
      <c r="AF520" s="45"/>
      <c r="AG520" s="45"/>
      <c r="AH520" s="45"/>
      <c r="AI520" s="45"/>
      <c r="AJ520" s="45"/>
      <c r="AK520" s="45"/>
      <c r="AL520" s="45"/>
      <c r="AM520" s="45"/>
      <c r="AN520" s="45"/>
      <c r="AO520" s="45"/>
      <c r="AP520" s="45"/>
      <c r="AQ520" s="36"/>
      <c r="AR520" s="36"/>
      <c r="AS520" s="36"/>
      <c r="AT520" s="36"/>
      <c r="AU520" s="36"/>
      <c r="AV520" s="36"/>
      <c r="AW520" s="36"/>
      <c r="AX520" s="36"/>
      <c r="AY520" s="36"/>
      <c r="AZ520" s="36"/>
      <c r="BA520" s="36"/>
      <c r="BB520" s="36"/>
      <c r="BC520" s="36"/>
      <c r="BD520" s="36"/>
      <c r="BE520" s="36"/>
      <c r="BF520" s="36"/>
      <c r="BG520" s="36"/>
      <c r="BH520" s="36"/>
      <c r="BI520" s="36"/>
      <c r="BJ520" s="36"/>
      <c r="BK520" s="36"/>
      <c r="BL520" s="36"/>
      <c r="BM520" s="36"/>
      <c r="BN520" s="36"/>
      <c r="BO520" s="36"/>
      <c r="BP520" s="36"/>
      <c r="BQ520" s="36"/>
    </row>
    <row r="52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51"/>
      <c r="S521" s="51"/>
      <c r="T521" s="51"/>
      <c r="U521" s="51"/>
      <c r="V521" s="51"/>
      <c r="W521" s="51"/>
      <c r="X521" s="51"/>
      <c r="Y521" s="45"/>
      <c r="Z521" s="45"/>
      <c r="AA521" s="45"/>
      <c r="AB521" s="45"/>
      <c r="AC521" s="45"/>
      <c r="AD521" s="45"/>
      <c r="AE521" s="45"/>
      <c r="AF521" s="45"/>
      <c r="AG521" s="45"/>
      <c r="AH521" s="45"/>
      <c r="AI521" s="45"/>
      <c r="AJ521" s="45"/>
      <c r="AK521" s="45"/>
      <c r="AL521" s="45"/>
      <c r="AM521" s="45"/>
      <c r="AN521" s="45"/>
      <c r="AO521" s="45"/>
      <c r="AP521" s="45"/>
      <c r="AQ521" s="36"/>
      <c r="AR521" s="36"/>
      <c r="AS521" s="36"/>
      <c r="AT521" s="36"/>
      <c r="AU521" s="36"/>
      <c r="AV521" s="36"/>
      <c r="AW521" s="36"/>
      <c r="AX521" s="36"/>
      <c r="AY521" s="36"/>
      <c r="AZ521" s="36"/>
      <c r="BA521" s="36"/>
      <c r="BB521" s="36"/>
      <c r="BC521" s="36"/>
      <c r="BD521" s="36"/>
      <c r="BE521" s="36"/>
      <c r="BF521" s="36"/>
      <c r="BG521" s="36"/>
      <c r="BH521" s="36"/>
      <c r="BI521" s="36"/>
      <c r="BJ521" s="36"/>
      <c r="BK521" s="36"/>
      <c r="BL521" s="36"/>
      <c r="BM521" s="36"/>
      <c r="BN521" s="36"/>
      <c r="BO521" s="36"/>
      <c r="BP521" s="36"/>
      <c r="BQ521" s="36"/>
    </row>
    <row r="52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51"/>
      <c r="S522" s="51"/>
      <c r="T522" s="51"/>
      <c r="U522" s="51"/>
      <c r="V522" s="51"/>
      <c r="W522" s="51"/>
      <c r="X522" s="51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5"/>
      <c r="AM522" s="45"/>
      <c r="AN522" s="45"/>
      <c r="AO522" s="45"/>
      <c r="AP522" s="45"/>
      <c r="AQ522" s="36"/>
      <c r="AR522" s="36"/>
      <c r="AS522" s="36"/>
      <c r="AT522" s="36"/>
      <c r="AU522" s="36"/>
      <c r="AV522" s="36"/>
      <c r="AW522" s="36"/>
      <c r="AX522" s="36"/>
      <c r="AY522" s="36"/>
      <c r="AZ522" s="36"/>
      <c r="BA522" s="36"/>
      <c r="BB522" s="36"/>
      <c r="BC522" s="36"/>
      <c r="BD522" s="36"/>
      <c r="BE522" s="36"/>
      <c r="BF522" s="36"/>
      <c r="BG522" s="36"/>
      <c r="BH522" s="36"/>
      <c r="BI522" s="36"/>
      <c r="BJ522" s="36"/>
      <c r="BK522" s="36"/>
      <c r="BL522" s="36"/>
      <c r="BM522" s="36"/>
      <c r="BN522" s="36"/>
      <c r="BO522" s="36"/>
      <c r="BP522" s="36"/>
      <c r="BQ522" s="36"/>
    </row>
    <row r="523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51"/>
      <c r="S523" s="51"/>
      <c r="T523" s="51"/>
      <c r="U523" s="51"/>
      <c r="V523" s="51"/>
      <c r="W523" s="51"/>
      <c r="X523" s="51"/>
      <c r="Y523" s="45"/>
      <c r="Z523" s="45"/>
      <c r="AA523" s="45"/>
      <c r="AB523" s="45"/>
      <c r="AC523" s="45"/>
      <c r="AD523" s="45"/>
      <c r="AE523" s="45"/>
      <c r="AF523" s="45"/>
      <c r="AG523" s="45"/>
      <c r="AH523" s="45"/>
      <c r="AI523" s="45"/>
      <c r="AJ523" s="45"/>
      <c r="AK523" s="45"/>
      <c r="AL523" s="45"/>
      <c r="AM523" s="45"/>
      <c r="AN523" s="45"/>
      <c r="AO523" s="45"/>
      <c r="AP523" s="45"/>
      <c r="AQ523" s="36"/>
      <c r="AR523" s="36"/>
      <c r="AS523" s="36"/>
      <c r="AT523" s="36"/>
      <c r="AU523" s="36"/>
      <c r="AV523" s="36"/>
      <c r="AW523" s="36"/>
      <c r="AX523" s="36"/>
      <c r="AY523" s="36"/>
      <c r="AZ523" s="36"/>
      <c r="BA523" s="36"/>
      <c r="BB523" s="36"/>
      <c r="BC523" s="36"/>
      <c r="BD523" s="36"/>
      <c r="BE523" s="36"/>
      <c r="BF523" s="36"/>
      <c r="BG523" s="36"/>
      <c r="BH523" s="36"/>
      <c r="BI523" s="36"/>
      <c r="BJ523" s="36"/>
      <c r="BK523" s="36"/>
      <c r="BL523" s="36"/>
      <c r="BM523" s="36"/>
      <c r="BN523" s="36"/>
      <c r="BO523" s="36"/>
      <c r="BP523" s="36"/>
      <c r="BQ523" s="36"/>
    </row>
    <row r="524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51"/>
      <c r="S524" s="51"/>
      <c r="T524" s="51"/>
      <c r="U524" s="51"/>
      <c r="V524" s="51"/>
      <c r="W524" s="51"/>
      <c r="X524" s="51"/>
      <c r="Y524" s="45"/>
      <c r="Z524" s="45"/>
      <c r="AA524" s="45"/>
      <c r="AB524" s="45"/>
      <c r="AC524" s="45"/>
      <c r="AD524" s="45"/>
      <c r="AE524" s="45"/>
      <c r="AF524" s="45"/>
      <c r="AG524" s="45"/>
      <c r="AH524" s="45"/>
      <c r="AI524" s="45"/>
      <c r="AJ524" s="45"/>
      <c r="AK524" s="45"/>
      <c r="AL524" s="45"/>
      <c r="AM524" s="45"/>
      <c r="AN524" s="45"/>
      <c r="AO524" s="45"/>
      <c r="AP524" s="45"/>
      <c r="AQ524" s="36"/>
      <c r="AR524" s="36"/>
      <c r="AS524" s="36"/>
      <c r="AT524" s="36"/>
      <c r="AU524" s="36"/>
      <c r="AV524" s="36"/>
      <c r="AW524" s="36"/>
      <c r="AX524" s="36"/>
      <c r="AY524" s="36"/>
      <c r="AZ524" s="36"/>
      <c r="BA524" s="36"/>
      <c r="BB524" s="36"/>
      <c r="BC524" s="36"/>
      <c r="BD524" s="36"/>
      <c r="BE524" s="36"/>
      <c r="BF524" s="36"/>
      <c r="BG524" s="36"/>
      <c r="BH524" s="36"/>
      <c r="BI524" s="36"/>
      <c r="BJ524" s="36"/>
      <c r="BK524" s="36"/>
      <c r="BL524" s="36"/>
      <c r="BM524" s="36"/>
      <c r="BN524" s="36"/>
      <c r="BO524" s="36"/>
      <c r="BP524" s="36"/>
      <c r="BQ524" s="36"/>
    </row>
    <row r="5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51"/>
      <c r="S525" s="51"/>
      <c r="T525" s="51"/>
      <c r="U525" s="51"/>
      <c r="V525" s="51"/>
      <c r="W525" s="51"/>
      <c r="X525" s="51"/>
      <c r="Y525" s="45"/>
      <c r="Z525" s="45"/>
      <c r="AA525" s="45"/>
      <c r="AB525" s="45"/>
      <c r="AC525" s="45"/>
      <c r="AD525" s="45"/>
      <c r="AE525" s="45"/>
      <c r="AF525" s="45"/>
      <c r="AG525" s="45"/>
      <c r="AH525" s="45"/>
      <c r="AI525" s="45"/>
      <c r="AJ525" s="45"/>
      <c r="AK525" s="45"/>
      <c r="AL525" s="45"/>
      <c r="AM525" s="45"/>
      <c r="AN525" s="45"/>
      <c r="AO525" s="45"/>
      <c r="AP525" s="45"/>
      <c r="AQ525" s="36"/>
      <c r="AR525" s="36"/>
      <c r="AS525" s="36"/>
      <c r="AT525" s="36"/>
      <c r="AU525" s="36"/>
      <c r="AV525" s="36"/>
      <c r="AW525" s="36"/>
      <c r="AX525" s="36"/>
      <c r="AY525" s="36"/>
      <c r="AZ525" s="36"/>
      <c r="BA525" s="36"/>
      <c r="BB525" s="36"/>
      <c r="BC525" s="36"/>
      <c r="BD525" s="36"/>
      <c r="BE525" s="36"/>
      <c r="BF525" s="36"/>
      <c r="BG525" s="36"/>
      <c r="BH525" s="36"/>
      <c r="BI525" s="36"/>
      <c r="BJ525" s="36"/>
      <c r="BK525" s="36"/>
      <c r="BL525" s="36"/>
      <c r="BM525" s="36"/>
      <c r="BN525" s="36"/>
      <c r="BO525" s="36"/>
      <c r="BP525" s="36"/>
      <c r="BQ525" s="36"/>
    </row>
    <row r="526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51"/>
      <c r="S526" s="51"/>
      <c r="T526" s="51"/>
      <c r="U526" s="51"/>
      <c r="V526" s="51"/>
      <c r="W526" s="51"/>
      <c r="X526" s="51"/>
      <c r="Y526" s="45"/>
      <c r="Z526" s="45"/>
      <c r="AA526" s="45"/>
      <c r="AB526" s="45"/>
      <c r="AC526" s="45"/>
      <c r="AD526" s="45"/>
      <c r="AE526" s="45"/>
      <c r="AF526" s="45"/>
      <c r="AG526" s="45"/>
      <c r="AH526" s="45"/>
      <c r="AI526" s="45"/>
      <c r="AJ526" s="45"/>
      <c r="AK526" s="45"/>
      <c r="AL526" s="45"/>
      <c r="AM526" s="45"/>
      <c r="AN526" s="45"/>
      <c r="AO526" s="45"/>
      <c r="AP526" s="45"/>
      <c r="AQ526" s="36"/>
      <c r="AR526" s="36"/>
      <c r="AS526" s="36"/>
      <c r="AT526" s="36"/>
      <c r="AU526" s="36"/>
      <c r="AV526" s="36"/>
      <c r="AW526" s="36"/>
      <c r="AX526" s="36"/>
      <c r="AY526" s="36"/>
      <c r="AZ526" s="36"/>
      <c r="BA526" s="36"/>
      <c r="BB526" s="36"/>
      <c r="BC526" s="36"/>
      <c r="BD526" s="36"/>
      <c r="BE526" s="36"/>
      <c r="BF526" s="36"/>
      <c r="BG526" s="36"/>
      <c r="BH526" s="36"/>
      <c r="BI526" s="36"/>
      <c r="BJ526" s="36"/>
      <c r="BK526" s="36"/>
      <c r="BL526" s="36"/>
      <c r="BM526" s="36"/>
      <c r="BN526" s="36"/>
      <c r="BO526" s="36"/>
      <c r="BP526" s="36"/>
      <c r="BQ526" s="36"/>
    </row>
    <row r="527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51"/>
      <c r="S527" s="51"/>
      <c r="T527" s="51"/>
      <c r="U527" s="51"/>
      <c r="V527" s="51"/>
      <c r="W527" s="51"/>
      <c r="X527" s="51"/>
      <c r="Y527" s="45"/>
      <c r="Z527" s="45"/>
      <c r="AA527" s="45"/>
      <c r="AB527" s="45"/>
      <c r="AC527" s="45"/>
      <c r="AD527" s="45"/>
      <c r="AE527" s="45"/>
      <c r="AF527" s="45"/>
      <c r="AG527" s="45"/>
      <c r="AH527" s="45"/>
      <c r="AI527" s="45"/>
      <c r="AJ527" s="45"/>
      <c r="AK527" s="45"/>
      <c r="AL527" s="45"/>
      <c r="AM527" s="45"/>
      <c r="AN527" s="45"/>
      <c r="AO527" s="45"/>
      <c r="AP527" s="45"/>
      <c r="AQ527" s="36"/>
      <c r="AR527" s="36"/>
      <c r="AS527" s="36"/>
      <c r="AT527" s="36"/>
      <c r="AU527" s="36"/>
      <c r="AV527" s="36"/>
      <c r="AW527" s="36"/>
      <c r="AX527" s="36"/>
      <c r="AY527" s="36"/>
      <c r="AZ527" s="36"/>
      <c r="BA527" s="36"/>
      <c r="BB527" s="36"/>
      <c r="BC527" s="36"/>
      <c r="BD527" s="36"/>
      <c r="BE527" s="36"/>
      <c r="BF527" s="36"/>
      <c r="BG527" s="36"/>
      <c r="BH527" s="36"/>
      <c r="BI527" s="36"/>
      <c r="BJ527" s="36"/>
      <c r="BK527" s="36"/>
      <c r="BL527" s="36"/>
      <c r="BM527" s="36"/>
      <c r="BN527" s="36"/>
      <c r="BO527" s="36"/>
      <c r="BP527" s="36"/>
      <c r="BQ527" s="36"/>
    </row>
    <row r="528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51"/>
      <c r="S528" s="51"/>
      <c r="T528" s="51"/>
      <c r="U528" s="51"/>
      <c r="V528" s="51"/>
      <c r="W528" s="51"/>
      <c r="X528" s="51"/>
      <c r="Y528" s="45"/>
      <c r="Z528" s="45"/>
      <c r="AA528" s="45"/>
      <c r="AB528" s="45"/>
      <c r="AC528" s="45"/>
      <c r="AD528" s="45"/>
      <c r="AE528" s="45"/>
      <c r="AF528" s="45"/>
      <c r="AG528" s="45"/>
      <c r="AH528" s="45"/>
      <c r="AI528" s="45"/>
      <c r="AJ528" s="45"/>
      <c r="AK528" s="45"/>
      <c r="AL528" s="45"/>
      <c r="AM528" s="45"/>
      <c r="AN528" s="45"/>
      <c r="AO528" s="45"/>
      <c r="AP528" s="45"/>
      <c r="AQ528" s="36"/>
      <c r="AR528" s="36"/>
      <c r="AS528" s="36"/>
      <c r="AT528" s="36"/>
      <c r="AU528" s="36"/>
      <c r="AV528" s="36"/>
      <c r="AW528" s="36"/>
      <c r="AX528" s="36"/>
      <c r="AY528" s="36"/>
      <c r="AZ528" s="36"/>
      <c r="BA528" s="36"/>
      <c r="BB528" s="36"/>
      <c r="BC528" s="36"/>
      <c r="BD528" s="36"/>
      <c r="BE528" s="36"/>
      <c r="BF528" s="36"/>
      <c r="BG528" s="36"/>
      <c r="BH528" s="36"/>
      <c r="BI528" s="36"/>
      <c r="BJ528" s="36"/>
      <c r="BK528" s="36"/>
      <c r="BL528" s="36"/>
      <c r="BM528" s="36"/>
      <c r="BN528" s="36"/>
      <c r="BO528" s="36"/>
      <c r="BP528" s="36"/>
      <c r="BQ528" s="36"/>
    </row>
    <row r="529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51"/>
      <c r="S529" s="51"/>
      <c r="T529" s="51"/>
      <c r="U529" s="51"/>
      <c r="V529" s="51"/>
      <c r="W529" s="51"/>
      <c r="X529" s="51"/>
      <c r="Y529" s="45"/>
      <c r="Z529" s="45"/>
      <c r="AA529" s="45"/>
      <c r="AB529" s="45"/>
      <c r="AC529" s="45"/>
      <c r="AD529" s="45"/>
      <c r="AE529" s="45"/>
      <c r="AF529" s="45"/>
      <c r="AG529" s="45"/>
      <c r="AH529" s="45"/>
      <c r="AI529" s="45"/>
      <c r="AJ529" s="45"/>
      <c r="AK529" s="45"/>
      <c r="AL529" s="45"/>
      <c r="AM529" s="45"/>
      <c r="AN529" s="45"/>
      <c r="AO529" s="45"/>
      <c r="AP529" s="45"/>
      <c r="AQ529" s="36"/>
      <c r="AR529" s="36"/>
      <c r="AS529" s="36"/>
      <c r="AT529" s="36"/>
      <c r="AU529" s="36"/>
      <c r="AV529" s="36"/>
      <c r="AW529" s="36"/>
      <c r="AX529" s="36"/>
      <c r="AY529" s="36"/>
      <c r="AZ529" s="36"/>
      <c r="BA529" s="36"/>
      <c r="BB529" s="36"/>
      <c r="BC529" s="36"/>
      <c r="BD529" s="36"/>
      <c r="BE529" s="36"/>
      <c r="BF529" s="36"/>
      <c r="BG529" s="36"/>
      <c r="BH529" s="36"/>
      <c r="BI529" s="36"/>
      <c r="BJ529" s="36"/>
      <c r="BK529" s="36"/>
      <c r="BL529" s="36"/>
      <c r="BM529" s="36"/>
      <c r="BN529" s="36"/>
      <c r="BO529" s="36"/>
      <c r="BP529" s="36"/>
      <c r="BQ529" s="36"/>
    </row>
    <row r="530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51"/>
      <c r="S530" s="51"/>
      <c r="T530" s="51"/>
      <c r="U530" s="51"/>
      <c r="V530" s="51"/>
      <c r="W530" s="51"/>
      <c r="X530" s="51"/>
      <c r="Y530" s="45"/>
      <c r="Z530" s="45"/>
      <c r="AA530" s="45"/>
      <c r="AB530" s="45"/>
      <c r="AC530" s="45"/>
      <c r="AD530" s="45"/>
      <c r="AE530" s="45"/>
      <c r="AF530" s="45"/>
      <c r="AG530" s="45"/>
      <c r="AH530" s="45"/>
      <c r="AI530" s="45"/>
      <c r="AJ530" s="45"/>
      <c r="AK530" s="45"/>
      <c r="AL530" s="45"/>
      <c r="AM530" s="45"/>
      <c r="AN530" s="45"/>
      <c r="AO530" s="45"/>
      <c r="AP530" s="45"/>
      <c r="AQ530" s="36"/>
      <c r="AR530" s="36"/>
      <c r="AS530" s="36"/>
      <c r="AT530" s="36"/>
      <c r="AU530" s="36"/>
      <c r="AV530" s="36"/>
      <c r="AW530" s="36"/>
      <c r="AX530" s="36"/>
      <c r="AY530" s="36"/>
      <c r="AZ530" s="36"/>
      <c r="BA530" s="36"/>
      <c r="BB530" s="36"/>
      <c r="BC530" s="36"/>
      <c r="BD530" s="36"/>
      <c r="BE530" s="36"/>
      <c r="BF530" s="36"/>
      <c r="BG530" s="36"/>
      <c r="BH530" s="36"/>
      <c r="BI530" s="36"/>
      <c r="BJ530" s="36"/>
      <c r="BK530" s="36"/>
      <c r="BL530" s="36"/>
      <c r="BM530" s="36"/>
      <c r="BN530" s="36"/>
      <c r="BO530" s="36"/>
      <c r="BP530" s="36"/>
      <c r="BQ530" s="36"/>
    </row>
    <row r="53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51"/>
      <c r="S531" s="51"/>
      <c r="T531" s="51"/>
      <c r="U531" s="51"/>
      <c r="V531" s="51"/>
      <c r="W531" s="51"/>
      <c r="X531" s="51"/>
      <c r="Y531" s="45"/>
      <c r="Z531" s="45"/>
      <c r="AA531" s="45"/>
      <c r="AB531" s="45"/>
      <c r="AC531" s="45"/>
      <c r="AD531" s="45"/>
      <c r="AE531" s="45"/>
      <c r="AF531" s="45"/>
      <c r="AG531" s="45"/>
      <c r="AH531" s="45"/>
      <c r="AI531" s="45"/>
      <c r="AJ531" s="45"/>
      <c r="AK531" s="45"/>
      <c r="AL531" s="45"/>
      <c r="AM531" s="45"/>
      <c r="AN531" s="45"/>
      <c r="AO531" s="45"/>
      <c r="AP531" s="45"/>
      <c r="AQ531" s="36"/>
      <c r="AR531" s="36"/>
      <c r="AS531" s="36"/>
      <c r="AT531" s="36"/>
      <c r="AU531" s="36"/>
      <c r="AV531" s="36"/>
      <c r="AW531" s="36"/>
      <c r="AX531" s="36"/>
      <c r="AY531" s="36"/>
      <c r="AZ531" s="36"/>
      <c r="BA531" s="36"/>
      <c r="BB531" s="36"/>
      <c r="BC531" s="36"/>
      <c r="BD531" s="36"/>
      <c r="BE531" s="36"/>
      <c r="BF531" s="36"/>
      <c r="BG531" s="36"/>
      <c r="BH531" s="36"/>
      <c r="BI531" s="36"/>
      <c r="BJ531" s="36"/>
      <c r="BK531" s="36"/>
      <c r="BL531" s="36"/>
      <c r="BM531" s="36"/>
      <c r="BN531" s="36"/>
      <c r="BO531" s="36"/>
      <c r="BP531" s="36"/>
      <c r="BQ531" s="36"/>
    </row>
    <row r="53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51"/>
      <c r="S532" s="51"/>
      <c r="T532" s="51"/>
      <c r="U532" s="51"/>
      <c r="V532" s="51"/>
      <c r="W532" s="51"/>
      <c r="X532" s="51"/>
      <c r="Y532" s="45"/>
      <c r="Z532" s="45"/>
      <c r="AA532" s="45"/>
      <c r="AB532" s="45"/>
      <c r="AC532" s="45"/>
      <c r="AD532" s="45"/>
      <c r="AE532" s="45"/>
      <c r="AF532" s="45"/>
      <c r="AG532" s="45"/>
      <c r="AH532" s="45"/>
      <c r="AI532" s="45"/>
      <c r="AJ532" s="45"/>
      <c r="AK532" s="45"/>
      <c r="AL532" s="45"/>
      <c r="AM532" s="45"/>
      <c r="AN532" s="45"/>
      <c r="AO532" s="45"/>
      <c r="AP532" s="45"/>
      <c r="AQ532" s="36"/>
      <c r="AR532" s="36"/>
      <c r="AS532" s="36"/>
      <c r="AT532" s="36"/>
      <c r="AU532" s="36"/>
      <c r="AV532" s="36"/>
      <c r="AW532" s="36"/>
      <c r="AX532" s="36"/>
      <c r="AY532" s="36"/>
      <c r="AZ532" s="36"/>
      <c r="BA532" s="36"/>
      <c r="BB532" s="36"/>
      <c r="BC532" s="36"/>
      <c r="BD532" s="36"/>
      <c r="BE532" s="36"/>
      <c r="BF532" s="36"/>
      <c r="BG532" s="36"/>
      <c r="BH532" s="36"/>
      <c r="BI532" s="36"/>
      <c r="BJ532" s="36"/>
      <c r="BK532" s="36"/>
      <c r="BL532" s="36"/>
      <c r="BM532" s="36"/>
      <c r="BN532" s="36"/>
      <c r="BO532" s="36"/>
      <c r="BP532" s="36"/>
      <c r="BQ532" s="36"/>
    </row>
    <row r="533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51"/>
      <c r="S533" s="51"/>
      <c r="T533" s="51"/>
      <c r="U533" s="51"/>
      <c r="V533" s="51"/>
      <c r="W533" s="51"/>
      <c r="X533" s="51"/>
      <c r="Y533" s="45"/>
      <c r="Z533" s="45"/>
      <c r="AA533" s="45"/>
      <c r="AB533" s="45"/>
      <c r="AC533" s="45"/>
      <c r="AD533" s="45"/>
      <c r="AE533" s="45"/>
      <c r="AF533" s="45"/>
      <c r="AG533" s="45"/>
      <c r="AH533" s="45"/>
      <c r="AI533" s="45"/>
      <c r="AJ533" s="45"/>
      <c r="AK533" s="45"/>
      <c r="AL533" s="45"/>
      <c r="AM533" s="45"/>
      <c r="AN533" s="45"/>
      <c r="AO533" s="45"/>
      <c r="AP533" s="45"/>
      <c r="AQ533" s="36"/>
      <c r="AR533" s="36"/>
      <c r="AS533" s="36"/>
      <c r="AT533" s="36"/>
      <c r="AU533" s="36"/>
      <c r="AV533" s="36"/>
      <c r="AW533" s="36"/>
      <c r="AX533" s="36"/>
      <c r="AY533" s="36"/>
      <c r="AZ533" s="36"/>
      <c r="BA533" s="36"/>
      <c r="BB533" s="36"/>
      <c r="BC533" s="36"/>
      <c r="BD533" s="36"/>
      <c r="BE533" s="36"/>
      <c r="BF533" s="36"/>
      <c r="BG533" s="36"/>
      <c r="BH533" s="36"/>
      <c r="BI533" s="36"/>
      <c r="BJ533" s="36"/>
      <c r="BK533" s="36"/>
      <c r="BL533" s="36"/>
      <c r="BM533" s="36"/>
      <c r="BN533" s="36"/>
      <c r="BO533" s="36"/>
      <c r="BP533" s="36"/>
      <c r="BQ533" s="36"/>
    </row>
    <row r="534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51"/>
      <c r="S534" s="51"/>
      <c r="T534" s="51"/>
      <c r="U534" s="51"/>
      <c r="V534" s="51"/>
      <c r="W534" s="51"/>
      <c r="X534" s="51"/>
      <c r="Y534" s="45"/>
      <c r="Z534" s="45"/>
      <c r="AA534" s="45"/>
      <c r="AB534" s="45"/>
      <c r="AC534" s="45"/>
      <c r="AD534" s="45"/>
      <c r="AE534" s="45"/>
      <c r="AF534" s="45"/>
      <c r="AG534" s="45"/>
      <c r="AH534" s="45"/>
      <c r="AI534" s="45"/>
      <c r="AJ534" s="45"/>
      <c r="AK534" s="45"/>
      <c r="AL534" s="45"/>
      <c r="AM534" s="45"/>
      <c r="AN534" s="45"/>
      <c r="AO534" s="45"/>
      <c r="AP534" s="45"/>
      <c r="AQ534" s="36"/>
      <c r="AR534" s="36"/>
      <c r="AS534" s="36"/>
      <c r="AT534" s="36"/>
      <c r="AU534" s="36"/>
      <c r="AV534" s="36"/>
      <c r="AW534" s="36"/>
      <c r="AX534" s="36"/>
      <c r="AY534" s="36"/>
      <c r="AZ534" s="36"/>
      <c r="BA534" s="36"/>
      <c r="BB534" s="36"/>
      <c r="BC534" s="36"/>
      <c r="BD534" s="36"/>
      <c r="BE534" s="36"/>
      <c r="BF534" s="36"/>
      <c r="BG534" s="36"/>
      <c r="BH534" s="36"/>
      <c r="BI534" s="36"/>
      <c r="BJ534" s="36"/>
      <c r="BK534" s="36"/>
      <c r="BL534" s="36"/>
      <c r="BM534" s="36"/>
      <c r="BN534" s="36"/>
      <c r="BO534" s="36"/>
      <c r="BP534" s="36"/>
      <c r="BQ534" s="36"/>
    </row>
    <row r="5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51"/>
      <c r="S535" s="51"/>
      <c r="T535" s="51"/>
      <c r="U535" s="51"/>
      <c r="V535" s="51"/>
      <c r="W535" s="51"/>
      <c r="X535" s="51"/>
      <c r="Y535" s="45"/>
      <c r="Z535" s="45"/>
      <c r="AA535" s="45"/>
      <c r="AB535" s="45"/>
      <c r="AC535" s="45"/>
      <c r="AD535" s="45"/>
      <c r="AE535" s="45"/>
      <c r="AF535" s="45"/>
      <c r="AG535" s="45"/>
      <c r="AH535" s="45"/>
      <c r="AI535" s="45"/>
      <c r="AJ535" s="45"/>
      <c r="AK535" s="45"/>
      <c r="AL535" s="45"/>
      <c r="AM535" s="45"/>
      <c r="AN535" s="45"/>
      <c r="AO535" s="45"/>
      <c r="AP535" s="45"/>
      <c r="AQ535" s="36"/>
      <c r="AR535" s="36"/>
      <c r="AS535" s="36"/>
      <c r="AT535" s="36"/>
      <c r="AU535" s="36"/>
      <c r="AV535" s="36"/>
      <c r="AW535" s="36"/>
      <c r="AX535" s="36"/>
      <c r="AY535" s="36"/>
      <c r="AZ535" s="36"/>
      <c r="BA535" s="36"/>
      <c r="BB535" s="36"/>
      <c r="BC535" s="36"/>
      <c r="BD535" s="36"/>
      <c r="BE535" s="36"/>
      <c r="BF535" s="36"/>
      <c r="BG535" s="36"/>
      <c r="BH535" s="36"/>
      <c r="BI535" s="36"/>
      <c r="BJ535" s="36"/>
      <c r="BK535" s="36"/>
      <c r="BL535" s="36"/>
      <c r="BM535" s="36"/>
      <c r="BN535" s="36"/>
      <c r="BO535" s="36"/>
      <c r="BP535" s="36"/>
      <c r="BQ535" s="36"/>
    </row>
    <row r="536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51"/>
      <c r="S536" s="51"/>
      <c r="T536" s="51"/>
      <c r="U536" s="51"/>
      <c r="V536" s="51"/>
      <c r="W536" s="51"/>
      <c r="X536" s="51"/>
      <c r="Y536" s="45"/>
      <c r="Z536" s="45"/>
      <c r="AA536" s="45"/>
      <c r="AB536" s="45"/>
      <c r="AC536" s="45"/>
      <c r="AD536" s="45"/>
      <c r="AE536" s="45"/>
      <c r="AF536" s="45"/>
      <c r="AG536" s="45"/>
      <c r="AH536" s="45"/>
      <c r="AI536" s="45"/>
      <c r="AJ536" s="45"/>
      <c r="AK536" s="45"/>
      <c r="AL536" s="45"/>
      <c r="AM536" s="45"/>
      <c r="AN536" s="45"/>
      <c r="AO536" s="45"/>
      <c r="AP536" s="45"/>
      <c r="AQ536" s="36"/>
      <c r="AR536" s="36"/>
      <c r="AS536" s="36"/>
      <c r="AT536" s="36"/>
      <c r="AU536" s="36"/>
      <c r="AV536" s="36"/>
      <c r="AW536" s="36"/>
      <c r="AX536" s="36"/>
      <c r="AY536" s="36"/>
      <c r="AZ536" s="36"/>
      <c r="BA536" s="36"/>
      <c r="BB536" s="36"/>
      <c r="BC536" s="36"/>
      <c r="BD536" s="36"/>
      <c r="BE536" s="36"/>
      <c r="BF536" s="36"/>
      <c r="BG536" s="36"/>
      <c r="BH536" s="36"/>
      <c r="BI536" s="36"/>
      <c r="BJ536" s="36"/>
      <c r="BK536" s="36"/>
      <c r="BL536" s="36"/>
      <c r="BM536" s="36"/>
      <c r="BN536" s="36"/>
      <c r="BO536" s="36"/>
      <c r="BP536" s="36"/>
      <c r="BQ536" s="36"/>
    </row>
    <row r="537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51"/>
      <c r="S537" s="51"/>
      <c r="T537" s="51"/>
      <c r="U537" s="51"/>
      <c r="V537" s="51"/>
      <c r="W537" s="51"/>
      <c r="X537" s="51"/>
      <c r="Y537" s="45"/>
      <c r="Z537" s="45"/>
      <c r="AA537" s="45"/>
      <c r="AB537" s="45"/>
      <c r="AC537" s="45"/>
      <c r="AD537" s="45"/>
      <c r="AE537" s="45"/>
      <c r="AF537" s="45"/>
      <c r="AG537" s="45"/>
      <c r="AH537" s="45"/>
      <c r="AI537" s="45"/>
      <c r="AJ537" s="45"/>
      <c r="AK537" s="45"/>
      <c r="AL537" s="45"/>
      <c r="AM537" s="45"/>
      <c r="AN537" s="45"/>
      <c r="AO537" s="45"/>
      <c r="AP537" s="45"/>
      <c r="AQ537" s="36"/>
      <c r="AR537" s="36"/>
      <c r="AS537" s="36"/>
      <c r="AT537" s="36"/>
      <c r="AU537" s="36"/>
      <c r="AV537" s="36"/>
      <c r="AW537" s="36"/>
      <c r="AX537" s="36"/>
      <c r="AY537" s="36"/>
      <c r="AZ537" s="36"/>
      <c r="BA537" s="36"/>
      <c r="BB537" s="36"/>
      <c r="BC537" s="36"/>
      <c r="BD537" s="36"/>
      <c r="BE537" s="36"/>
      <c r="BF537" s="36"/>
      <c r="BG537" s="36"/>
      <c r="BH537" s="36"/>
      <c r="BI537" s="36"/>
      <c r="BJ537" s="36"/>
      <c r="BK537" s="36"/>
      <c r="BL537" s="36"/>
      <c r="BM537" s="36"/>
      <c r="BN537" s="36"/>
      <c r="BO537" s="36"/>
      <c r="BP537" s="36"/>
      <c r="BQ537" s="36"/>
    </row>
    <row r="538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51"/>
      <c r="S538" s="51"/>
      <c r="T538" s="51"/>
      <c r="U538" s="51"/>
      <c r="V538" s="51"/>
      <c r="W538" s="51"/>
      <c r="X538" s="51"/>
      <c r="Y538" s="45"/>
      <c r="Z538" s="45"/>
      <c r="AA538" s="45"/>
      <c r="AB538" s="45"/>
      <c r="AC538" s="45"/>
      <c r="AD538" s="45"/>
      <c r="AE538" s="45"/>
      <c r="AF538" s="45"/>
      <c r="AG538" s="45"/>
      <c r="AH538" s="45"/>
      <c r="AI538" s="45"/>
      <c r="AJ538" s="45"/>
      <c r="AK538" s="45"/>
      <c r="AL538" s="45"/>
      <c r="AM538" s="45"/>
      <c r="AN538" s="45"/>
      <c r="AO538" s="45"/>
      <c r="AP538" s="45"/>
      <c r="AQ538" s="36"/>
      <c r="AR538" s="36"/>
      <c r="AS538" s="36"/>
      <c r="AT538" s="36"/>
      <c r="AU538" s="36"/>
      <c r="AV538" s="36"/>
      <c r="AW538" s="36"/>
      <c r="AX538" s="36"/>
      <c r="AY538" s="36"/>
      <c r="AZ538" s="36"/>
      <c r="BA538" s="36"/>
      <c r="BB538" s="36"/>
      <c r="BC538" s="36"/>
      <c r="BD538" s="36"/>
      <c r="BE538" s="36"/>
      <c r="BF538" s="36"/>
      <c r="BG538" s="36"/>
      <c r="BH538" s="36"/>
      <c r="BI538" s="36"/>
      <c r="BJ538" s="36"/>
      <c r="BK538" s="36"/>
      <c r="BL538" s="36"/>
      <c r="BM538" s="36"/>
      <c r="BN538" s="36"/>
      <c r="BO538" s="36"/>
      <c r="BP538" s="36"/>
      <c r="BQ538" s="36"/>
    </row>
    <row r="539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51"/>
      <c r="S539" s="51"/>
      <c r="T539" s="51"/>
      <c r="U539" s="51"/>
      <c r="V539" s="51"/>
      <c r="W539" s="51"/>
      <c r="X539" s="51"/>
      <c r="Y539" s="45"/>
      <c r="Z539" s="45"/>
      <c r="AA539" s="45"/>
      <c r="AB539" s="45"/>
      <c r="AC539" s="45"/>
      <c r="AD539" s="45"/>
      <c r="AE539" s="45"/>
      <c r="AF539" s="45"/>
      <c r="AG539" s="45"/>
      <c r="AH539" s="45"/>
      <c r="AI539" s="45"/>
      <c r="AJ539" s="45"/>
      <c r="AK539" s="45"/>
      <c r="AL539" s="45"/>
      <c r="AM539" s="45"/>
      <c r="AN539" s="45"/>
      <c r="AO539" s="45"/>
      <c r="AP539" s="45"/>
      <c r="AQ539" s="36"/>
      <c r="AR539" s="36"/>
      <c r="AS539" s="36"/>
      <c r="AT539" s="36"/>
      <c r="AU539" s="36"/>
      <c r="AV539" s="36"/>
      <c r="AW539" s="36"/>
      <c r="AX539" s="36"/>
      <c r="AY539" s="36"/>
      <c r="AZ539" s="36"/>
      <c r="BA539" s="36"/>
      <c r="BB539" s="36"/>
      <c r="BC539" s="36"/>
      <c r="BD539" s="36"/>
      <c r="BE539" s="36"/>
      <c r="BF539" s="36"/>
      <c r="BG539" s="36"/>
      <c r="BH539" s="36"/>
      <c r="BI539" s="36"/>
      <c r="BJ539" s="36"/>
      <c r="BK539" s="36"/>
      <c r="BL539" s="36"/>
      <c r="BM539" s="36"/>
      <c r="BN539" s="36"/>
      <c r="BO539" s="36"/>
      <c r="BP539" s="36"/>
      <c r="BQ539" s="36"/>
    </row>
    <row r="540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51"/>
      <c r="S540" s="51"/>
      <c r="T540" s="51"/>
      <c r="U540" s="51"/>
      <c r="V540" s="51"/>
      <c r="W540" s="51"/>
      <c r="X540" s="51"/>
      <c r="Y540" s="45"/>
      <c r="Z540" s="45"/>
      <c r="AA540" s="45"/>
      <c r="AB540" s="45"/>
      <c r="AC540" s="45"/>
      <c r="AD540" s="45"/>
      <c r="AE540" s="45"/>
      <c r="AF540" s="45"/>
      <c r="AG540" s="45"/>
      <c r="AH540" s="45"/>
      <c r="AI540" s="45"/>
      <c r="AJ540" s="45"/>
      <c r="AK540" s="45"/>
      <c r="AL540" s="45"/>
      <c r="AM540" s="45"/>
      <c r="AN540" s="45"/>
      <c r="AO540" s="45"/>
      <c r="AP540" s="45"/>
      <c r="AQ540" s="36"/>
      <c r="AR540" s="36"/>
      <c r="AS540" s="36"/>
      <c r="AT540" s="36"/>
      <c r="AU540" s="36"/>
      <c r="AV540" s="36"/>
      <c r="AW540" s="36"/>
      <c r="AX540" s="36"/>
      <c r="AY540" s="36"/>
      <c r="AZ540" s="36"/>
      <c r="BA540" s="36"/>
      <c r="BB540" s="36"/>
      <c r="BC540" s="36"/>
      <c r="BD540" s="36"/>
      <c r="BE540" s="36"/>
      <c r="BF540" s="36"/>
      <c r="BG540" s="36"/>
      <c r="BH540" s="36"/>
      <c r="BI540" s="36"/>
      <c r="BJ540" s="36"/>
      <c r="BK540" s="36"/>
      <c r="BL540" s="36"/>
      <c r="BM540" s="36"/>
      <c r="BN540" s="36"/>
      <c r="BO540" s="36"/>
      <c r="BP540" s="36"/>
      <c r="BQ540" s="36"/>
    </row>
    <row r="54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51"/>
      <c r="S541" s="51"/>
      <c r="T541" s="51"/>
      <c r="U541" s="51"/>
      <c r="V541" s="51"/>
      <c r="W541" s="51"/>
      <c r="X541" s="51"/>
      <c r="Y541" s="45"/>
      <c r="Z541" s="45"/>
      <c r="AA541" s="45"/>
      <c r="AB541" s="45"/>
      <c r="AC541" s="45"/>
      <c r="AD541" s="45"/>
      <c r="AE541" s="45"/>
      <c r="AF541" s="45"/>
      <c r="AG541" s="45"/>
      <c r="AH541" s="45"/>
      <c r="AI541" s="45"/>
      <c r="AJ541" s="45"/>
      <c r="AK541" s="45"/>
      <c r="AL541" s="45"/>
      <c r="AM541" s="45"/>
      <c r="AN541" s="45"/>
      <c r="AO541" s="45"/>
      <c r="AP541" s="45"/>
      <c r="AQ541" s="36"/>
      <c r="AR541" s="36"/>
      <c r="AS541" s="36"/>
      <c r="AT541" s="36"/>
      <c r="AU541" s="36"/>
      <c r="AV541" s="36"/>
      <c r="AW541" s="36"/>
      <c r="AX541" s="36"/>
      <c r="AY541" s="36"/>
      <c r="AZ541" s="36"/>
      <c r="BA541" s="36"/>
      <c r="BB541" s="36"/>
      <c r="BC541" s="36"/>
      <c r="BD541" s="36"/>
      <c r="BE541" s="36"/>
      <c r="BF541" s="36"/>
      <c r="BG541" s="36"/>
      <c r="BH541" s="36"/>
      <c r="BI541" s="36"/>
      <c r="BJ541" s="36"/>
      <c r="BK541" s="36"/>
      <c r="BL541" s="36"/>
      <c r="BM541" s="36"/>
      <c r="BN541" s="36"/>
      <c r="BO541" s="36"/>
      <c r="BP541" s="36"/>
      <c r="BQ541" s="36"/>
    </row>
    <row r="542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51"/>
      <c r="S542" s="51"/>
      <c r="T542" s="51"/>
      <c r="U542" s="51"/>
      <c r="V542" s="51"/>
      <c r="W542" s="51"/>
      <c r="X542" s="51"/>
      <c r="Y542" s="45"/>
      <c r="Z542" s="45"/>
      <c r="AA542" s="45"/>
      <c r="AB542" s="45"/>
      <c r="AC542" s="45"/>
      <c r="AD542" s="45"/>
      <c r="AE542" s="45"/>
      <c r="AF542" s="45"/>
      <c r="AG542" s="45"/>
      <c r="AH542" s="45"/>
      <c r="AI542" s="45"/>
      <c r="AJ542" s="45"/>
      <c r="AK542" s="45"/>
      <c r="AL542" s="45"/>
      <c r="AM542" s="45"/>
      <c r="AN542" s="45"/>
      <c r="AO542" s="45"/>
      <c r="AP542" s="45"/>
      <c r="AQ542" s="36"/>
      <c r="AR542" s="36"/>
      <c r="AS542" s="36"/>
      <c r="AT542" s="36"/>
      <c r="AU542" s="36"/>
      <c r="AV542" s="36"/>
      <c r="AW542" s="36"/>
      <c r="AX542" s="36"/>
      <c r="AY542" s="36"/>
      <c r="AZ542" s="36"/>
      <c r="BA542" s="36"/>
      <c r="BB542" s="36"/>
      <c r="BC542" s="36"/>
      <c r="BD542" s="36"/>
      <c r="BE542" s="36"/>
      <c r="BF542" s="36"/>
      <c r="BG542" s="36"/>
      <c r="BH542" s="36"/>
      <c r="BI542" s="36"/>
      <c r="BJ542" s="36"/>
      <c r="BK542" s="36"/>
      <c r="BL542" s="36"/>
      <c r="BM542" s="36"/>
      <c r="BN542" s="36"/>
      <c r="BO542" s="36"/>
      <c r="BP542" s="36"/>
      <c r="BQ542" s="36"/>
    </row>
    <row r="543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51"/>
      <c r="S543" s="51"/>
      <c r="T543" s="51"/>
      <c r="U543" s="51"/>
      <c r="V543" s="51"/>
      <c r="W543" s="51"/>
      <c r="X543" s="51"/>
      <c r="Y543" s="45"/>
      <c r="Z543" s="45"/>
      <c r="AA543" s="45"/>
      <c r="AB543" s="45"/>
      <c r="AC543" s="45"/>
      <c r="AD543" s="45"/>
      <c r="AE543" s="45"/>
      <c r="AF543" s="45"/>
      <c r="AG543" s="45"/>
      <c r="AH543" s="45"/>
      <c r="AI543" s="45"/>
      <c r="AJ543" s="45"/>
      <c r="AK543" s="45"/>
      <c r="AL543" s="45"/>
      <c r="AM543" s="45"/>
      <c r="AN543" s="45"/>
      <c r="AO543" s="45"/>
      <c r="AP543" s="45"/>
      <c r="AQ543" s="36"/>
      <c r="AR543" s="36"/>
      <c r="AS543" s="36"/>
      <c r="AT543" s="36"/>
      <c r="AU543" s="36"/>
      <c r="AV543" s="36"/>
      <c r="AW543" s="36"/>
      <c r="AX543" s="36"/>
      <c r="AY543" s="36"/>
      <c r="AZ543" s="36"/>
      <c r="BA543" s="36"/>
      <c r="BB543" s="36"/>
      <c r="BC543" s="36"/>
      <c r="BD543" s="36"/>
      <c r="BE543" s="36"/>
      <c r="BF543" s="36"/>
      <c r="BG543" s="36"/>
      <c r="BH543" s="36"/>
      <c r="BI543" s="36"/>
      <c r="BJ543" s="36"/>
      <c r="BK543" s="36"/>
      <c r="BL543" s="36"/>
      <c r="BM543" s="36"/>
      <c r="BN543" s="36"/>
      <c r="BO543" s="36"/>
      <c r="BP543" s="36"/>
      <c r="BQ543" s="36"/>
    </row>
    <row r="544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51"/>
      <c r="S544" s="51"/>
      <c r="T544" s="51"/>
      <c r="U544" s="51"/>
      <c r="V544" s="51"/>
      <c r="W544" s="51"/>
      <c r="X544" s="51"/>
      <c r="Y544" s="45"/>
      <c r="Z544" s="45"/>
      <c r="AA544" s="45"/>
      <c r="AB544" s="45"/>
      <c r="AC544" s="45"/>
      <c r="AD544" s="45"/>
      <c r="AE544" s="45"/>
      <c r="AF544" s="45"/>
      <c r="AG544" s="45"/>
      <c r="AH544" s="45"/>
      <c r="AI544" s="45"/>
      <c r="AJ544" s="45"/>
      <c r="AK544" s="45"/>
      <c r="AL544" s="45"/>
      <c r="AM544" s="45"/>
      <c r="AN544" s="45"/>
      <c r="AO544" s="45"/>
      <c r="AP544" s="45"/>
      <c r="AQ544" s="36"/>
      <c r="AR544" s="36"/>
      <c r="AS544" s="36"/>
      <c r="AT544" s="36"/>
      <c r="AU544" s="36"/>
      <c r="AV544" s="36"/>
      <c r="AW544" s="36"/>
      <c r="AX544" s="36"/>
      <c r="AY544" s="36"/>
      <c r="AZ544" s="36"/>
      <c r="BA544" s="36"/>
      <c r="BB544" s="36"/>
      <c r="BC544" s="36"/>
      <c r="BD544" s="36"/>
      <c r="BE544" s="36"/>
      <c r="BF544" s="36"/>
      <c r="BG544" s="36"/>
      <c r="BH544" s="36"/>
      <c r="BI544" s="36"/>
      <c r="BJ544" s="36"/>
      <c r="BK544" s="36"/>
      <c r="BL544" s="36"/>
      <c r="BM544" s="36"/>
      <c r="BN544" s="36"/>
      <c r="BO544" s="36"/>
      <c r="BP544" s="36"/>
      <c r="BQ544" s="36"/>
    </row>
    <row r="54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51"/>
      <c r="S545" s="51"/>
      <c r="T545" s="51"/>
      <c r="U545" s="51"/>
      <c r="V545" s="51"/>
      <c r="W545" s="51"/>
      <c r="X545" s="51"/>
      <c r="Y545" s="45"/>
      <c r="Z545" s="45"/>
      <c r="AA545" s="45"/>
      <c r="AB545" s="45"/>
      <c r="AC545" s="45"/>
      <c r="AD545" s="45"/>
      <c r="AE545" s="45"/>
      <c r="AF545" s="45"/>
      <c r="AG545" s="45"/>
      <c r="AH545" s="45"/>
      <c r="AI545" s="45"/>
      <c r="AJ545" s="45"/>
      <c r="AK545" s="45"/>
      <c r="AL545" s="45"/>
      <c r="AM545" s="45"/>
      <c r="AN545" s="45"/>
      <c r="AO545" s="45"/>
      <c r="AP545" s="45"/>
      <c r="AQ545" s="36"/>
      <c r="AR545" s="36"/>
      <c r="AS545" s="36"/>
      <c r="AT545" s="36"/>
      <c r="AU545" s="36"/>
      <c r="AV545" s="36"/>
      <c r="AW545" s="36"/>
      <c r="AX545" s="36"/>
      <c r="AY545" s="36"/>
      <c r="AZ545" s="36"/>
      <c r="BA545" s="36"/>
      <c r="BB545" s="36"/>
      <c r="BC545" s="36"/>
      <c r="BD545" s="36"/>
      <c r="BE545" s="36"/>
      <c r="BF545" s="36"/>
      <c r="BG545" s="36"/>
      <c r="BH545" s="36"/>
      <c r="BI545" s="36"/>
      <c r="BJ545" s="36"/>
      <c r="BK545" s="36"/>
      <c r="BL545" s="36"/>
      <c r="BM545" s="36"/>
      <c r="BN545" s="36"/>
      <c r="BO545" s="36"/>
      <c r="BP545" s="36"/>
      <c r="BQ545" s="36"/>
    </row>
    <row r="546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51"/>
      <c r="S546" s="51"/>
      <c r="T546" s="51"/>
      <c r="U546" s="51"/>
      <c r="V546" s="51"/>
      <c r="W546" s="51"/>
      <c r="X546" s="51"/>
      <c r="Y546" s="45"/>
      <c r="Z546" s="45"/>
      <c r="AA546" s="45"/>
      <c r="AB546" s="45"/>
      <c r="AC546" s="45"/>
      <c r="AD546" s="45"/>
      <c r="AE546" s="45"/>
      <c r="AF546" s="45"/>
      <c r="AG546" s="45"/>
      <c r="AH546" s="45"/>
      <c r="AI546" s="45"/>
      <c r="AJ546" s="45"/>
      <c r="AK546" s="45"/>
      <c r="AL546" s="45"/>
      <c r="AM546" s="45"/>
      <c r="AN546" s="45"/>
      <c r="AO546" s="45"/>
      <c r="AP546" s="45"/>
      <c r="AQ546" s="36"/>
      <c r="AR546" s="36"/>
      <c r="AS546" s="36"/>
      <c r="AT546" s="36"/>
      <c r="AU546" s="36"/>
      <c r="AV546" s="36"/>
      <c r="AW546" s="36"/>
      <c r="AX546" s="36"/>
      <c r="AY546" s="36"/>
      <c r="AZ546" s="36"/>
      <c r="BA546" s="36"/>
      <c r="BB546" s="36"/>
      <c r="BC546" s="36"/>
      <c r="BD546" s="36"/>
      <c r="BE546" s="36"/>
      <c r="BF546" s="36"/>
      <c r="BG546" s="36"/>
      <c r="BH546" s="36"/>
      <c r="BI546" s="36"/>
      <c r="BJ546" s="36"/>
      <c r="BK546" s="36"/>
      <c r="BL546" s="36"/>
      <c r="BM546" s="36"/>
      <c r="BN546" s="36"/>
      <c r="BO546" s="36"/>
      <c r="BP546" s="36"/>
      <c r="BQ546" s="36"/>
    </row>
    <row r="547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51"/>
      <c r="S547" s="51"/>
      <c r="T547" s="51"/>
      <c r="U547" s="51"/>
      <c r="V547" s="51"/>
      <c r="W547" s="51"/>
      <c r="X547" s="51"/>
      <c r="Y547" s="45"/>
      <c r="Z547" s="45"/>
      <c r="AA547" s="45"/>
      <c r="AB547" s="45"/>
      <c r="AC547" s="45"/>
      <c r="AD547" s="45"/>
      <c r="AE547" s="45"/>
      <c r="AF547" s="45"/>
      <c r="AG547" s="45"/>
      <c r="AH547" s="45"/>
      <c r="AI547" s="45"/>
      <c r="AJ547" s="45"/>
      <c r="AK547" s="45"/>
      <c r="AL547" s="45"/>
      <c r="AM547" s="45"/>
      <c r="AN547" s="45"/>
      <c r="AO547" s="45"/>
      <c r="AP547" s="45"/>
      <c r="AQ547" s="36"/>
      <c r="AR547" s="36"/>
      <c r="AS547" s="36"/>
      <c r="AT547" s="36"/>
      <c r="AU547" s="36"/>
      <c r="AV547" s="36"/>
      <c r="AW547" s="36"/>
      <c r="AX547" s="36"/>
      <c r="AY547" s="36"/>
      <c r="AZ547" s="36"/>
      <c r="BA547" s="36"/>
      <c r="BB547" s="36"/>
      <c r="BC547" s="36"/>
      <c r="BD547" s="36"/>
      <c r="BE547" s="36"/>
      <c r="BF547" s="36"/>
      <c r="BG547" s="36"/>
      <c r="BH547" s="36"/>
      <c r="BI547" s="36"/>
      <c r="BJ547" s="36"/>
      <c r="BK547" s="36"/>
      <c r="BL547" s="36"/>
      <c r="BM547" s="36"/>
      <c r="BN547" s="36"/>
      <c r="BO547" s="36"/>
      <c r="BP547" s="36"/>
      <c r="BQ547" s="36"/>
    </row>
    <row r="548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51"/>
      <c r="S548" s="51"/>
      <c r="T548" s="51"/>
      <c r="U548" s="51"/>
      <c r="V548" s="51"/>
      <c r="W548" s="51"/>
      <c r="X548" s="51"/>
      <c r="Y548" s="45"/>
      <c r="Z548" s="45"/>
      <c r="AA548" s="45"/>
      <c r="AB548" s="45"/>
      <c r="AC548" s="45"/>
      <c r="AD548" s="45"/>
      <c r="AE548" s="45"/>
      <c r="AF548" s="45"/>
      <c r="AG548" s="45"/>
      <c r="AH548" s="45"/>
      <c r="AI548" s="45"/>
      <c r="AJ548" s="45"/>
      <c r="AK548" s="45"/>
      <c r="AL548" s="45"/>
      <c r="AM548" s="45"/>
      <c r="AN548" s="45"/>
      <c r="AO548" s="45"/>
      <c r="AP548" s="45"/>
      <c r="AQ548" s="36"/>
      <c r="AR548" s="36"/>
      <c r="AS548" s="36"/>
      <c r="AT548" s="36"/>
      <c r="AU548" s="36"/>
      <c r="AV548" s="36"/>
      <c r="AW548" s="36"/>
      <c r="AX548" s="36"/>
      <c r="AY548" s="36"/>
      <c r="AZ548" s="36"/>
      <c r="BA548" s="36"/>
      <c r="BB548" s="36"/>
      <c r="BC548" s="36"/>
      <c r="BD548" s="36"/>
      <c r="BE548" s="36"/>
      <c r="BF548" s="36"/>
      <c r="BG548" s="36"/>
      <c r="BH548" s="36"/>
      <c r="BI548" s="36"/>
      <c r="BJ548" s="36"/>
      <c r="BK548" s="36"/>
      <c r="BL548" s="36"/>
      <c r="BM548" s="36"/>
      <c r="BN548" s="36"/>
      <c r="BO548" s="36"/>
      <c r="BP548" s="36"/>
      <c r="BQ548" s="36"/>
    </row>
    <row r="549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51"/>
      <c r="S549" s="51"/>
      <c r="T549" s="51"/>
      <c r="U549" s="51"/>
      <c r="V549" s="51"/>
      <c r="W549" s="51"/>
      <c r="X549" s="51"/>
      <c r="Y549" s="45"/>
      <c r="Z549" s="45"/>
      <c r="AA549" s="45"/>
      <c r="AB549" s="45"/>
      <c r="AC549" s="45"/>
      <c r="AD549" s="45"/>
      <c r="AE549" s="45"/>
      <c r="AF549" s="45"/>
      <c r="AG549" s="45"/>
      <c r="AH549" s="45"/>
      <c r="AI549" s="45"/>
      <c r="AJ549" s="45"/>
      <c r="AK549" s="45"/>
      <c r="AL549" s="45"/>
      <c r="AM549" s="45"/>
      <c r="AN549" s="45"/>
      <c r="AO549" s="45"/>
      <c r="AP549" s="45"/>
      <c r="AQ549" s="36"/>
      <c r="AR549" s="36"/>
      <c r="AS549" s="36"/>
      <c r="AT549" s="36"/>
      <c r="AU549" s="36"/>
      <c r="AV549" s="36"/>
      <c r="AW549" s="36"/>
      <c r="AX549" s="36"/>
      <c r="AY549" s="36"/>
      <c r="AZ549" s="36"/>
      <c r="BA549" s="36"/>
      <c r="BB549" s="36"/>
      <c r="BC549" s="36"/>
      <c r="BD549" s="36"/>
      <c r="BE549" s="36"/>
      <c r="BF549" s="36"/>
      <c r="BG549" s="36"/>
      <c r="BH549" s="36"/>
      <c r="BI549" s="36"/>
      <c r="BJ549" s="36"/>
      <c r="BK549" s="36"/>
      <c r="BL549" s="36"/>
      <c r="BM549" s="36"/>
      <c r="BN549" s="36"/>
      <c r="BO549" s="36"/>
      <c r="BP549" s="36"/>
      <c r="BQ549" s="36"/>
    </row>
    <row r="550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51"/>
      <c r="S550" s="51"/>
      <c r="T550" s="51"/>
      <c r="U550" s="51"/>
      <c r="V550" s="51"/>
      <c r="W550" s="51"/>
      <c r="X550" s="51"/>
      <c r="Y550" s="45"/>
      <c r="Z550" s="45"/>
      <c r="AA550" s="45"/>
      <c r="AB550" s="45"/>
      <c r="AC550" s="45"/>
      <c r="AD550" s="45"/>
      <c r="AE550" s="45"/>
      <c r="AF550" s="45"/>
      <c r="AG550" s="45"/>
      <c r="AH550" s="45"/>
      <c r="AI550" s="45"/>
      <c r="AJ550" s="45"/>
      <c r="AK550" s="45"/>
      <c r="AL550" s="45"/>
      <c r="AM550" s="45"/>
      <c r="AN550" s="45"/>
      <c r="AO550" s="45"/>
      <c r="AP550" s="45"/>
      <c r="AQ550" s="36"/>
      <c r="AR550" s="36"/>
      <c r="AS550" s="36"/>
      <c r="AT550" s="36"/>
      <c r="AU550" s="36"/>
      <c r="AV550" s="36"/>
      <c r="AW550" s="36"/>
      <c r="AX550" s="36"/>
      <c r="AY550" s="36"/>
      <c r="AZ550" s="36"/>
      <c r="BA550" s="36"/>
      <c r="BB550" s="36"/>
      <c r="BC550" s="36"/>
      <c r="BD550" s="36"/>
      <c r="BE550" s="36"/>
      <c r="BF550" s="36"/>
      <c r="BG550" s="36"/>
      <c r="BH550" s="36"/>
      <c r="BI550" s="36"/>
      <c r="BJ550" s="36"/>
      <c r="BK550" s="36"/>
      <c r="BL550" s="36"/>
      <c r="BM550" s="36"/>
      <c r="BN550" s="36"/>
      <c r="BO550" s="36"/>
      <c r="BP550" s="36"/>
      <c r="BQ550" s="36"/>
    </row>
    <row r="55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51"/>
      <c r="S551" s="51"/>
      <c r="T551" s="51"/>
      <c r="U551" s="51"/>
      <c r="V551" s="51"/>
      <c r="W551" s="51"/>
      <c r="X551" s="51"/>
      <c r="Y551" s="45"/>
      <c r="Z551" s="45"/>
      <c r="AA551" s="45"/>
      <c r="AB551" s="45"/>
      <c r="AC551" s="45"/>
      <c r="AD551" s="45"/>
      <c r="AE551" s="45"/>
      <c r="AF551" s="45"/>
      <c r="AG551" s="45"/>
      <c r="AH551" s="45"/>
      <c r="AI551" s="45"/>
      <c r="AJ551" s="45"/>
      <c r="AK551" s="45"/>
      <c r="AL551" s="45"/>
      <c r="AM551" s="45"/>
      <c r="AN551" s="45"/>
      <c r="AO551" s="45"/>
      <c r="AP551" s="45"/>
      <c r="AQ551" s="36"/>
      <c r="AR551" s="36"/>
      <c r="AS551" s="36"/>
      <c r="AT551" s="36"/>
      <c r="AU551" s="36"/>
      <c r="AV551" s="36"/>
      <c r="AW551" s="36"/>
      <c r="AX551" s="36"/>
      <c r="AY551" s="36"/>
      <c r="AZ551" s="36"/>
      <c r="BA551" s="36"/>
      <c r="BB551" s="36"/>
      <c r="BC551" s="36"/>
      <c r="BD551" s="36"/>
      <c r="BE551" s="36"/>
      <c r="BF551" s="36"/>
      <c r="BG551" s="36"/>
      <c r="BH551" s="36"/>
      <c r="BI551" s="36"/>
      <c r="BJ551" s="36"/>
      <c r="BK551" s="36"/>
      <c r="BL551" s="36"/>
      <c r="BM551" s="36"/>
      <c r="BN551" s="36"/>
      <c r="BO551" s="36"/>
      <c r="BP551" s="36"/>
      <c r="BQ551" s="36"/>
    </row>
    <row r="55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51"/>
      <c r="S552" s="51"/>
      <c r="T552" s="51"/>
      <c r="U552" s="51"/>
      <c r="V552" s="51"/>
      <c r="W552" s="51"/>
      <c r="X552" s="51"/>
      <c r="Y552" s="45"/>
      <c r="Z552" s="45"/>
      <c r="AA552" s="45"/>
      <c r="AB552" s="45"/>
      <c r="AC552" s="45"/>
      <c r="AD552" s="45"/>
      <c r="AE552" s="45"/>
      <c r="AF552" s="45"/>
      <c r="AG552" s="45"/>
      <c r="AH552" s="45"/>
      <c r="AI552" s="45"/>
      <c r="AJ552" s="45"/>
      <c r="AK552" s="45"/>
      <c r="AL552" s="45"/>
      <c r="AM552" s="45"/>
      <c r="AN552" s="45"/>
      <c r="AO552" s="45"/>
      <c r="AP552" s="45"/>
      <c r="AQ552" s="36"/>
      <c r="AR552" s="36"/>
      <c r="AS552" s="36"/>
      <c r="AT552" s="36"/>
      <c r="AU552" s="36"/>
      <c r="AV552" s="36"/>
      <c r="AW552" s="36"/>
      <c r="AX552" s="36"/>
      <c r="AY552" s="36"/>
      <c r="AZ552" s="36"/>
      <c r="BA552" s="36"/>
      <c r="BB552" s="36"/>
      <c r="BC552" s="36"/>
      <c r="BD552" s="36"/>
      <c r="BE552" s="36"/>
      <c r="BF552" s="36"/>
      <c r="BG552" s="36"/>
      <c r="BH552" s="36"/>
      <c r="BI552" s="36"/>
      <c r="BJ552" s="36"/>
      <c r="BK552" s="36"/>
      <c r="BL552" s="36"/>
      <c r="BM552" s="36"/>
      <c r="BN552" s="36"/>
      <c r="BO552" s="36"/>
      <c r="BP552" s="36"/>
      <c r="BQ552" s="36"/>
    </row>
    <row r="553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51"/>
      <c r="S553" s="51"/>
      <c r="T553" s="51"/>
      <c r="U553" s="51"/>
      <c r="V553" s="51"/>
      <c r="W553" s="51"/>
      <c r="X553" s="51"/>
      <c r="Y553" s="45"/>
      <c r="Z553" s="45"/>
      <c r="AA553" s="45"/>
      <c r="AB553" s="45"/>
      <c r="AC553" s="45"/>
      <c r="AD553" s="45"/>
      <c r="AE553" s="45"/>
      <c r="AF553" s="45"/>
      <c r="AG553" s="45"/>
      <c r="AH553" s="45"/>
      <c r="AI553" s="45"/>
      <c r="AJ553" s="45"/>
      <c r="AK553" s="45"/>
      <c r="AL553" s="45"/>
      <c r="AM553" s="45"/>
      <c r="AN553" s="45"/>
      <c r="AO553" s="45"/>
      <c r="AP553" s="45"/>
      <c r="AQ553" s="36"/>
      <c r="AR553" s="36"/>
      <c r="AS553" s="36"/>
      <c r="AT553" s="36"/>
      <c r="AU553" s="36"/>
      <c r="AV553" s="36"/>
      <c r="AW553" s="36"/>
      <c r="AX553" s="36"/>
      <c r="AY553" s="36"/>
      <c r="AZ553" s="36"/>
      <c r="BA553" s="36"/>
      <c r="BB553" s="36"/>
      <c r="BC553" s="36"/>
      <c r="BD553" s="36"/>
      <c r="BE553" s="36"/>
      <c r="BF553" s="36"/>
      <c r="BG553" s="36"/>
      <c r="BH553" s="36"/>
      <c r="BI553" s="36"/>
      <c r="BJ553" s="36"/>
      <c r="BK553" s="36"/>
      <c r="BL553" s="36"/>
      <c r="BM553" s="36"/>
      <c r="BN553" s="36"/>
      <c r="BO553" s="36"/>
      <c r="BP553" s="36"/>
      <c r="BQ553" s="36"/>
    </row>
    <row r="554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51"/>
      <c r="S554" s="51"/>
      <c r="T554" s="51"/>
      <c r="U554" s="51"/>
      <c r="V554" s="51"/>
      <c r="W554" s="51"/>
      <c r="X554" s="51"/>
      <c r="Y554" s="45"/>
      <c r="Z554" s="45"/>
      <c r="AA554" s="45"/>
      <c r="AB554" s="45"/>
      <c r="AC554" s="45"/>
      <c r="AD554" s="45"/>
      <c r="AE554" s="45"/>
      <c r="AF554" s="45"/>
      <c r="AG554" s="45"/>
      <c r="AH554" s="45"/>
      <c r="AI554" s="45"/>
      <c r="AJ554" s="45"/>
      <c r="AK554" s="45"/>
      <c r="AL554" s="45"/>
      <c r="AM554" s="45"/>
      <c r="AN554" s="45"/>
      <c r="AO554" s="45"/>
      <c r="AP554" s="45"/>
      <c r="AQ554" s="36"/>
      <c r="AR554" s="36"/>
      <c r="AS554" s="36"/>
      <c r="AT554" s="36"/>
      <c r="AU554" s="36"/>
      <c r="AV554" s="36"/>
      <c r="AW554" s="36"/>
      <c r="AX554" s="36"/>
      <c r="AY554" s="36"/>
      <c r="AZ554" s="36"/>
      <c r="BA554" s="36"/>
      <c r="BB554" s="36"/>
      <c r="BC554" s="36"/>
      <c r="BD554" s="36"/>
      <c r="BE554" s="36"/>
      <c r="BF554" s="36"/>
      <c r="BG554" s="36"/>
      <c r="BH554" s="36"/>
      <c r="BI554" s="36"/>
      <c r="BJ554" s="36"/>
      <c r="BK554" s="36"/>
      <c r="BL554" s="36"/>
      <c r="BM554" s="36"/>
      <c r="BN554" s="36"/>
      <c r="BO554" s="36"/>
      <c r="BP554" s="36"/>
      <c r="BQ554" s="36"/>
    </row>
    <row r="55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51"/>
      <c r="S555" s="51"/>
      <c r="T555" s="51"/>
      <c r="U555" s="51"/>
      <c r="V555" s="51"/>
      <c r="W555" s="51"/>
      <c r="X555" s="51"/>
      <c r="Y555" s="45"/>
      <c r="Z555" s="45"/>
      <c r="AA555" s="45"/>
      <c r="AB555" s="45"/>
      <c r="AC555" s="45"/>
      <c r="AD555" s="45"/>
      <c r="AE555" s="45"/>
      <c r="AF555" s="45"/>
      <c r="AG555" s="45"/>
      <c r="AH555" s="45"/>
      <c r="AI555" s="45"/>
      <c r="AJ555" s="45"/>
      <c r="AK555" s="45"/>
      <c r="AL555" s="45"/>
      <c r="AM555" s="45"/>
      <c r="AN555" s="45"/>
      <c r="AO555" s="45"/>
      <c r="AP555" s="45"/>
      <c r="AQ555" s="36"/>
      <c r="AR555" s="36"/>
      <c r="AS555" s="36"/>
      <c r="AT555" s="36"/>
      <c r="AU555" s="36"/>
      <c r="AV555" s="36"/>
      <c r="AW555" s="36"/>
      <c r="AX555" s="36"/>
      <c r="AY555" s="36"/>
      <c r="AZ555" s="36"/>
      <c r="BA555" s="36"/>
      <c r="BB555" s="36"/>
      <c r="BC555" s="36"/>
      <c r="BD555" s="36"/>
      <c r="BE555" s="36"/>
      <c r="BF555" s="36"/>
      <c r="BG555" s="36"/>
      <c r="BH555" s="36"/>
      <c r="BI555" s="36"/>
      <c r="BJ555" s="36"/>
      <c r="BK555" s="36"/>
      <c r="BL555" s="36"/>
      <c r="BM555" s="36"/>
      <c r="BN555" s="36"/>
      <c r="BO555" s="36"/>
      <c r="BP555" s="36"/>
      <c r="BQ555" s="36"/>
    </row>
    <row r="556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51"/>
      <c r="S556" s="51"/>
      <c r="T556" s="51"/>
      <c r="U556" s="51"/>
      <c r="V556" s="51"/>
      <c r="W556" s="51"/>
      <c r="X556" s="51"/>
      <c r="Y556" s="45"/>
      <c r="Z556" s="45"/>
      <c r="AA556" s="45"/>
      <c r="AB556" s="45"/>
      <c r="AC556" s="45"/>
      <c r="AD556" s="45"/>
      <c r="AE556" s="45"/>
      <c r="AF556" s="45"/>
      <c r="AG556" s="45"/>
      <c r="AH556" s="45"/>
      <c r="AI556" s="45"/>
      <c r="AJ556" s="45"/>
      <c r="AK556" s="45"/>
      <c r="AL556" s="45"/>
      <c r="AM556" s="45"/>
      <c r="AN556" s="45"/>
      <c r="AO556" s="45"/>
      <c r="AP556" s="45"/>
      <c r="AQ556" s="36"/>
      <c r="AR556" s="36"/>
      <c r="AS556" s="36"/>
      <c r="AT556" s="36"/>
      <c r="AU556" s="36"/>
      <c r="AV556" s="36"/>
      <c r="AW556" s="36"/>
      <c r="AX556" s="36"/>
      <c r="AY556" s="36"/>
      <c r="AZ556" s="36"/>
      <c r="BA556" s="36"/>
      <c r="BB556" s="36"/>
      <c r="BC556" s="36"/>
      <c r="BD556" s="36"/>
      <c r="BE556" s="36"/>
      <c r="BF556" s="36"/>
      <c r="BG556" s="36"/>
      <c r="BH556" s="36"/>
      <c r="BI556" s="36"/>
      <c r="BJ556" s="36"/>
      <c r="BK556" s="36"/>
      <c r="BL556" s="36"/>
      <c r="BM556" s="36"/>
      <c r="BN556" s="36"/>
      <c r="BO556" s="36"/>
      <c r="BP556" s="36"/>
      <c r="BQ556" s="36"/>
    </row>
    <row r="557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51"/>
      <c r="S557" s="51"/>
      <c r="T557" s="51"/>
      <c r="U557" s="51"/>
      <c r="V557" s="51"/>
      <c r="W557" s="51"/>
      <c r="X557" s="51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5"/>
      <c r="AM557" s="45"/>
      <c r="AN557" s="45"/>
      <c r="AO557" s="45"/>
      <c r="AP557" s="45"/>
      <c r="AQ557" s="36"/>
      <c r="AR557" s="36"/>
      <c r="AS557" s="36"/>
      <c r="AT557" s="36"/>
      <c r="AU557" s="36"/>
      <c r="AV557" s="36"/>
      <c r="AW557" s="36"/>
      <c r="AX557" s="36"/>
      <c r="AY557" s="36"/>
      <c r="AZ557" s="36"/>
      <c r="BA557" s="36"/>
      <c r="BB557" s="36"/>
      <c r="BC557" s="36"/>
      <c r="BD557" s="36"/>
      <c r="BE557" s="36"/>
      <c r="BF557" s="36"/>
      <c r="BG557" s="36"/>
      <c r="BH557" s="36"/>
      <c r="BI557" s="36"/>
      <c r="BJ557" s="36"/>
      <c r="BK557" s="36"/>
      <c r="BL557" s="36"/>
      <c r="BM557" s="36"/>
      <c r="BN557" s="36"/>
      <c r="BO557" s="36"/>
      <c r="BP557" s="36"/>
      <c r="BQ557" s="36"/>
    </row>
    <row r="558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51"/>
      <c r="S558" s="51"/>
      <c r="T558" s="51"/>
      <c r="U558" s="51"/>
      <c r="V558" s="51"/>
      <c r="W558" s="51"/>
      <c r="X558" s="51"/>
      <c r="Y558" s="45"/>
      <c r="Z558" s="45"/>
      <c r="AA558" s="45"/>
      <c r="AB558" s="45"/>
      <c r="AC558" s="45"/>
      <c r="AD558" s="45"/>
      <c r="AE558" s="45"/>
      <c r="AF558" s="45"/>
      <c r="AG558" s="45"/>
      <c r="AH558" s="45"/>
      <c r="AI558" s="45"/>
      <c r="AJ558" s="45"/>
      <c r="AK558" s="45"/>
      <c r="AL558" s="45"/>
      <c r="AM558" s="45"/>
      <c r="AN558" s="45"/>
      <c r="AO558" s="45"/>
      <c r="AP558" s="45"/>
      <c r="AQ558" s="36"/>
      <c r="AR558" s="36"/>
      <c r="AS558" s="36"/>
      <c r="AT558" s="36"/>
      <c r="AU558" s="36"/>
      <c r="AV558" s="36"/>
      <c r="AW558" s="36"/>
      <c r="AX558" s="36"/>
      <c r="AY558" s="36"/>
      <c r="AZ558" s="36"/>
      <c r="BA558" s="36"/>
      <c r="BB558" s="36"/>
      <c r="BC558" s="36"/>
      <c r="BD558" s="36"/>
      <c r="BE558" s="36"/>
      <c r="BF558" s="36"/>
      <c r="BG558" s="36"/>
      <c r="BH558" s="36"/>
      <c r="BI558" s="36"/>
      <c r="BJ558" s="36"/>
      <c r="BK558" s="36"/>
      <c r="BL558" s="36"/>
      <c r="BM558" s="36"/>
      <c r="BN558" s="36"/>
      <c r="BO558" s="36"/>
      <c r="BP558" s="36"/>
      <c r="BQ558" s="36"/>
    </row>
    <row r="559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51"/>
      <c r="S559" s="51"/>
      <c r="T559" s="51"/>
      <c r="U559" s="51"/>
      <c r="V559" s="51"/>
      <c r="W559" s="51"/>
      <c r="X559" s="51"/>
      <c r="Y559" s="45"/>
      <c r="Z559" s="45"/>
      <c r="AA559" s="45"/>
      <c r="AB559" s="45"/>
      <c r="AC559" s="45"/>
      <c r="AD559" s="45"/>
      <c r="AE559" s="45"/>
      <c r="AF559" s="45"/>
      <c r="AG559" s="45"/>
      <c r="AH559" s="45"/>
      <c r="AI559" s="45"/>
      <c r="AJ559" s="45"/>
      <c r="AK559" s="45"/>
      <c r="AL559" s="45"/>
      <c r="AM559" s="45"/>
      <c r="AN559" s="45"/>
      <c r="AO559" s="45"/>
      <c r="AP559" s="45"/>
      <c r="AQ559" s="36"/>
      <c r="AR559" s="36"/>
      <c r="AS559" s="36"/>
      <c r="AT559" s="36"/>
      <c r="AU559" s="36"/>
      <c r="AV559" s="36"/>
      <c r="AW559" s="36"/>
      <c r="AX559" s="36"/>
      <c r="AY559" s="36"/>
      <c r="AZ559" s="36"/>
      <c r="BA559" s="36"/>
      <c r="BB559" s="36"/>
      <c r="BC559" s="36"/>
      <c r="BD559" s="36"/>
      <c r="BE559" s="36"/>
      <c r="BF559" s="36"/>
      <c r="BG559" s="36"/>
      <c r="BH559" s="36"/>
      <c r="BI559" s="36"/>
      <c r="BJ559" s="36"/>
      <c r="BK559" s="36"/>
      <c r="BL559" s="36"/>
      <c r="BM559" s="36"/>
      <c r="BN559" s="36"/>
      <c r="BO559" s="36"/>
      <c r="BP559" s="36"/>
      <c r="BQ559" s="36"/>
    </row>
    <row r="560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51"/>
      <c r="S560" s="51"/>
      <c r="T560" s="51"/>
      <c r="U560" s="51"/>
      <c r="V560" s="51"/>
      <c r="W560" s="51"/>
      <c r="X560" s="51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5"/>
      <c r="AM560" s="45"/>
      <c r="AN560" s="45"/>
      <c r="AO560" s="45"/>
      <c r="AP560" s="45"/>
      <c r="AQ560" s="36"/>
      <c r="AR560" s="36"/>
      <c r="AS560" s="36"/>
      <c r="AT560" s="36"/>
      <c r="AU560" s="36"/>
      <c r="AV560" s="36"/>
      <c r="AW560" s="36"/>
      <c r="AX560" s="36"/>
      <c r="AY560" s="36"/>
      <c r="AZ560" s="36"/>
      <c r="BA560" s="36"/>
      <c r="BB560" s="36"/>
      <c r="BC560" s="36"/>
      <c r="BD560" s="36"/>
      <c r="BE560" s="36"/>
      <c r="BF560" s="36"/>
      <c r="BG560" s="36"/>
      <c r="BH560" s="36"/>
      <c r="BI560" s="36"/>
      <c r="BJ560" s="36"/>
      <c r="BK560" s="36"/>
      <c r="BL560" s="36"/>
      <c r="BM560" s="36"/>
      <c r="BN560" s="36"/>
      <c r="BO560" s="36"/>
      <c r="BP560" s="36"/>
      <c r="BQ560" s="36"/>
    </row>
    <row r="56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51"/>
      <c r="S561" s="51"/>
      <c r="T561" s="51"/>
      <c r="U561" s="51"/>
      <c r="V561" s="51"/>
      <c r="W561" s="51"/>
      <c r="X561" s="51"/>
      <c r="Y561" s="45"/>
      <c r="Z561" s="45"/>
      <c r="AA561" s="45"/>
      <c r="AB561" s="45"/>
      <c r="AC561" s="45"/>
      <c r="AD561" s="45"/>
      <c r="AE561" s="45"/>
      <c r="AF561" s="45"/>
      <c r="AG561" s="45"/>
      <c r="AH561" s="45"/>
      <c r="AI561" s="45"/>
      <c r="AJ561" s="45"/>
      <c r="AK561" s="45"/>
      <c r="AL561" s="45"/>
      <c r="AM561" s="45"/>
      <c r="AN561" s="45"/>
      <c r="AO561" s="45"/>
      <c r="AP561" s="45"/>
      <c r="AQ561" s="36"/>
      <c r="AR561" s="36"/>
      <c r="AS561" s="36"/>
      <c r="AT561" s="36"/>
      <c r="AU561" s="36"/>
      <c r="AV561" s="36"/>
      <c r="AW561" s="36"/>
      <c r="AX561" s="36"/>
      <c r="AY561" s="36"/>
      <c r="AZ561" s="36"/>
      <c r="BA561" s="36"/>
      <c r="BB561" s="36"/>
      <c r="BC561" s="36"/>
      <c r="BD561" s="36"/>
      <c r="BE561" s="36"/>
      <c r="BF561" s="36"/>
      <c r="BG561" s="36"/>
      <c r="BH561" s="36"/>
      <c r="BI561" s="36"/>
      <c r="BJ561" s="36"/>
      <c r="BK561" s="36"/>
      <c r="BL561" s="36"/>
      <c r="BM561" s="36"/>
      <c r="BN561" s="36"/>
      <c r="BO561" s="36"/>
      <c r="BP561" s="36"/>
      <c r="BQ561" s="36"/>
    </row>
    <row r="56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51"/>
      <c r="S562" s="51"/>
      <c r="T562" s="51"/>
      <c r="U562" s="51"/>
      <c r="V562" s="51"/>
      <c r="W562" s="51"/>
      <c r="X562" s="51"/>
      <c r="Y562" s="45"/>
      <c r="Z562" s="45"/>
      <c r="AA562" s="45"/>
      <c r="AB562" s="45"/>
      <c r="AC562" s="45"/>
      <c r="AD562" s="45"/>
      <c r="AE562" s="45"/>
      <c r="AF562" s="45"/>
      <c r="AG562" s="45"/>
      <c r="AH562" s="45"/>
      <c r="AI562" s="45"/>
      <c r="AJ562" s="45"/>
      <c r="AK562" s="45"/>
      <c r="AL562" s="45"/>
      <c r="AM562" s="45"/>
      <c r="AN562" s="45"/>
      <c r="AO562" s="45"/>
      <c r="AP562" s="45"/>
      <c r="AQ562" s="36"/>
      <c r="AR562" s="36"/>
      <c r="AS562" s="36"/>
      <c r="AT562" s="36"/>
      <c r="AU562" s="36"/>
      <c r="AV562" s="36"/>
      <c r="AW562" s="36"/>
      <c r="AX562" s="36"/>
      <c r="AY562" s="36"/>
      <c r="AZ562" s="36"/>
      <c r="BA562" s="36"/>
      <c r="BB562" s="36"/>
      <c r="BC562" s="36"/>
      <c r="BD562" s="36"/>
      <c r="BE562" s="36"/>
      <c r="BF562" s="36"/>
      <c r="BG562" s="36"/>
      <c r="BH562" s="36"/>
      <c r="BI562" s="36"/>
      <c r="BJ562" s="36"/>
      <c r="BK562" s="36"/>
      <c r="BL562" s="36"/>
      <c r="BM562" s="36"/>
      <c r="BN562" s="36"/>
      <c r="BO562" s="36"/>
      <c r="BP562" s="36"/>
      <c r="BQ562" s="36"/>
    </row>
    <row r="563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51"/>
      <c r="S563" s="51"/>
      <c r="T563" s="51"/>
      <c r="U563" s="51"/>
      <c r="V563" s="51"/>
      <c r="W563" s="51"/>
      <c r="X563" s="51"/>
      <c r="Y563" s="45"/>
      <c r="Z563" s="45"/>
      <c r="AA563" s="45"/>
      <c r="AB563" s="45"/>
      <c r="AC563" s="45"/>
      <c r="AD563" s="45"/>
      <c r="AE563" s="45"/>
      <c r="AF563" s="45"/>
      <c r="AG563" s="45"/>
      <c r="AH563" s="45"/>
      <c r="AI563" s="45"/>
      <c r="AJ563" s="45"/>
      <c r="AK563" s="45"/>
      <c r="AL563" s="45"/>
      <c r="AM563" s="45"/>
      <c r="AN563" s="45"/>
      <c r="AO563" s="45"/>
      <c r="AP563" s="45"/>
      <c r="AQ563" s="36"/>
      <c r="AR563" s="36"/>
      <c r="AS563" s="36"/>
      <c r="AT563" s="36"/>
      <c r="AU563" s="36"/>
      <c r="AV563" s="36"/>
      <c r="AW563" s="36"/>
      <c r="AX563" s="36"/>
      <c r="AY563" s="36"/>
      <c r="AZ563" s="36"/>
      <c r="BA563" s="36"/>
      <c r="BB563" s="36"/>
      <c r="BC563" s="36"/>
      <c r="BD563" s="36"/>
      <c r="BE563" s="36"/>
      <c r="BF563" s="36"/>
      <c r="BG563" s="36"/>
      <c r="BH563" s="36"/>
      <c r="BI563" s="36"/>
      <c r="BJ563" s="36"/>
      <c r="BK563" s="36"/>
      <c r="BL563" s="36"/>
      <c r="BM563" s="36"/>
      <c r="BN563" s="36"/>
      <c r="BO563" s="36"/>
      <c r="BP563" s="36"/>
      <c r="BQ563" s="36"/>
    </row>
    <row r="564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51"/>
      <c r="S564" s="51"/>
      <c r="T564" s="51"/>
      <c r="U564" s="51"/>
      <c r="V564" s="51"/>
      <c r="W564" s="51"/>
      <c r="X564" s="51"/>
      <c r="Y564" s="45"/>
      <c r="Z564" s="45"/>
      <c r="AA564" s="45"/>
      <c r="AB564" s="45"/>
      <c r="AC564" s="45"/>
      <c r="AD564" s="45"/>
      <c r="AE564" s="45"/>
      <c r="AF564" s="45"/>
      <c r="AG564" s="45"/>
      <c r="AH564" s="45"/>
      <c r="AI564" s="45"/>
      <c r="AJ564" s="45"/>
      <c r="AK564" s="45"/>
      <c r="AL564" s="45"/>
      <c r="AM564" s="45"/>
      <c r="AN564" s="45"/>
      <c r="AO564" s="45"/>
      <c r="AP564" s="45"/>
      <c r="AQ564" s="36"/>
      <c r="AR564" s="36"/>
      <c r="AS564" s="36"/>
      <c r="AT564" s="36"/>
      <c r="AU564" s="36"/>
      <c r="AV564" s="36"/>
      <c r="AW564" s="36"/>
      <c r="AX564" s="36"/>
      <c r="AY564" s="36"/>
      <c r="AZ564" s="36"/>
      <c r="BA564" s="36"/>
      <c r="BB564" s="36"/>
      <c r="BC564" s="36"/>
      <c r="BD564" s="36"/>
      <c r="BE564" s="36"/>
      <c r="BF564" s="36"/>
      <c r="BG564" s="36"/>
      <c r="BH564" s="36"/>
      <c r="BI564" s="36"/>
      <c r="BJ564" s="36"/>
      <c r="BK564" s="36"/>
      <c r="BL564" s="36"/>
      <c r="BM564" s="36"/>
      <c r="BN564" s="36"/>
      <c r="BO564" s="36"/>
      <c r="BP564" s="36"/>
      <c r="BQ564" s="36"/>
    </row>
    <row r="56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51"/>
      <c r="S565" s="51"/>
      <c r="T565" s="51"/>
      <c r="U565" s="51"/>
      <c r="V565" s="51"/>
      <c r="W565" s="51"/>
      <c r="X565" s="51"/>
      <c r="Y565" s="45"/>
      <c r="Z565" s="45"/>
      <c r="AA565" s="45"/>
      <c r="AB565" s="45"/>
      <c r="AC565" s="45"/>
      <c r="AD565" s="45"/>
      <c r="AE565" s="45"/>
      <c r="AF565" s="45"/>
      <c r="AG565" s="45"/>
      <c r="AH565" s="45"/>
      <c r="AI565" s="45"/>
      <c r="AJ565" s="45"/>
      <c r="AK565" s="45"/>
      <c r="AL565" s="45"/>
      <c r="AM565" s="45"/>
      <c r="AN565" s="45"/>
      <c r="AO565" s="45"/>
      <c r="AP565" s="45"/>
      <c r="AQ565" s="36"/>
      <c r="AR565" s="36"/>
      <c r="AS565" s="36"/>
      <c r="AT565" s="36"/>
      <c r="AU565" s="36"/>
      <c r="AV565" s="36"/>
      <c r="AW565" s="36"/>
      <c r="AX565" s="36"/>
      <c r="AY565" s="36"/>
      <c r="AZ565" s="36"/>
      <c r="BA565" s="36"/>
      <c r="BB565" s="36"/>
      <c r="BC565" s="36"/>
      <c r="BD565" s="36"/>
      <c r="BE565" s="36"/>
      <c r="BF565" s="36"/>
      <c r="BG565" s="36"/>
      <c r="BH565" s="36"/>
      <c r="BI565" s="36"/>
      <c r="BJ565" s="36"/>
      <c r="BK565" s="36"/>
      <c r="BL565" s="36"/>
      <c r="BM565" s="36"/>
      <c r="BN565" s="36"/>
      <c r="BO565" s="36"/>
      <c r="BP565" s="36"/>
      <c r="BQ565" s="36"/>
    </row>
    <row r="566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51"/>
      <c r="S566" s="51"/>
      <c r="T566" s="51"/>
      <c r="U566" s="51"/>
      <c r="V566" s="51"/>
      <c r="W566" s="51"/>
      <c r="X566" s="51"/>
      <c r="Y566" s="45"/>
      <c r="Z566" s="45"/>
      <c r="AA566" s="45"/>
      <c r="AB566" s="45"/>
      <c r="AC566" s="45"/>
      <c r="AD566" s="45"/>
      <c r="AE566" s="45"/>
      <c r="AF566" s="45"/>
      <c r="AG566" s="45"/>
      <c r="AH566" s="45"/>
      <c r="AI566" s="45"/>
      <c r="AJ566" s="45"/>
      <c r="AK566" s="45"/>
      <c r="AL566" s="45"/>
      <c r="AM566" s="45"/>
      <c r="AN566" s="45"/>
      <c r="AO566" s="45"/>
      <c r="AP566" s="45"/>
      <c r="AQ566" s="36"/>
      <c r="AR566" s="36"/>
      <c r="AS566" s="36"/>
      <c r="AT566" s="36"/>
      <c r="AU566" s="36"/>
      <c r="AV566" s="36"/>
      <c r="AW566" s="36"/>
      <c r="AX566" s="36"/>
      <c r="AY566" s="36"/>
      <c r="AZ566" s="36"/>
      <c r="BA566" s="36"/>
      <c r="BB566" s="36"/>
      <c r="BC566" s="36"/>
      <c r="BD566" s="36"/>
      <c r="BE566" s="36"/>
      <c r="BF566" s="36"/>
      <c r="BG566" s="36"/>
      <c r="BH566" s="36"/>
      <c r="BI566" s="36"/>
      <c r="BJ566" s="36"/>
      <c r="BK566" s="36"/>
      <c r="BL566" s="36"/>
      <c r="BM566" s="36"/>
      <c r="BN566" s="36"/>
      <c r="BO566" s="36"/>
      <c r="BP566" s="36"/>
      <c r="BQ566" s="36"/>
    </row>
    <row r="567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51"/>
      <c r="S567" s="51"/>
      <c r="T567" s="51"/>
      <c r="U567" s="51"/>
      <c r="V567" s="51"/>
      <c r="W567" s="51"/>
      <c r="X567" s="51"/>
      <c r="Y567" s="45"/>
      <c r="Z567" s="45"/>
      <c r="AA567" s="45"/>
      <c r="AB567" s="45"/>
      <c r="AC567" s="45"/>
      <c r="AD567" s="45"/>
      <c r="AE567" s="45"/>
      <c r="AF567" s="45"/>
      <c r="AG567" s="45"/>
      <c r="AH567" s="45"/>
      <c r="AI567" s="45"/>
      <c r="AJ567" s="45"/>
      <c r="AK567" s="45"/>
      <c r="AL567" s="45"/>
      <c r="AM567" s="45"/>
      <c r="AN567" s="45"/>
      <c r="AO567" s="45"/>
      <c r="AP567" s="45"/>
      <c r="AQ567" s="36"/>
      <c r="AR567" s="36"/>
      <c r="AS567" s="36"/>
      <c r="AT567" s="36"/>
      <c r="AU567" s="36"/>
      <c r="AV567" s="36"/>
      <c r="AW567" s="36"/>
      <c r="AX567" s="36"/>
      <c r="AY567" s="36"/>
      <c r="AZ567" s="36"/>
      <c r="BA567" s="36"/>
      <c r="BB567" s="36"/>
      <c r="BC567" s="36"/>
      <c r="BD567" s="36"/>
      <c r="BE567" s="36"/>
      <c r="BF567" s="36"/>
      <c r="BG567" s="36"/>
      <c r="BH567" s="36"/>
      <c r="BI567" s="36"/>
      <c r="BJ567" s="36"/>
      <c r="BK567" s="36"/>
      <c r="BL567" s="36"/>
      <c r="BM567" s="36"/>
      <c r="BN567" s="36"/>
      <c r="BO567" s="36"/>
      <c r="BP567" s="36"/>
      <c r="BQ567" s="36"/>
    </row>
    <row r="568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51"/>
      <c r="S568" s="51"/>
      <c r="T568" s="51"/>
      <c r="U568" s="51"/>
      <c r="V568" s="51"/>
      <c r="W568" s="51"/>
      <c r="X568" s="51"/>
      <c r="Y568" s="45"/>
      <c r="Z568" s="45"/>
      <c r="AA568" s="45"/>
      <c r="AB568" s="45"/>
      <c r="AC568" s="45"/>
      <c r="AD568" s="45"/>
      <c r="AE568" s="45"/>
      <c r="AF568" s="45"/>
      <c r="AG568" s="45"/>
      <c r="AH568" s="45"/>
      <c r="AI568" s="45"/>
      <c r="AJ568" s="45"/>
      <c r="AK568" s="45"/>
      <c r="AL568" s="45"/>
      <c r="AM568" s="45"/>
      <c r="AN568" s="45"/>
      <c r="AO568" s="45"/>
      <c r="AP568" s="45"/>
      <c r="AQ568" s="36"/>
      <c r="AR568" s="36"/>
      <c r="AS568" s="36"/>
      <c r="AT568" s="36"/>
      <c r="AU568" s="36"/>
      <c r="AV568" s="36"/>
      <c r="AW568" s="36"/>
      <c r="AX568" s="36"/>
      <c r="AY568" s="36"/>
      <c r="AZ568" s="36"/>
      <c r="BA568" s="36"/>
      <c r="BB568" s="36"/>
      <c r="BC568" s="36"/>
      <c r="BD568" s="36"/>
      <c r="BE568" s="36"/>
      <c r="BF568" s="36"/>
      <c r="BG568" s="36"/>
      <c r="BH568" s="36"/>
      <c r="BI568" s="36"/>
      <c r="BJ568" s="36"/>
      <c r="BK568" s="36"/>
      <c r="BL568" s="36"/>
      <c r="BM568" s="36"/>
      <c r="BN568" s="36"/>
      <c r="BO568" s="36"/>
      <c r="BP568" s="36"/>
      <c r="BQ568" s="36"/>
    </row>
    <row r="569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51"/>
      <c r="S569" s="51"/>
      <c r="T569" s="51"/>
      <c r="U569" s="51"/>
      <c r="V569" s="51"/>
      <c r="W569" s="51"/>
      <c r="X569" s="51"/>
      <c r="Y569" s="45"/>
      <c r="Z569" s="45"/>
      <c r="AA569" s="45"/>
      <c r="AB569" s="45"/>
      <c r="AC569" s="45"/>
      <c r="AD569" s="45"/>
      <c r="AE569" s="45"/>
      <c r="AF569" s="45"/>
      <c r="AG569" s="45"/>
      <c r="AH569" s="45"/>
      <c r="AI569" s="45"/>
      <c r="AJ569" s="45"/>
      <c r="AK569" s="45"/>
      <c r="AL569" s="45"/>
      <c r="AM569" s="45"/>
      <c r="AN569" s="45"/>
      <c r="AO569" s="45"/>
      <c r="AP569" s="45"/>
      <c r="AQ569" s="36"/>
      <c r="AR569" s="36"/>
      <c r="AS569" s="36"/>
      <c r="AT569" s="36"/>
      <c r="AU569" s="36"/>
      <c r="AV569" s="36"/>
      <c r="AW569" s="36"/>
      <c r="AX569" s="36"/>
      <c r="AY569" s="36"/>
      <c r="AZ569" s="36"/>
      <c r="BA569" s="36"/>
      <c r="BB569" s="36"/>
      <c r="BC569" s="36"/>
      <c r="BD569" s="36"/>
      <c r="BE569" s="36"/>
      <c r="BF569" s="36"/>
      <c r="BG569" s="36"/>
      <c r="BH569" s="36"/>
      <c r="BI569" s="36"/>
      <c r="BJ569" s="36"/>
      <c r="BK569" s="36"/>
      <c r="BL569" s="36"/>
      <c r="BM569" s="36"/>
      <c r="BN569" s="36"/>
      <c r="BO569" s="36"/>
      <c r="BP569" s="36"/>
      <c r="BQ569" s="36"/>
    </row>
    <row r="570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51"/>
      <c r="S570" s="51"/>
      <c r="T570" s="51"/>
      <c r="U570" s="51"/>
      <c r="V570" s="51"/>
      <c r="W570" s="51"/>
      <c r="X570" s="51"/>
      <c r="Y570" s="45"/>
      <c r="Z570" s="45"/>
      <c r="AA570" s="45"/>
      <c r="AB570" s="45"/>
      <c r="AC570" s="45"/>
      <c r="AD570" s="45"/>
      <c r="AE570" s="45"/>
      <c r="AF570" s="45"/>
      <c r="AG570" s="45"/>
      <c r="AH570" s="45"/>
      <c r="AI570" s="45"/>
      <c r="AJ570" s="45"/>
      <c r="AK570" s="45"/>
      <c r="AL570" s="45"/>
      <c r="AM570" s="45"/>
      <c r="AN570" s="45"/>
      <c r="AO570" s="45"/>
      <c r="AP570" s="45"/>
      <c r="AQ570" s="36"/>
      <c r="AR570" s="36"/>
      <c r="AS570" s="36"/>
      <c r="AT570" s="36"/>
      <c r="AU570" s="36"/>
      <c r="AV570" s="36"/>
      <c r="AW570" s="36"/>
      <c r="AX570" s="36"/>
      <c r="AY570" s="36"/>
      <c r="AZ570" s="36"/>
      <c r="BA570" s="36"/>
      <c r="BB570" s="36"/>
      <c r="BC570" s="36"/>
      <c r="BD570" s="36"/>
      <c r="BE570" s="36"/>
      <c r="BF570" s="36"/>
      <c r="BG570" s="36"/>
      <c r="BH570" s="36"/>
      <c r="BI570" s="36"/>
      <c r="BJ570" s="36"/>
      <c r="BK570" s="36"/>
      <c r="BL570" s="36"/>
      <c r="BM570" s="36"/>
      <c r="BN570" s="36"/>
      <c r="BO570" s="36"/>
      <c r="BP570" s="36"/>
      <c r="BQ570" s="36"/>
    </row>
    <row r="57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51"/>
      <c r="S571" s="51"/>
      <c r="T571" s="51"/>
      <c r="U571" s="51"/>
      <c r="V571" s="51"/>
      <c r="W571" s="51"/>
      <c r="X571" s="51"/>
      <c r="Y571" s="45"/>
      <c r="Z571" s="45"/>
      <c r="AA571" s="45"/>
      <c r="AB571" s="45"/>
      <c r="AC571" s="45"/>
      <c r="AD571" s="45"/>
      <c r="AE571" s="45"/>
      <c r="AF571" s="45"/>
      <c r="AG571" s="45"/>
      <c r="AH571" s="45"/>
      <c r="AI571" s="45"/>
      <c r="AJ571" s="45"/>
      <c r="AK571" s="45"/>
      <c r="AL571" s="45"/>
      <c r="AM571" s="45"/>
      <c r="AN571" s="45"/>
      <c r="AO571" s="45"/>
      <c r="AP571" s="45"/>
      <c r="AQ571" s="36"/>
      <c r="AR571" s="36"/>
      <c r="AS571" s="36"/>
      <c r="AT571" s="36"/>
      <c r="AU571" s="36"/>
      <c r="AV571" s="36"/>
      <c r="AW571" s="36"/>
      <c r="AX571" s="36"/>
      <c r="AY571" s="36"/>
      <c r="AZ571" s="36"/>
      <c r="BA571" s="36"/>
      <c r="BB571" s="36"/>
      <c r="BC571" s="36"/>
      <c r="BD571" s="36"/>
      <c r="BE571" s="36"/>
      <c r="BF571" s="36"/>
      <c r="BG571" s="36"/>
      <c r="BH571" s="36"/>
      <c r="BI571" s="36"/>
      <c r="BJ571" s="36"/>
      <c r="BK571" s="36"/>
      <c r="BL571" s="36"/>
      <c r="BM571" s="36"/>
      <c r="BN571" s="36"/>
      <c r="BO571" s="36"/>
      <c r="BP571" s="36"/>
      <c r="BQ571" s="36"/>
    </row>
    <row r="57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51"/>
      <c r="S572" s="51"/>
      <c r="T572" s="51"/>
      <c r="U572" s="51"/>
      <c r="V572" s="51"/>
      <c r="W572" s="51"/>
      <c r="X572" s="51"/>
      <c r="Y572" s="45"/>
      <c r="Z572" s="45"/>
      <c r="AA572" s="45"/>
      <c r="AB572" s="45"/>
      <c r="AC572" s="45"/>
      <c r="AD572" s="45"/>
      <c r="AE572" s="45"/>
      <c r="AF572" s="45"/>
      <c r="AG572" s="45"/>
      <c r="AH572" s="45"/>
      <c r="AI572" s="45"/>
      <c r="AJ572" s="45"/>
      <c r="AK572" s="45"/>
      <c r="AL572" s="45"/>
      <c r="AM572" s="45"/>
      <c r="AN572" s="45"/>
      <c r="AO572" s="45"/>
      <c r="AP572" s="45"/>
      <c r="AQ572" s="36"/>
      <c r="AR572" s="36"/>
      <c r="AS572" s="36"/>
      <c r="AT572" s="36"/>
      <c r="AU572" s="36"/>
      <c r="AV572" s="36"/>
      <c r="AW572" s="36"/>
      <c r="AX572" s="36"/>
      <c r="AY572" s="36"/>
      <c r="AZ572" s="36"/>
      <c r="BA572" s="36"/>
      <c r="BB572" s="36"/>
      <c r="BC572" s="36"/>
      <c r="BD572" s="36"/>
      <c r="BE572" s="36"/>
      <c r="BF572" s="36"/>
      <c r="BG572" s="36"/>
      <c r="BH572" s="36"/>
      <c r="BI572" s="36"/>
      <c r="BJ572" s="36"/>
      <c r="BK572" s="36"/>
      <c r="BL572" s="36"/>
      <c r="BM572" s="36"/>
      <c r="BN572" s="36"/>
      <c r="BO572" s="36"/>
      <c r="BP572" s="36"/>
      <c r="BQ572" s="36"/>
    </row>
    <row r="573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51"/>
      <c r="S573" s="51"/>
      <c r="T573" s="51"/>
      <c r="U573" s="51"/>
      <c r="V573" s="51"/>
      <c r="W573" s="51"/>
      <c r="X573" s="51"/>
      <c r="Y573" s="45"/>
      <c r="Z573" s="45"/>
      <c r="AA573" s="45"/>
      <c r="AB573" s="45"/>
      <c r="AC573" s="45"/>
      <c r="AD573" s="45"/>
      <c r="AE573" s="45"/>
      <c r="AF573" s="45"/>
      <c r="AG573" s="45"/>
      <c r="AH573" s="45"/>
      <c r="AI573" s="45"/>
      <c r="AJ573" s="45"/>
      <c r="AK573" s="45"/>
      <c r="AL573" s="45"/>
      <c r="AM573" s="45"/>
      <c r="AN573" s="45"/>
      <c r="AO573" s="45"/>
      <c r="AP573" s="45"/>
      <c r="AQ573" s="36"/>
      <c r="AR573" s="36"/>
      <c r="AS573" s="36"/>
      <c r="AT573" s="36"/>
      <c r="AU573" s="36"/>
      <c r="AV573" s="36"/>
      <c r="AW573" s="36"/>
      <c r="AX573" s="36"/>
      <c r="AY573" s="36"/>
      <c r="AZ573" s="36"/>
      <c r="BA573" s="36"/>
      <c r="BB573" s="36"/>
      <c r="BC573" s="36"/>
      <c r="BD573" s="36"/>
      <c r="BE573" s="36"/>
      <c r="BF573" s="36"/>
      <c r="BG573" s="36"/>
      <c r="BH573" s="36"/>
      <c r="BI573" s="36"/>
      <c r="BJ573" s="36"/>
      <c r="BK573" s="36"/>
      <c r="BL573" s="36"/>
      <c r="BM573" s="36"/>
      <c r="BN573" s="36"/>
      <c r="BO573" s="36"/>
      <c r="BP573" s="36"/>
      <c r="BQ573" s="36"/>
    </row>
    <row r="574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51"/>
      <c r="S574" s="51"/>
      <c r="T574" s="51"/>
      <c r="U574" s="51"/>
      <c r="V574" s="51"/>
      <c r="W574" s="51"/>
      <c r="X574" s="51"/>
      <c r="Y574" s="45"/>
      <c r="Z574" s="45"/>
      <c r="AA574" s="45"/>
      <c r="AB574" s="45"/>
      <c r="AC574" s="45"/>
      <c r="AD574" s="45"/>
      <c r="AE574" s="45"/>
      <c r="AF574" s="45"/>
      <c r="AG574" s="45"/>
      <c r="AH574" s="45"/>
      <c r="AI574" s="45"/>
      <c r="AJ574" s="45"/>
      <c r="AK574" s="45"/>
      <c r="AL574" s="45"/>
      <c r="AM574" s="45"/>
      <c r="AN574" s="45"/>
      <c r="AO574" s="45"/>
      <c r="AP574" s="45"/>
      <c r="AQ574" s="36"/>
      <c r="AR574" s="36"/>
      <c r="AS574" s="36"/>
      <c r="AT574" s="36"/>
      <c r="AU574" s="36"/>
      <c r="AV574" s="36"/>
      <c r="AW574" s="36"/>
      <c r="AX574" s="36"/>
      <c r="AY574" s="36"/>
      <c r="AZ574" s="36"/>
      <c r="BA574" s="36"/>
      <c r="BB574" s="36"/>
      <c r="BC574" s="36"/>
      <c r="BD574" s="36"/>
      <c r="BE574" s="36"/>
      <c r="BF574" s="36"/>
      <c r="BG574" s="36"/>
      <c r="BH574" s="36"/>
      <c r="BI574" s="36"/>
      <c r="BJ574" s="36"/>
      <c r="BK574" s="36"/>
      <c r="BL574" s="36"/>
      <c r="BM574" s="36"/>
      <c r="BN574" s="36"/>
      <c r="BO574" s="36"/>
      <c r="BP574" s="36"/>
      <c r="BQ574" s="36"/>
    </row>
    <row r="5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51"/>
      <c r="S575" s="51"/>
      <c r="T575" s="51"/>
      <c r="U575" s="51"/>
      <c r="V575" s="51"/>
      <c r="W575" s="51"/>
      <c r="X575" s="51"/>
      <c r="Y575" s="45"/>
      <c r="Z575" s="45"/>
      <c r="AA575" s="45"/>
      <c r="AB575" s="45"/>
      <c r="AC575" s="45"/>
      <c r="AD575" s="45"/>
      <c r="AE575" s="45"/>
      <c r="AF575" s="45"/>
      <c r="AG575" s="45"/>
      <c r="AH575" s="45"/>
      <c r="AI575" s="45"/>
      <c r="AJ575" s="45"/>
      <c r="AK575" s="45"/>
      <c r="AL575" s="45"/>
      <c r="AM575" s="45"/>
      <c r="AN575" s="45"/>
      <c r="AO575" s="45"/>
      <c r="AP575" s="45"/>
      <c r="AQ575" s="36"/>
      <c r="AR575" s="36"/>
      <c r="AS575" s="36"/>
      <c r="AT575" s="36"/>
      <c r="AU575" s="36"/>
      <c r="AV575" s="36"/>
      <c r="AW575" s="36"/>
      <c r="AX575" s="36"/>
      <c r="AY575" s="36"/>
      <c r="AZ575" s="36"/>
      <c r="BA575" s="36"/>
      <c r="BB575" s="36"/>
      <c r="BC575" s="36"/>
      <c r="BD575" s="36"/>
      <c r="BE575" s="36"/>
      <c r="BF575" s="36"/>
      <c r="BG575" s="36"/>
      <c r="BH575" s="36"/>
      <c r="BI575" s="36"/>
      <c r="BJ575" s="36"/>
      <c r="BK575" s="36"/>
      <c r="BL575" s="36"/>
      <c r="BM575" s="36"/>
      <c r="BN575" s="36"/>
      <c r="BO575" s="36"/>
      <c r="BP575" s="36"/>
      <c r="BQ575" s="36"/>
    </row>
    <row r="576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51"/>
      <c r="S576" s="51"/>
      <c r="T576" s="51"/>
      <c r="U576" s="51"/>
      <c r="V576" s="51"/>
      <c r="W576" s="51"/>
      <c r="X576" s="51"/>
      <c r="Y576" s="45"/>
      <c r="Z576" s="45"/>
      <c r="AA576" s="45"/>
      <c r="AB576" s="45"/>
      <c r="AC576" s="45"/>
      <c r="AD576" s="45"/>
      <c r="AE576" s="45"/>
      <c r="AF576" s="45"/>
      <c r="AG576" s="45"/>
      <c r="AH576" s="45"/>
      <c r="AI576" s="45"/>
      <c r="AJ576" s="45"/>
      <c r="AK576" s="45"/>
      <c r="AL576" s="45"/>
      <c r="AM576" s="45"/>
      <c r="AN576" s="45"/>
      <c r="AO576" s="45"/>
      <c r="AP576" s="45"/>
      <c r="AQ576" s="36"/>
      <c r="AR576" s="36"/>
      <c r="AS576" s="36"/>
      <c r="AT576" s="36"/>
      <c r="AU576" s="36"/>
      <c r="AV576" s="36"/>
      <c r="AW576" s="36"/>
      <c r="AX576" s="36"/>
      <c r="AY576" s="36"/>
      <c r="AZ576" s="36"/>
      <c r="BA576" s="36"/>
      <c r="BB576" s="36"/>
      <c r="BC576" s="36"/>
      <c r="BD576" s="36"/>
      <c r="BE576" s="36"/>
      <c r="BF576" s="36"/>
      <c r="BG576" s="36"/>
      <c r="BH576" s="36"/>
      <c r="BI576" s="36"/>
      <c r="BJ576" s="36"/>
      <c r="BK576" s="36"/>
      <c r="BL576" s="36"/>
      <c r="BM576" s="36"/>
      <c r="BN576" s="36"/>
      <c r="BO576" s="36"/>
      <c r="BP576" s="36"/>
      <c r="BQ576" s="36"/>
    </row>
    <row r="577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51"/>
      <c r="S577" s="51"/>
      <c r="T577" s="51"/>
      <c r="U577" s="51"/>
      <c r="V577" s="51"/>
      <c r="W577" s="51"/>
      <c r="X577" s="51"/>
      <c r="Y577" s="45"/>
      <c r="Z577" s="45"/>
      <c r="AA577" s="45"/>
      <c r="AB577" s="45"/>
      <c r="AC577" s="45"/>
      <c r="AD577" s="45"/>
      <c r="AE577" s="45"/>
      <c r="AF577" s="45"/>
      <c r="AG577" s="45"/>
      <c r="AH577" s="45"/>
      <c r="AI577" s="45"/>
      <c r="AJ577" s="45"/>
      <c r="AK577" s="45"/>
      <c r="AL577" s="45"/>
      <c r="AM577" s="45"/>
      <c r="AN577" s="45"/>
      <c r="AO577" s="45"/>
      <c r="AP577" s="45"/>
      <c r="AQ577" s="36"/>
      <c r="AR577" s="36"/>
      <c r="AS577" s="36"/>
      <c r="AT577" s="36"/>
      <c r="AU577" s="36"/>
      <c r="AV577" s="36"/>
      <c r="AW577" s="36"/>
      <c r="AX577" s="36"/>
      <c r="AY577" s="36"/>
      <c r="AZ577" s="36"/>
      <c r="BA577" s="36"/>
      <c r="BB577" s="36"/>
      <c r="BC577" s="36"/>
      <c r="BD577" s="36"/>
      <c r="BE577" s="36"/>
      <c r="BF577" s="36"/>
      <c r="BG577" s="36"/>
      <c r="BH577" s="36"/>
      <c r="BI577" s="36"/>
      <c r="BJ577" s="36"/>
      <c r="BK577" s="36"/>
      <c r="BL577" s="36"/>
      <c r="BM577" s="36"/>
      <c r="BN577" s="36"/>
      <c r="BO577" s="36"/>
      <c r="BP577" s="36"/>
      <c r="BQ577" s="36"/>
    </row>
    <row r="578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51"/>
      <c r="S578" s="51"/>
      <c r="T578" s="51"/>
      <c r="U578" s="51"/>
      <c r="V578" s="51"/>
      <c r="W578" s="51"/>
      <c r="X578" s="51"/>
      <c r="Y578" s="45"/>
      <c r="Z578" s="45"/>
      <c r="AA578" s="45"/>
      <c r="AB578" s="45"/>
      <c r="AC578" s="45"/>
      <c r="AD578" s="45"/>
      <c r="AE578" s="45"/>
      <c r="AF578" s="45"/>
      <c r="AG578" s="45"/>
      <c r="AH578" s="45"/>
      <c r="AI578" s="45"/>
      <c r="AJ578" s="45"/>
      <c r="AK578" s="45"/>
      <c r="AL578" s="45"/>
      <c r="AM578" s="45"/>
      <c r="AN578" s="45"/>
      <c r="AO578" s="45"/>
      <c r="AP578" s="45"/>
      <c r="AQ578" s="36"/>
      <c r="AR578" s="36"/>
      <c r="AS578" s="36"/>
      <c r="AT578" s="36"/>
      <c r="AU578" s="36"/>
      <c r="AV578" s="36"/>
      <c r="AW578" s="36"/>
      <c r="AX578" s="36"/>
      <c r="AY578" s="36"/>
      <c r="AZ578" s="36"/>
      <c r="BA578" s="36"/>
      <c r="BB578" s="36"/>
      <c r="BC578" s="36"/>
      <c r="BD578" s="36"/>
      <c r="BE578" s="36"/>
      <c r="BF578" s="36"/>
      <c r="BG578" s="36"/>
      <c r="BH578" s="36"/>
      <c r="BI578" s="36"/>
      <c r="BJ578" s="36"/>
      <c r="BK578" s="36"/>
      <c r="BL578" s="36"/>
      <c r="BM578" s="36"/>
      <c r="BN578" s="36"/>
      <c r="BO578" s="36"/>
      <c r="BP578" s="36"/>
      <c r="BQ578" s="36"/>
    </row>
    <row r="579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51"/>
      <c r="S579" s="51"/>
      <c r="T579" s="51"/>
      <c r="U579" s="51"/>
      <c r="V579" s="51"/>
      <c r="W579" s="51"/>
      <c r="X579" s="51"/>
      <c r="Y579" s="45"/>
      <c r="Z579" s="45"/>
      <c r="AA579" s="45"/>
      <c r="AB579" s="45"/>
      <c r="AC579" s="45"/>
      <c r="AD579" s="45"/>
      <c r="AE579" s="45"/>
      <c r="AF579" s="45"/>
      <c r="AG579" s="45"/>
      <c r="AH579" s="45"/>
      <c r="AI579" s="45"/>
      <c r="AJ579" s="45"/>
      <c r="AK579" s="45"/>
      <c r="AL579" s="45"/>
      <c r="AM579" s="45"/>
      <c r="AN579" s="45"/>
      <c r="AO579" s="45"/>
      <c r="AP579" s="45"/>
      <c r="AQ579" s="36"/>
      <c r="AR579" s="36"/>
      <c r="AS579" s="36"/>
      <c r="AT579" s="36"/>
      <c r="AU579" s="36"/>
      <c r="AV579" s="36"/>
      <c r="AW579" s="36"/>
      <c r="AX579" s="36"/>
      <c r="AY579" s="36"/>
      <c r="AZ579" s="36"/>
      <c r="BA579" s="36"/>
      <c r="BB579" s="36"/>
      <c r="BC579" s="36"/>
      <c r="BD579" s="36"/>
      <c r="BE579" s="36"/>
      <c r="BF579" s="36"/>
      <c r="BG579" s="36"/>
      <c r="BH579" s="36"/>
      <c r="BI579" s="36"/>
      <c r="BJ579" s="36"/>
      <c r="BK579" s="36"/>
      <c r="BL579" s="36"/>
      <c r="BM579" s="36"/>
      <c r="BN579" s="36"/>
      <c r="BO579" s="36"/>
      <c r="BP579" s="36"/>
      <c r="BQ579" s="36"/>
    </row>
    <row r="580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51"/>
      <c r="S580" s="51"/>
      <c r="T580" s="51"/>
      <c r="U580" s="51"/>
      <c r="V580" s="51"/>
      <c r="W580" s="51"/>
      <c r="X580" s="51"/>
      <c r="Y580" s="45"/>
      <c r="Z580" s="45"/>
      <c r="AA580" s="45"/>
      <c r="AB580" s="45"/>
      <c r="AC580" s="45"/>
      <c r="AD580" s="45"/>
      <c r="AE580" s="45"/>
      <c r="AF580" s="45"/>
      <c r="AG580" s="45"/>
      <c r="AH580" s="45"/>
      <c r="AI580" s="45"/>
      <c r="AJ580" s="45"/>
      <c r="AK580" s="45"/>
      <c r="AL580" s="45"/>
      <c r="AM580" s="45"/>
      <c r="AN580" s="45"/>
      <c r="AO580" s="45"/>
      <c r="AP580" s="45"/>
      <c r="AQ580" s="36"/>
      <c r="AR580" s="36"/>
      <c r="AS580" s="36"/>
      <c r="AT580" s="36"/>
      <c r="AU580" s="36"/>
      <c r="AV580" s="36"/>
      <c r="AW580" s="36"/>
      <c r="AX580" s="36"/>
      <c r="AY580" s="36"/>
      <c r="AZ580" s="36"/>
      <c r="BA580" s="36"/>
      <c r="BB580" s="36"/>
      <c r="BC580" s="36"/>
      <c r="BD580" s="36"/>
      <c r="BE580" s="36"/>
      <c r="BF580" s="36"/>
      <c r="BG580" s="36"/>
      <c r="BH580" s="36"/>
      <c r="BI580" s="36"/>
      <c r="BJ580" s="36"/>
      <c r="BK580" s="36"/>
      <c r="BL580" s="36"/>
      <c r="BM580" s="36"/>
      <c r="BN580" s="36"/>
      <c r="BO580" s="36"/>
      <c r="BP580" s="36"/>
      <c r="BQ580" s="36"/>
    </row>
    <row r="58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51"/>
      <c r="S581" s="51"/>
      <c r="T581" s="51"/>
      <c r="U581" s="51"/>
      <c r="V581" s="51"/>
      <c r="W581" s="51"/>
      <c r="X581" s="51"/>
      <c r="Y581" s="45"/>
      <c r="Z581" s="45"/>
      <c r="AA581" s="45"/>
      <c r="AB581" s="45"/>
      <c r="AC581" s="45"/>
      <c r="AD581" s="45"/>
      <c r="AE581" s="45"/>
      <c r="AF581" s="45"/>
      <c r="AG581" s="45"/>
      <c r="AH581" s="45"/>
      <c r="AI581" s="45"/>
      <c r="AJ581" s="45"/>
      <c r="AK581" s="45"/>
      <c r="AL581" s="45"/>
      <c r="AM581" s="45"/>
      <c r="AN581" s="45"/>
      <c r="AO581" s="45"/>
      <c r="AP581" s="45"/>
      <c r="AQ581" s="36"/>
      <c r="AR581" s="36"/>
      <c r="AS581" s="36"/>
      <c r="AT581" s="36"/>
      <c r="AU581" s="36"/>
      <c r="AV581" s="36"/>
      <c r="AW581" s="36"/>
      <c r="AX581" s="36"/>
      <c r="AY581" s="36"/>
      <c r="AZ581" s="36"/>
      <c r="BA581" s="36"/>
      <c r="BB581" s="36"/>
      <c r="BC581" s="36"/>
      <c r="BD581" s="36"/>
      <c r="BE581" s="36"/>
      <c r="BF581" s="36"/>
      <c r="BG581" s="36"/>
      <c r="BH581" s="36"/>
      <c r="BI581" s="36"/>
      <c r="BJ581" s="36"/>
      <c r="BK581" s="36"/>
      <c r="BL581" s="36"/>
      <c r="BM581" s="36"/>
      <c r="BN581" s="36"/>
      <c r="BO581" s="36"/>
      <c r="BP581" s="36"/>
      <c r="BQ581" s="36"/>
    </row>
    <row r="58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51"/>
      <c r="S582" s="51"/>
      <c r="T582" s="51"/>
      <c r="U582" s="51"/>
      <c r="V582" s="51"/>
      <c r="W582" s="51"/>
      <c r="X582" s="51"/>
      <c r="Y582" s="45"/>
      <c r="Z582" s="45"/>
      <c r="AA582" s="45"/>
      <c r="AB582" s="45"/>
      <c r="AC582" s="45"/>
      <c r="AD582" s="45"/>
      <c r="AE582" s="45"/>
      <c r="AF582" s="45"/>
      <c r="AG582" s="45"/>
      <c r="AH582" s="45"/>
      <c r="AI582" s="45"/>
      <c r="AJ582" s="45"/>
      <c r="AK582" s="45"/>
      <c r="AL582" s="45"/>
      <c r="AM582" s="45"/>
      <c r="AN582" s="45"/>
      <c r="AO582" s="45"/>
      <c r="AP582" s="45"/>
      <c r="AQ582" s="36"/>
      <c r="AR582" s="36"/>
      <c r="AS582" s="36"/>
      <c r="AT582" s="36"/>
      <c r="AU582" s="36"/>
      <c r="AV582" s="36"/>
      <c r="AW582" s="36"/>
      <c r="AX582" s="36"/>
      <c r="AY582" s="36"/>
      <c r="AZ582" s="36"/>
      <c r="BA582" s="36"/>
      <c r="BB582" s="36"/>
      <c r="BC582" s="36"/>
      <c r="BD582" s="36"/>
      <c r="BE582" s="36"/>
      <c r="BF582" s="36"/>
      <c r="BG582" s="36"/>
      <c r="BH582" s="36"/>
      <c r="BI582" s="36"/>
      <c r="BJ582" s="36"/>
      <c r="BK582" s="36"/>
      <c r="BL582" s="36"/>
      <c r="BM582" s="36"/>
      <c r="BN582" s="36"/>
      <c r="BO582" s="36"/>
      <c r="BP582" s="36"/>
      <c r="BQ582" s="36"/>
    </row>
    <row r="583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51"/>
      <c r="S583" s="51"/>
      <c r="T583" s="51"/>
      <c r="U583" s="51"/>
      <c r="V583" s="51"/>
      <c r="W583" s="51"/>
      <c r="X583" s="51"/>
      <c r="Y583" s="45"/>
      <c r="Z583" s="45"/>
      <c r="AA583" s="45"/>
      <c r="AB583" s="45"/>
      <c r="AC583" s="45"/>
      <c r="AD583" s="45"/>
      <c r="AE583" s="45"/>
      <c r="AF583" s="45"/>
      <c r="AG583" s="45"/>
      <c r="AH583" s="45"/>
      <c r="AI583" s="45"/>
      <c r="AJ583" s="45"/>
      <c r="AK583" s="45"/>
      <c r="AL583" s="45"/>
      <c r="AM583" s="45"/>
      <c r="AN583" s="45"/>
      <c r="AO583" s="45"/>
      <c r="AP583" s="45"/>
      <c r="AQ583" s="36"/>
      <c r="AR583" s="36"/>
      <c r="AS583" s="36"/>
      <c r="AT583" s="36"/>
      <c r="AU583" s="36"/>
      <c r="AV583" s="36"/>
      <c r="AW583" s="36"/>
      <c r="AX583" s="36"/>
      <c r="AY583" s="36"/>
      <c r="AZ583" s="36"/>
      <c r="BA583" s="36"/>
      <c r="BB583" s="36"/>
      <c r="BC583" s="36"/>
      <c r="BD583" s="36"/>
      <c r="BE583" s="36"/>
      <c r="BF583" s="36"/>
      <c r="BG583" s="36"/>
      <c r="BH583" s="36"/>
      <c r="BI583" s="36"/>
      <c r="BJ583" s="36"/>
      <c r="BK583" s="36"/>
      <c r="BL583" s="36"/>
      <c r="BM583" s="36"/>
      <c r="BN583" s="36"/>
      <c r="BO583" s="36"/>
      <c r="BP583" s="36"/>
      <c r="BQ583" s="36"/>
    </row>
    <row r="584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51"/>
      <c r="S584" s="51"/>
      <c r="T584" s="51"/>
      <c r="U584" s="51"/>
      <c r="V584" s="51"/>
      <c r="W584" s="51"/>
      <c r="X584" s="51"/>
      <c r="Y584" s="45"/>
      <c r="Z584" s="45"/>
      <c r="AA584" s="45"/>
      <c r="AB584" s="45"/>
      <c r="AC584" s="45"/>
      <c r="AD584" s="45"/>
      <c r="AE584" s="45"/>
      <c r="AF584" s="45"/>
      <c r="AG584" s="45"/>
      <c r="AH584" s="45"/>
      <c r="AI584" s="45"/>
      <c r="AJ584" s="45"/>
      <c r="AK584" s="45"/>
      <c r="AL584" s="45"/>
      <c r="AM584" s="45"/>
      <c r="AN584" s="45"/>
      <c r="AO584" s="45"/>
      <c r="AP584" s="45"/>
      <c r="AQ584" s="36"/>
      <c r="AR584" s="36"/>
      <c r="AS584" s="36"/>
      <c r="AT584" s="36"/>
      <c r="AU584" s="36"/>
      <c r="AV584" s="36"/>
      <c r="AW584" s="36"/>
      <c r="AX584" s="36"/>
      <c r="AY584" s="36"/>
      <c r="AZ584" s="36"/>
      <c r="BA584" s="36"/>
      <c r="BB584" s="36"/>
      <c r="BC584" s="36"/>
      <c r="BD584" s="36"/>
      <c r="BE584" s="36"/>
      <c r="BF584" s="36"/>
      <c r="BG584" s="36"/>
      <c r="BH584" s="36"/>
      <c r="BI584" s="36"/>
      <c r="BJ584" s="36"/>
      <c r="BK584" s="36"/>
      <c r="BL584" s="36"/>
      <c r="BM584" s="36"/>
      <c r="BN584" s="36"/>
      <c r="BO584" s="36"/>
      <c r="BP584" s="36"/>
      <c r="BQ584" s="36"/>
    </row>
    <row r="58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51"/>
      <c r="S585" s="51"/>
      <c r="T585" s="51"/>
      <c r="U585" s="51"/>
      <c r="V585" s="51"/>
      <c r="W585" s="51"/>
      <c r="X585" s="51"/>
      <c r="Y585" s="45"/>
      <c r="Z585" s="45"/>
      <c r="AA585" s="45"/>
      <c r="AB585" s="45"/>
      <c r="AC585" s="45"/>
      <c r="AD585" s="45"/>
      <c r="AE585" s="45"/>
      <c r="AF585" s="45"/>
      <c r="AG585" s="45"/>
      <c r="AH585" s="45"/>
      <c r="AI585" s="45"/>
      <c r="AJ585" s="45"/>
      <c r="AK585" s="45"/>
      <c r="AL585" s="45"/>
      <c r="AM585" s="45"/>
      <c r="AN585" s="45"/>
      <c r="AO585" s="45"/>
      <c r="AP585" s="45"/>
      <c r="AQ585" s="36"/>
      <c r="AR585" s="36"/>
      <c r="AS585" s="36"/>
      <c r="AT585" s="36"/>
      <c r="AU585" s="36"/>
      <c r="AV585" s="36"/>
      <c r="AW585" s="36"/>
      <c r="AX585" s="36"/>
      <c r="AY585" s="36"/>
      <c r="AZ585" s="36"/>
      <c r="BA585" s="36"/>
      <c r="BB585" s="36"/>
      <c r="BC585" s="36"/>
      <c r="BD585" s="36"/>
      <c r="BE585" s="36"/>
      <c r="BF585" s="36"/>
      <c r="BG585" s="36"/>
      <c r="BH585" s="36"/>
      <c r="BI585" s="36"/>
      <c r="BJ585" s="36"/>
      <c r="BK585" s="36"/>
      <c r="BL585" s="36"/>
      <c r="BM585" s="36"/>
      <c r="BN585" s="36"/>
      <c r="BO585" s="36"/>
      <c r="BP585" s="36"/>
      <c r="BQ585" s="36"/>
    </row>
    <row r="586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51"/>
      <c r="S586" s="51"/>
      <c r="T586" s="51"/>
      <c r="U586" s="51"/>
      <c r="V586" s="51"/>
      <c r="W586" s="51"/>
      <c r="X586" s="51"/>
      <c r="Y586" s="45"/>
      <c r="Z586" s="45"/>
      <c r="AA586" s="45"/>
      <c r="AB586" s="45"/>
      <c r="AC586" s="45"/>
      <c r="AD586" s="45"/>
      <c r="AE586" s="45"/>
      <c r="AF586" s="45"/>
      <c r="AG586" s="45"/>
      <c r="AH586" s="45"/>
      <c r="AI586" s="45"/>
      <c r="AJ586" s="45"/>
      <c r="AK586" s="45"/>
      <c r="AL586" s="45"/>
      <c r="AM586" s="45"/>
      <c r="AN586" s="45"/>
      <c r="AO586" s="45"/>
      <c r="AP586" s="45"/>
      <c r="AQ586" s="36"/>
      <c r="AR586" s="36"/>
      <c r="AS586" s="36"/>
      <c r="AT586" s="36"/>
      <c r="AU586" s="36"/>
      <c r="AV586" s="36"/>
      <c r="AW586" s="36"/>
      <c r="AX586" s="36"/>
      <c r="AY586" s="36"/>
      <c r="AZ586" s="36"/>
      <c r="BA586" s="36"/>
      <c r="BB586" s="36"/>
      <c r="BC586" s="36"/>
      <c r="BD586" s="36"/>
      <c r="BE586" s="36"/>
      <c r="BF586" s="36"/>
      <c r="BG586" s="36"/>
      <c r="BH586" s="36"/>
      <c r="BI586" s="36"/>
      <c r="BJ586" s="36"/>
      <c r="BK586" s="36"/>
      <c r="BL586" s="36"/>
      <c r="BM586" s="36"/>
      <c r="BN586" s="36"/>
      <c r="BO586" s="36"/>
      <c r="BP586" s="36"/>
      <c r="BQ586" s="36"/>
    </row>
    <row r="587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51"/>
      <c r="S587" s="51"/>
      <c r="T587" s="51"/>
      <c r="U587" s="51"/>
      <c r="V587" s="51"/>
      <c r="W587" s="51"/>
      <c r="X587" s="51"/>
      <c r="Y587" s="45"/>
      <c r="Z587" s="45"/>
      <c r="AA587" s="45"/>
      <c r="AB587" s="45"/>
      <c r="AC587" s="45"/>
      <c r="AD587" s="45"/>
      <c r="AE587" s="45"/>
      <c r="AF587" s="45"/>
      <c r="AG587" s="45"/>
      <c r="AH587" s="45"/>
      <c r="AI587" s="45"/>
      <c r="AJ587" s="45"/>
      <c r="AK587" s="45"/>
      <c r="AL587" s="45"/>
      <c r="AM587" s="45"/>
      <c r="AN587" s="45"/>
      <c r="AO587" s="45"/>
      <c r="AP587" s="45"/>
      <c r="AQ587" s="36"/>
      <c r="AR587" s="36"/>
      <c r="AS587" s="36"/>
      <c r="AT587" s="36"/>
      <c r="AU587" s="36"/>
      <c r="AV587" s="36"/>
      <c r="AW587" s="36"/>
      <c r="AX587" s="36"/>
      <c r="AY587" s="36"/>
      <c r="AZ587" s="36"/>
      <c r="BA587" s="36"/>
      <c r="BB587" s="36"/>
      <c r="BC587" s="36"/>
      <c r="BD587" s="36"/>
      <c r="BE587" s="36"/>
      <c r="BF587" s="36"/>
      <c r="BG587" s="36"/>
      <c r="BH587" s="36"/>
      <c r="BI587" s="36"/>
      <c r="BJ587" s="36"/>
      <c r="BK587" s="36"/>
      <c r="BL587" s="36"/>
      <c r="BM587" s="36"/>
      <c r="BN587" s="36"/>
      <c r="BO587" s="36"/>
      <c r="BP587" s="36"/>
      <c r="BQ587" s="36"/>
    </row>
    <row r="588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51"/>
      <c r="S588" s="51"/>
      <c r="T588" s="51"/>
      <c r="U588" s="51"/>
      <c r="V588" s="51"/>
      <c r="W588" s="51"/>
      <c r="X588" s="51"/>
      <c r="Y588" s="45"/>
      <c r="Z588" s="45"/>
      <c r="AA588" s="45"/>
      <c r="AB588" s="45"/>
      <c r="AC588" s="45"/>
      <c r="AD588" s="45"/>
      <c r="AE588" s="45"/>
      <c r="AF588" s="45"/>
      <c r="AG588" s="45"/>
      <c r="AH588" s="45"/>
      <c r="AI588" s="45"/>
      <c r="AJ588" s="45"/>
      <c r="AK588" s="45"/>
      <c r="AL588" s="45"/>
      <c r="AM588" s="45"/>
      <c r="AN588" s="45"/>
      <c r="AO588" s="45"/>
      <c r="AP588" s="45"/>
      <c r="AQ588" s="36"/>
      <c r="AR588" s="36"/>
      <c r="AS588" s="36"/>
      <c r="AT588" s="36"/>
      <c r="AU588" s="36"/>
      <c r="AV588" s="36"/>
      <c r="AW588" s="36"/>
      <c r="AX588" s="36"/>
      <c r="AY588" s="36"/>
      <c r="AZ588" s="36"/>
      <c r="BA588" s="36"/>
      <c r="BB588" s="36"/>
      <c r="BC588" s="36"/>
      <c r="BD588" s="36"/>
      <c r="BE588" s="36"/>
      <c r="BF588" s="36"/>
      <c r="BG588" s="36"/>
      <c r="BH588" s="36"/>
      <c r="BI588" s="36"/>
      <c r="BJ588" s="36"/>
      <c r="BK588" s="36"/>
      <c r="BL588" s="36"/>
      <c r="BM588" s="36"/>
      <c r="BN588" s="36"/>
      <c r="BO588" s="36"/>
      <c r="BP588" s="36"/>
      <c r="BQ588" s="36"/>
    </row>
    <row r="589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51"/>
      <c r="S589" s="51"/>
      <c r="T589" s="51"/>
      <c r="U589" s="51"/>
      <c r="V589" s="51"/>
      <c r="W589" s="51"/>
      <c r="X589" s="51"/>
      <c r="Y589" s="45"/>
      <c r="Z589" s="45"/>
      <c r="AA589" s="45"/>
      <c r="AB589" s="45"/>
      <c r="AC589" s="45"/>
      <c r="AD589" s="45"/>
      <c r="AE589" s="45"/>
      <c r="AF589" s="45"/>
      <c r="AG589" s="45"/>
      <c r="AH589" s="45"/>
      <c r="AI589" s="45"/>
      <c r="AJ589" s="45"/>
      <c r="AK589" s="45"/>
      <c r="AL589" s="45"/>
      <c r="AM589" s="45"/>
      <c r="AN589" s="45"/>
      <c r="AO589" s="45"/>
      <c r="AP589" s="45"/>
      <c r="AQ589" s="36"/>
      <c r="AR589" s="36"/>
      <c r="AS589" s="36"/>
      <c r="AT589" s="36"/>
      <c r="AU589" s="36"/>
      <c r="AV589" s="36"/>
      <c r="AW589" s="36"/>
      <c r="AX589" s="36"/>
      <c r="AY589" s="36"/>
      <c r="AZ589" s="36"/>
      <c r="BA589" s="36"/>
      <c r="BB589" s="36"/>
      <c r="BC589" s="36"/>
      <c r="BD589" s="36"/>
      <c r="BE589" s="36"/>
      <c r="BF589" s="36"/>
      <c r="BG589" s="36"/>
      <c r="BH589" s="36"/>
      <c r="BI589" s="36"/>
      <c r="BJ589" s="36"/>
      <c r="BK589" s="36"/>
      <c r="BL589" s="36"/>
      <c r="BM589" s="36"/>
      <c r="BN589" s="36"/>
      <c r="BO589" s="36"/>
      <c r="BP589" s="36"/>
      <c r="BQ589" s="36"/>
    </row>
    <row r="590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51"/>
      <c r="S590" s="51"/>
      <c r="T590" s="51"/>
      <c r="U590" s="51"/>
      <c r="V590" s="51"/>
      <c r="W590" s="51"/>
      <c r="X590" s="51"/>
      <c r="Y590" s="45"/>
      <c r="Z590" s="45"/>
      <c r="AA590" s="45"/>
      <c r="AB590" s="45"/>
      <c r="AC590" s="45"/>
      <c r="AD590" s="45"/>
      <c r="AE590" s="45"/>
      <c r="AF590" s="45"/>
      <c r="AG590" s="45"/>
      <c r="AH590" s="45"/>
      <c r="AI590" s="45"/>
      <c r="AJ590" s="45"/>
      <c r="AK590" s="45"/>
      <c r="AL590" s="45"/>
      <c r="AM590" s="45"/>
      <c r="AN590" s="45"/>
      <c r="AO590" s="45"/>
      <c r="AP590" s="45"/>
      <c r="AQ590" s="36"/>
      <c r="AR590" s="36"/>
      <c r="AS590" s="36"/>
      <c r="AT590" s="36"/>
      <c r="AU590" s="36"/>
      <c r="AV590" s="36"/>
      <c r="AW590" s="36"/>
      <c r="AX590" s="36"/>
      <c r="AY590" s="36"/>
      <c r="AZ590" s="36"/>
      <c r="BA590" s="36"/>
      <c r="BB590" s="36"/>
      <c r="BC590" s="36"/>
      <c r="BD590" s="36"/>
      <c r="BE590" s="36"/>
      <c r="BF590" s="36"/>
      <c r="BG590" s="36"/>
      <c r="BH590" s="36"/>
      <c r="BI590" s="36"/>
      <c r="BJ590" s="36"/>
      <c r="BK590" s="36"/>
      <c r="BL590" s="36"/>
      <c r="BM590" s="36"/>
      <c r="BN590" s="36"/>
      <c r="BO590" s="36"/>
      <c r="BP590" s="36"/>
      <c r="BQ590" s="36"/>
    </row>
    <row r="59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51"/>
      <c r="S591" s="51"/>
      <c r="T591" s="51"/>
      <c r="U591" s="51"/>
      <c r="V591" s="51"/>
      <c r="W591" s="51"/>
      <c r="X591" s="51"/>
      <c r="Y591" s="45"/>
      <c r="Z591" s="45"/>
      <c r="AA591" s="45"/>
      <c r="AB591" s="45"/>
      <c r="AC591" s="45"/>
      <c r="AD591" s="45"/>
      <c r="AE591" s="45"/>
      <c r="AF591" s="45"/>
      <c r="AG591" s="45"/>
      <c r="AH591" s="45"/>
      <c r="AI591" s="45"/>
      <c r="AJ591" s="45"/>
      <c r="AK591" s="45"/>
      <c r="AL591" s="45"/>
      <c r="AM591" s="45"/>
      <c r="AN591" s="45"/>
      <c r="AO591" s="45"/>
      <c r="AP591" s="45"/>
      <c r="AQ591" s="36"/>
      <c r="AR591" s="36"/>
      <c r="AS591" s="36"/>
      <c r="AT591" s="36"/>
      <c r="AU591" s="36"/>
      <c r="AV591" s="36"/>
      <c r="AW591" s="36"/>
      <c r="AX591" s="36"/>
      <c r="AY591" s="36"/>
      <c r="AZ591" s="36"/>
      <c r="BA591" s="36"/>
      <c r="BB591" s="36"/>
      <c r="BC591" s="36"/>
      <c r="BD591" s="36"/>
      <c r="BE591" s="36"/>
      <c r="BF591" s="36"/>
      <c r="BG591" s="36"/>
      <c r="BH591" s="36"/>
      <c r="BI591" s="36"/>
      <c r="BJ591" s="36"/>
      <c r="BK591" s="36"/>
      <c r="BL591" s="36"/>
      <c r="BM591" s="36"/>
      <c r="BN591" s="36"/>
      <c r="BO591" s="36"/>
      <c r="BP591" s="36"/>
      <c r="BQ591" s="36"/>
    </row>
    <row r="59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51"/>
      <c r="S592" s="51"/>
      <c r="T592" s="51"/>
      <c r="U592" s="51"/>
      <c r="V592" s="51"/>
      <c r="W592" s="51"/>
      <c r="X592" s="51"/>
      <c r="Y592" s="45"/>
      <c r="Z592" s="45"/>
      <c r="AA592" s="45"/>
      <c r="AB592" s="45"/>
      <c r="AC592" s="45"/>
      <c r="AD592" s="45"/>
      <c r="AE592" s="45"/>
      <c r="AF592" s="45"/>
      <c r="AG592" s="45"/>
      <c r="AH592" s="45"/>
      <c r="AI592" s="45"/>
      <c r="AJ592" s="45"/>
      <c r="AK592" s="45"/>
      <c r="AL592" s="45"/>
      <c r="AM592" s="45"/>
      <c r="AN592" s="45"/>
      <c r="AO592" s="45"/>
      <c r="AP592" s="45"/>
      <c r="AQ592" s="36"/>
      <c r="AR592" s="36"/>
      <c r="AS592" s="36"/>
      <c r="AT592" s="36"/>
      <c r="AU592" s="36"/>
      <c r="AV592" s="36"/>
      <c r="AW592" s="36"/>
      <c r="AX592" s="36"/>
      <c r="AY592" s="36"/>
      <c r="AZ592" s="36"/>
      <c r="BA592" s="36"/>
      <c r="BB592" s="36"/>
      <c r="BC592" s="36"/>
      <c r="BD592" s="36"/>
      <c r="BE592" s="36"/>
      <c r="BF592" s="36"/>
      <c r="BG592" s="36"/>
      <c r="BH592" s="36"/>
      <c r="BI592" s="36"/>
      <c r="BJ592" s="36"/>
      <c r="BK592" s="36"/>
      <c r="BL592" s="36"/>
      <c r="BM592" s="36"/>
      <c r="BN592" s="36"/>
      <c r="BO592" s="36"/>
      <c r="BP592" s="36"/>
      <c r="BQ592" s="36"/>
    </row>
    <row r="593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51"/>
      <c r="S593" s="51"/>
      <c r="T593" s="51"/>
      <c r="U593" s="51"/>
      <c r="V593" s="51"/>
      <c r="W593" s="51"/>
      <c r="X593" s="51"/>
      <c r="Y593" s="45"/>
      <c r="Z593" s="45"/>
      <c r="AA593" s="45"/>
      <c r="AB593" s="45"/>
      <c r="AC593" s="45"/>
      <c r="AD593" s="45"/>
      <c r="AE593" s="45"/>
      <c r="AF593" s="45"/>
      <c r="AG593" s="45"/>
      <c r="AH593" s="45"/>
      <c r="AI593" s="45"/>
      <c r="AJ593" s="45"/>
      <c r="AK593" s="45"/>
      <c r="AL593" s="45"/>
      <c r="AM593" s="45"/>
      <c r="AN593" s="45"/>
      <c r="AO593" s="45"/>
      <c r="AP593" s="45"/>
      <c r="AQ593" s="36"/>
      <c r="AR593" s="36"/>
      <c r="AS593" s="36"/>
      <c r="AT593" s="36"/>
      <c r="AU593" s="36"/>
      <c r="AV593" s="36"/>
      <c r="AW593" s="36"/>
      <c r="AX593" s="36"/>
      <c r="AY593" s="36"/>
      <c r="AZ593" s="36"/>
      <c r="BA593" s="36"/>
      <c r="BB593" s="36"/>
      <c r="BC593" s="36"/>
      <c r="BD593" s="36"/>
      <c r="BE593" s="36"/>
      <c r="BF593" s="36"/>
      <c r="BG593" s="36"/>
      <c r="BH593" s="36"/>
      <c r="BI593" s="36"/>
      <c r="BJ593" s="36"/>
      <c r="BK593" s="36"/>
      <c r="BL593" s="36"/>
      <c r="BM593" s="36"/>
      <c r="BN593" s="36"/>
      <c r="BO593" s="36"/>
      <c r="BP593" s="36"/>
      <c r="BQ593" s="36"/>
    </row>
    <row r="594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51"/>
      <c r="S594" s="51"/>
      <c r="T594" s="51"/>
      <c r="U594" s="51"/>
      <c r="V594" s="51"/>
      <c r="W594" s="51"/>
      <c r="X594" s="51"/>
      <c r="Y594" s="45"/>
      <c r="Z594" s="45"/>
      <c r="AA594" s="45"/>
      <c r="AB594" s="45"/>
      <c r="AC594" s="45"/>
      <c r="AD594" s="45"/>
      <c r="AE594" s="45"/>
      <c r="AF594" s="45"/>
      <c r="AG594" s="45"/>
      <c r="AH594" s="45"/>
      <c r="AI594" s="45"/>
      <c r="AJ594" s="45"/>
      <c r="AK594" s="45"/>
      <c r="AL594" s="45"/>
      <c r="AM594" s="45"/>
      <c r="AN594" s="45"/>
      <c r="AO594" s="45"/>
      <c r="AP594" s="45"/>
      <c r="AQ594" s="36"/>
      <c r="AR594" s="36"/>
      <c r="AS594" s="36"/>
      <c r="AT594" s="36"/>
      <c r="AU594" s="36"/>
      <c r="AV594" s="36"/>
      <c r="AW594" s="36"/>
      <c r="AX594" s="36"/>
      <c r="AY594" s="36"/>
      <c r="AZ594" s="36"/>
      <c r="BA594" s="36"/>
      <c r="BB594" s="36"/>
      <c r="BC594" s="36"/>
      <c r="BD594" s="36"/>
      <c r="BE594" s="36"/>
      <c r="BF594" s="36"/>
      <c r="BG594" s="36"/>
      <c r="BH594" s="36"/>
      <c r="BI594" s="36"/>
      <c r="BJ594" s="36"/>
      <c r="BK594" s="36"/>
      <c r="BL594" s="36"/>
      <c r="BM594" s="36"/>
      <c r="BN594" s="36"/>
      <c r="BO594" s="36"/>
      <c r="BP594" s="36"/>
      <c r="BQ594" s="36"/>
    </row>
    <row r="59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51"/>
      <c r="S595" s="51"/>
      <c r="T595" s="51"/>
      <c r="U595" s="51"/>
      <c r="V595" s="51"/>
      <c r="W595" s="51"/>
      <c r="X595" s="51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5"/>
      <c r="AM595" s="45"/>
      <c r="AN595" s="45"/>
      <c r="AO595" s="45"/>
      <c r="AP595" s="45"/>
      <c r="AQ595" s="36"/>
      <c r="AR595" s="36"/>
      <c r="AS595" s="36"/>
      <c r="AT595" s="36"/>
      <c r="AU595" s="36"/>
      <c r="AV595" s="36"/>
      <c r="AW595" s="36"/>
      <c r="AX595" s="36"/>
      <c r="AY595" s="36"/>
      <c r="AZ595" s="36"/>
      <c r="BA595" s="36"/>
      <c r="BB595" s="36"/>
      <c r="BC595" s="36"/>
      <c r="BD595" s="36"/>
      <c r="BE595" s="36"/>
      <c r="BF595" s="36"/>
      <c r="BG595" s="36"/>
      <c r="BH595" s="36"/>
      <c r="BI595" s="36"/>
      <c r="BJ595" s="36"/>
      <c r="BK595" s="36"/>
      <c r="BL595" s="36"/>
      <c r="BM595" s="36"/>
      <c r="BN595" s="36"/>
      <c r="BO595" s="36"/>
      <c r="BP595" s="36"/>
      <c r="BQ595" s="36"/>
    </row>
    <row r="596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51"/>
      <c r="S596" s="51"/>
      <c r="T596" s="51"/>
      <c r="U596" s="51"/>
      <c r="V596" s="51"/>
      <c r="W596" s="51"/>
      <c r="X596" s="51"/>
      <c r="Y596" s="45"/>
      <c r="Z596" s="45"/>
      <c r="AA596" s="45"/>
      <c r="AB596" s="45"/>
      <c r="AC596" s="45"/>
      <c r="AD596" s="45"/>
      <c r="AE596" s="45"/>
      <c r="AF596" s="45"/>
      <c r="AG596" s="45"/>
      <c r="AH596" s="45"/>
      <c r="AI596" s="45"/>
      <c r="AJ596" s="45"/>
      <c r="AK596" s="45"/>
      <c r="AL596" s="45"/>
      <c r="AM596" s="45"/>
      <c r="AN596" s="45"/>
      <c r="AO596" s="45"/>
      <c r="AP596" s="45"/>
      <c r="AQ596" s="36"/>
      <c r="AR596" s="36"/>
      <c r="AS596" s="36"/>
      <c r="AT596" s="36"/>
      <c r="AU596" s="36"/>
      <c r="AV596" s="36"/>
      <c r="AW596" s="36"/>
      <c r="AX596" s="36"/>
      <c r="AY596" s="36"/>
      <c r="AZ596" s="36"/>
      <c r="BA596" s="36"/>
      <c r="BB596" s="36"/>
      <c r="BC596" s="36"/>
      <c r="BD596" s="36"/>
      <c r="BE596" s="36"/>
      <c r="BF596" s="36"/>
      <c r="BG596" s="36"/>
      <c r="BH596" s="36"/>
      <c r="BI596" s="36"/>
      <c r="BJ596" s="36"/>
      <c r="BK596" s="36"/>
      <c r="BL596" s="36"/>
      <c r="BM596" s="36"/>
      <c r="BN596" s="36"/>
      <c r="BO596" s="36"/>
      <c r="BP596" s="36"/>
      <c r="BQ596" s="36"/>
    </row>
    <row r="597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51"/>
      <c r="S597" s="51"/>
      <c r="T597" s="51"/>
      <c r="U597" s="51"/>
      <c r="V597" s="51"/>
      <c r="W597" s="51"/>
      <c r="X597" s="51"/>
      <c r="Y597" s="45"/>
      <c r="Z597" s="45"/>
      <c r="AA597" s="45"/>
      <c r="AB597" s="45"/>
      <c r="AC597" s="45"/>
      <c r="AD597" s="45"/>
      <c r="AE597" s="45"/>
      <c r="AF597" s="45"/>
      <c r="AG597" s="45"/>
      <c r="AH597" s="45"/>
      <c r="AI597" s="45"/>
      <c r="AJ597" s="45"/>
      <c r="AK597" s="45"/>
      <c r="AL597" s="45"/>
      <c r="AM597" s="45"/>
      <c r="AN597" s="45"/>
      <c r="AO597" s="45"/>
      <c r="AP597" s="45"/>
      <c r="AQ597" s="36"/>
      <c r="AR597" s="36"/>
      <c r="AS597" s="36"/>
      <c r="AT597" s="36"/>
      <c r="AU597" s="36"/>
      <c r="AV597" s="36"/>
      <c r="AW597" s="36"/>
      <c r="AX597" s="36"/>
      <c r="AY597" s="36"/>
      <c r="AZ597" s="36"/>
      <c r="BA597" s="36"/>
      <c r="BB597" s="36"/>
      <c r="BC597" s="36"/>
      <c r="BD597" s="36"/>
      <c r="BE597" s="36"/>
      <c r="BF597" s="36"/>
      <c r="BG597" s="36"/>
      <c r="BH597" s="36"/>
      <c r="BI597" s="36"/>
      <c r="BJ597" s="36"/>
      <c r="BK597" s="36"/>
      <c r="BL597" s="36"/>
      <c r="BM597" s="36"/>
      <c r="BN597" s="36"/>
      <c r="BO597" s="36"/>
      <c r="BP597" s="36"/>
      <c r="BQ597" s="36"/>
    </row>
    <row r="598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51"/>
      <c r="S598" s="51"/>
      <c r="T598" s="51"/>
      <c r="U598" s="51"/>
      <c r="V598" s="51"/>
      <c r="W598" s="51"/>
      <c r="X598" s="51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5"/>
      <c r="AM598" s="45"/>
      <c r="AN598" s="45"/>
      <c r="AO598" s="45"/>
      <c r="AP598" s="45"/>
      <c r="AQ598" s="36"/>
      <c r="AR598" s="36"/>
      <c r="AS598" s="36"/>
      <c r="AT598" s="36"/>
      <c r="AU598" s="36"/>
      <c r="AV598" s="36"/>
      <c r="AW598" s="36"/>
      <c r="AX598" s="36"/>
      <c r="AY598" s="36"/>
      <c r="AZ598" s="36"/>
      <c r="BA598" s="36"/>
      <c r="BB598" s="36"/>
      <c r="BC598" s="36"/>
      <c r="BD598" s="36"/>
      <c r="BE598" s="36"/>
      <c r="BF598" s="36"/>
      <c r="BG598" s="36"/>
      <c r="BH598" s="36"/>
      <c r="BI598" s="36"/>
      <c r="BJ598" s="36"/>
      <c r="BK598" s="36"/>
      <c r="BL598" s="36"/>
      <c r="BM598" s="36"/>
      <c r="BN598" s="36"/>
      <c r="BO598" s="36"/>
      <c r="BP598" s="36"/>
      <c r="BQ598" s="36"/>
    </row>
    <row r="599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51"/>
      <c r="S599" s="51"/>
      <c r="T599" s="51"/>
      <c r="U599" s="51"/>
      <c r="V599" s="51"/>
      <c r="W599" s="51"/>
      <c r="X599" s="51"/>
      <c r="Y599" s="45"/>
      <c r="Z599" s="45"/>
      <c r="AA599" s="45"/>
      <c r="AB599" s="45"/>
      <c r="AC599" s="45"/>
      <c r="AD599" s="45"/>
      <c r="AE599" s="45"/>
      <c r="AF599" s="45"/>
      <c r="AG599" s="45"/>
      <c r="AH599" s="45"/>
      <c r="AI599" s="45"/>
      <c r="AJ599" s="45"/>
      <c r="AK599" s="45"/>
      <c r="AL599" s="45"/>
      <c r="AM599" s="45"/>
      <c r="AN599" s="45"/>
      <c r="AO599" s="45"/>
      <c r="AP599" s="45"/>
      <c r="AQ599" s="36"/>
      <c r="AR599" s="36"/>
      <c r="AS599" s="36"/>
      <c r="AT599" s="36"/>
      <c r="AU599" s="36"/>
      <c r="AV599" s="36"/>
      <c r="AW599" s="36"/>
      <c r="AX599" s="36"/>
      <c r="AY599" s="36"/>
      <c r="AZ599" s="36"/>
      <c r="BA599" s="36"/>
      <c r="BB599" s="36"/>
      <c r="BC599" s="36"/>
      <c r="BD599" s="36"/>
      <c r="BE599" s="36"/>
      <c r="BF599" s="36"/>
      <c r="BG599" s="36"/>
      <c r="BH599" s="36"/>
      <c r="BI599" s="36"/>
      <c r="BJ599" s="36"/>
      <c r="BK599" s="36"/>
      <c r="BL599" s="36"/>
      <c r="BM599" s="36"/>
      <c r="BN599" s="36"/>
      <c r="BO599" s="36"/>
      <c r="BP599" s="36"/>
      <c r="BQ599" s="36"/>
    </row>
    <row r="600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51"/>
      <c r="S600" s="51"/>
      <c r="T600" s="51"/>
      <c r="U600" s="51"/>
      <c r="V600" s="51"/>
      <c r="W600" s="51"/>
      <c r="X600" s="51"/>
      <c r="Y600" s="45"/>
      <c r="Z600" s="45"/>
      <c r="AA600" s="45"/>
      <c r="AB600" s="45"/>
      <c r="AC600" s="45"/>
      <c r="AD600" s="45"/>
      <c r="AE600" s="45"/>
      <c r="AF600" s="45"/>
      <c r="AG600" s="45"/>
      <c r="AH600" s="45"/>
      <c r="AI600" s="45"/>
      <c r="AJ600" s="45"/>
      <c r="AK600" s="45"/>
      <c r="AL600" s="45"/>
      <c r="AM600" s="45"/>
      <c r="AN600" s="45"/>
      <c r="AO600" s="45"/>
      <c r="AP600" s="45"/>
      <c r="AQ600" s="36"/>
      <c r="AR600" s="36"/>
      <c r="AS600" s="36"/>
      <c r="AT600" s="36"/>
      <c r="AU600" s="36"/>
      <c r="AV600" s="36"/>
      <c r="AW600" s="36"/>
      <c r="AX600" s="36"/>
      <c r="AY600" s="36"/>
      <c r="AZ600" s="36"/>
      <c r="BA600" s="36"/>
      <c r="BB600" s="36"/>
      <c r="BC600" s="36"/>
      <c r="BD600" s="36"/>
      <c r="BE600" s="36"/>
      <c r="BF600" s="36"/>
      <c r="BG600" s="36"/>
      <c r="BH600" s="36"/>
      <c r="BI600" s="36"/>
      <c r="BJ600" s="36"/>
      <c r="BK600" s="36"/>
      <c r="BL600" s="36"/>
      <c r="BM600" s="36"/>
      <c r="BN600" s="36"/>
      <c r="BO600" s="36"/>
      <c r="BP600" s="36"/>
      <c r="BQ600" s="36"/>
    </row>
    <row r="60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51"/>
      <c r="S601" s="51"/>
      <c r="T601" s="51"/>
      <c r="U601" s="51"/>
      <c r="V601" s="51"/>
      <c r="W601" s="51"/>
      <c r="X601" s="51"/>
      <c r="Y601" s="45"/>
      <c r="Z601" s="45"/>
      <c r="AA601" s="45"/>
      <c r="AB601" s="45"/>
      <c r="AC601" s="45"/>
      <c r="AD601" s="45"/>
      <c r="AE601" s="45"/>
      <c r="AF601" s="45"/>
      <c r="AG601" s="45"/>
      <c r="AH601" s="45"/>
      <c r="AI601" s="45"/>
      <c r="AJ601" s="45"/>
      <c r="AK601" s="45"/>
      <c r="AL601" s="45"/>
      <c r="AM601" s="45"/>
      <c r="AN601" s="45"/>
      <c r="AO601" s="45"/>
      <c r="AP601" s="45"/>
      <c r="AQ601" s="36"/>
      <c r="AR601" s="36"/>
      <c r="AS601" s="36"/>
      <c r="AT601" s="36"/>
      <c r="AU601" s="36"/>
      <c r="AV601" s="36"/>
      <c r="AW601" s="36"/>
      <c r="AX601" s="36"/>
      <c r="AY601" s="36"/>
      <c r="AZ601" s="36"/>
      <c r="BA601" s="36"/>
      <c r="BB601" s="36"/>
      <c r="BC601" s="36"/>
      <c r="BD601" s="36"/>
      <c r="BE601" s="36"/>
      <c r="BF601" s="36"/>
      <c r="BG601" s="36"/>
      <c r="BH601" s="36"/>
      <c r="BI601" s="36"/>
      <c r="BJ601" s="36"/>
      <c r="BK601" s="36"/>
      <c r="BL601" s="36"/>
      <c r="BM601" s="36"/>
      <c r="BN601" s="36"/>
      <c r="BO601" s="36"/>
      <c r="BP601" s="36"/>
      <c r="BQ601" s="36"/>
    </row>
    <row r="60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51"/>
      <c r="S602" s="51"/>
      <c r="T602" s="51"/>
      <c r="U602" s="51"/>
      <c r="V602" s="51"/>
      <c r="W602" s="51"/>
      <c r="X602" s="51"/>
      <c r="Y602" s="45"/>
      <c r="Z602" s="45"/>
      <c r="AA602" s="45"/>
      <c r="AB602" s="45"/>
      <c r="AC602" s="45"/>
      <c r="AD602" s="45"/>
      <c r="AE602" s="45"/>
      <c r="AF602" s="45"/>
      <c r="AG602" s="45"/>
      <c r="AH602" s="45"/>
      <c r="AI602" s="45"/>
      <c r="AJ602" s="45"/>
      <c r="AK602" s="45"/>
      <c r="AL602" s="45"/>
      <c r="AM602" s="45"/>
      <c r="AN602" s="45"/>
      <c r="AO602" s="45"/>
      <c r="AP602" s="45"/>
      <c r="AQ602" s="36"/>
      <c r="AR602" s="36"/>
      <c r="AS602" s="36"/>
      <c r="AT602" s="36"/>
      <c r="AU602" s="36"/>
      <c r="AV602" s="36"/>
      <c r="AW602" s="36"/>
      <c r="AX602" s="36"/>
      <c r="AY602" s="36"/>
      <c r="AZ602" s="36"/>
      <c r="BA602" s="36"/>
      <c r="BB602" s="36"/>
      <c r="BC602" s="36"/>
      <c r="BD602" s="36"/>
      <c r="BE602" s="36"/>
      <c r="BF602" s="36"/>
      <c r="BG602" s="36"/>
      <c r="BH602" s="36"/>
      <c r="BI602" s="36"/>
      <c r="BJ602" s="36"/>
      <c r="BK602" s="36"/>
      <c r="BL602" s="36"/>
      <c r="BM602" s="36"/>
      <c r="BN602" s="36"/>
      <c r="BO602" s="36"/>
      <c r="BP602" s="36"/>
      <c r="BQ602" s="36"/>
    </row>
    <row r="603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51"/>
      <c r="S603" s="51"/>
      <c r="T603" s="51"/>
      <c r="U603" s="51"/>
      <c r="V603" s="51"/>
      <c r="W603" s="51"/>
      <c r="X603" s="51"/>
      <c r="Y603" s="45"/>
      <c r="Z603" s="45"/>
      <c r="AA603" s="45"/>
      <c r="AB603" s="45"/>
      <c r="AC603" s="45"/>
      <c r="AD603" s="45"/>
      <c r="AE603" s="45"/>
      <c r="AF603" s="45"/>
      <c r="AG603" s="45"/>
      <c r="AH603" s="45"/>
      <c r="AI603" s="45"/>
      <c r="AJ603" s="45"/>
      <c r="AK603" s="45"/>
      <c r="AL603" s="45"/>
      <c r="AM603" s="45"/>
      <c r="AN603" s="45"/>
      <c r="AO603" s="45"/>
      <c r="AP603" s="45"/>
      <c r="AQ603" s="36"/>
      <c r="AR603" s="36"/>
      <c r="AS603" s="36"/>
      <c r="AT603" s="36"/>
      <c r="AU603" s="36"/>
      <c r="AV603" s="36"/>
      <c r="AW603" s="36"/>
      <c r="AX603" s="36"/>
      <c r="AY603" s="36"/>
      <c r="AZ603" s="36"/>
      <c r="BA603" s="36"/>
      <c r="BB603" s="36"/>
      <c r="BC603" s="36"/>
      <c r="BD603" s="36"/>
      <c r="BE603" s="36"/>
      <c r="BF603" s="36"/>
      <c r="BG603" s="36"/>
      <c r="BH603" s="36"/>
      <c r="BI603" s="36"/>
      <c r="BJ603" s="36"/>
      <c r="BK603" s="36"/>
      <c r="BL603" s="36"/>
      <c r="BM603" s="36"/>
      <c r="BN603" s="36"/>
      <c r="BO603" s="36"/>
      <c r="BP603" s="36"/>
      <c r="BQ603" s="36"/>
    </row>
    <row r="604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51"/>
      <c r="S604" s="51"/>
      <c r="T604" s="51"/>
      <c r="U604" s="51"/>
      <c r="V604" s="51"/>
      <c r="W604" s="51"/>
      <c r="X604" s="51"/>
      <c r="Y604" s="45"/>
      <c r="Z604" s="45"/>
      <c r="AA604" s="45"/>
      <c r="AB604" s="45"/>
      <c r="AC604" s="45"/>
      <c r="AD604" s="45"/>
      <c r="AE604" s="45"/>
      <c r="AF604" s="45"/>
      <c r="AG604" s="45"/>
      <c r="AH604" s="45"/>
      <c r="AI604" s="45"/>
      <c r="AJ604" s="45"/>
      <c r="AK604" s="45"/>
      <c r="AL604" s="45"/>
      <c r="AM604" s="45"/>
      <c r="AN604" s="45"/>
      <c r="AO604" s="45"/>
      <c r="AP604" s="45"/>
      <c r="AQ604" s="36"/>
      <c r="AR604" s="36"/>
      <c r="AS604" s="36"/>
      <c r="AT604" s="36"/>
      <c r="AU604" s="36"/>
      <c r="AV604" s="36"/>
      <c r="AW604" s="36"/>
      <c r="AX604" s="36"/>
      <c r="AY604" s="36"/>
      <c r="AZ604" s="36"/>
      <c r="BA604" s="36"/>
      <c r="BB604" s="36"/>
      <c r="BC604" s="36"/>
      <c r="BD604" s="36"/>
      <c r="BE604" s="36"/>
      <c r="BF604" s="36"/>
      <c r="BG604" s="36"/>
      <c r="BH604" s="36"/>
      <c r="BI604" s="36"/>
      <c r="BJ604" s="36"/>
      <c r="BK604" s="36"/>
      <c r="BL604" s="36"/>
      <c r="BM604" s="36"/>
      <c r="BN604" s="36"/>
      <c r="BO604" s="36"/>
      <c r="BP604" s="36"/>
      <c r="BQ604" s="36"/>
    </row>
    <row r="60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51"/>
      <c r="S605" s="51"/>
      <c r="T605" s="51"/>
      <c r="U605" s="51"/>
      <c r="V605" s="51"/>
      <c r="W605" s="51"/>
      <c r="X605" s="51"/>
      <c r="Y605" s="45"/>
      <c r="Z605" s="45"/>
      <c r="AA605" s="45"/>
      <c r="AB605" s="45"/>
      <c r="AC605" s="45"/>
      <c r="AD605" s="45"/>
      <c r="AE605" s="45"/>
      <c r="AF605" s="45"/>
      <c r="AG605" s="45"/>
      <c r="AH605" s="45"/>
      <c r="AI605" s="45"/>
      <c r="AJ605" s="45"/>
      <c r="AK605" s="45"/>
      <c r="AL605" s="45"/>
      <c r="AM605" s="45"/>
      <c r="AN605" s="45"/>
      <c r="AO605" s="45"/>
      <c r="AP605" s="45"/>
      <c r="AQ605" s="36"/>
      <c r="AR605" s="36"/>
      <c r="AS605" s="36"/>
      <c r="AT605" s="36"/>
      <c r="AU605" s="36"/>
      <c r="AV605" s="36"/>
      <c r="AW605" s="36"/>
      <c r="AX605" s="36"/>
      <c r="AY605" s="36"/>
      <c r="AZ605" s="36"/>
      <c r="BA605" s="36"/>
      <c r="BB605" s="36"/>
      <c r="BC605" s="36"/>
      <c r="BD605" s="36"/>
      <c r="BE605" s="36"/>
      <c r="BF605" s="36"/>
      <c r="BG605" s="36"/>
      <c r="BH605" s="36"/>
      <c r="BI605" s="36"/>
      <c r="BJ605" s="36"/>
      <c r="BK605" s="36"/>
      <c r="BL605" s="36"/>
      <c r="BM605" s="36"/>
      <c r="BN605" s="36"/>
      <c r="BO605" s="36"/>
      <c r="BP605" s="36"/>
      <c r="BQ605" s="36"/>
    </row>
    <row r="606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51"/>
      <c r="S606" s="51"/>
      <c r="T606" s="51"/>
      <c r="U606" s="51"/>
      <c r="V606" s="51"/>
      <c r="W606" s="51"/>
      <c r="X606" s="51"/>
      <c r="Y606" s="45"/>
      <c r="Z606" s="45"/>
      <c r="AA606" s="45"/>
      <c r="AB606" s="45"/>
      <c r="AC606" s="45"/>
      <c r="AD606" s="45"/>
      <c r="AE606" s="45"/>
      <c r="AF606" s="45"/>
      <c r="AG606" s="45"/>
      <c r="AH606" s="45"/>
      <c r="AI606" s="45"/>
      <c r="AJ606" s="45"/>
      <c r="AK606" s="45"/>
      <c r="AL606" s="45"/>
      <c r="AM606" s="45"/>
      <c r="AN606" s="45"/>
      <c r="AO606" s="45"/>
      <c r="AP606" s="45"/>
      <c r="AQ606" s="36"/>
      <c r="AR606" s="36"/>
      <c r="AS606" s="36"/>
      <c r="AT606" s="36"/>
      <c r="AU606" s="36"/>
      <c r="AV606" s="36"/>
      <c r="AW606" s="36"/>
      <c r="AX606" s="36"/>
      <c r="AY606" s="36"/>
      <c r="AZ606" s="36"/>
      <c r="BA606" s="36"/>
      <c r="BB606" s="36"/>
      <c r="BC606" s="36"/>
      <c r="BD606" s="36"/>
      <c r="BE606" s="36"/>
      <c r="BF606" s="36"/>
      <c r="BG606" s="36"/>
      <c r="BH606" s="36"/>
      <c r="BI606" s="36"/>
      <c r="BJ606" s="36"/>
      <c r="BK606" s="36"/>
      <c r="BL606" s="36"/>
      <c r="BM606" s="36"/>
      <c r="BN606" s="36"/>
      <c r="BO606" s="36"/>
      <c r="BP606" s="36"/>
      <c r="BQ606" s="36"/>
    </row>
    <row r="607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51"/>
      <c r="S607" s="51"/>
      <c r="T607" s="51"/>
      <c r="U607" s="51"/>
      <c r="V607" s="51"/>
      <c r="W607" s="51"/>
      <c r="X607" s="51"/>
      <c r="Y607" s="45"/>
      <c r="Z607" s="45"/>
      <c r="AA607" s="45"/>
      <c r="AB607" s="45"/>
      <c r="AC607" s="45"/>
      <c r="AD607" s="45"/>
      <c r="AE607" s="45"/>
      <c r="AF607" s="45"/>
      <c r="AG607" s="45"/>
      <c r="AH607" s="45"/>
      <c r="AI607" s="45"/>
      <c r="AJ607" s="45"/>
      <c r="AK607" s="45"/>
      <c r="AL607" s="45"/>
      <c r="AM607" s="45"/>
      <c r="AN607" s="45"/>
      <c r="AO607" s="45"/>
      <c r="AP607" s="45"/>
      <c r="AQ607" s="36"/>
      <c r="AR607" s="36"/>
      <c r="AS607" s="36"/>
      <c r="AT607" s="36"/>
      <c r="AU607" s="36"/>
      <c r="AV607" s="36"/>
      <c r="AW607" s="36"/>
      <c r="AX607" s="36"/>
      <c r="AY607" s="36"/>
      <c r="AZ607" s="36"/>
      <c r="BA607" s="36"/>
      <c r="BB607" s="36"/>
      <c r="BC607" s="36"/>
      <c r="BD607" s="36"/>
      <c r="BE607" s="36"/>
      <c r="BF607" s="36"/>
      <c r="BG607" s="36"/>
      <c r="BH607" s="36"/>
      <c r="BI607" s="36"/>
      <c r="BJ607" s="36"/>
      <c r="BK607" s="36"/>
      <c r="BL607" s="36"/>
      <c r="BM607" s="36"/>
      <c r="BN607" s="36"/>
      <c r="BO607" s="36"/>
      <c r="BP607" s="36"/>
      <c r="BQ607" s="36"/>
    </row>
    <row r="608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51"/>
      <c r="S608" s="51"/>
      <c r="T608" s="51"/>
      <c r="U608" s="51"/>
      <c r="V608" s="51"/>
      <c r="W608" s="51"/>
      <c r="X608" s="51"/>
      <c r="Y608" s="45"/>
      <c r="Z608" s="45"/>
      <c r="AA608" s="45"/>
      <c r="AB608" s="45"/>
      <c r="AC608" s="45"/>
      <c r="AD608" s="45"/>
      <c r="AE608" s="45"/>
      <c r="AF608" s="45"/>
      <c r="AG608" s="45"/>
      <c r="AH608" s="45"/>
      <c r="AI608" s="45"/>
      <c r="AJ608" s="45"/>
      <c r="AK608" s="45"/>
      <c r="AL608" s="45"/>
      <c r="AM608" s="45"/>
      <c r="AN608" s="45"/>
      <c r="AO608" s="45"/>
      <c r="AP608" s="45"/>
      <c r="AQ608" s="36"/>
      <c r="AR608" s="36"/>
      <c r="AS608" s="36"/>
      <c r="AT608" s="36"/>
      <c r="AU608" s="36"/>
      <c r="AV608" s="36"/>
      <c r="AW608" s="36"/>
      <c r="AX608" s="36"/>
      <c r="AY608" s="36"/>
      <c r="AZ608" s="36"/>
      <c r="BA608" s="36"/>
      <c r="BB608" s="36"/>
      <c r="BC608" s="36"/>
      <c r="BD608" s="36"/>
      <c r="BE608" s="36"/>
      <c r="BF608" s="36"/>
      <c r="BG608" s="36"/>
      <c r="BH608" s="36"/>
      <c r="BI608" s="36"/>
      <c r="BJ608" s="36"/>
      <c r="BK608" s="36"/>
      <c r="BL608" s="36"/>
      <c r="BM608" s="36"/>
      <c r="BN608" s="36"/>
      <c r="BO608" s="36"/>
      <c r="BP608" s="36"/>
      <c r="BQ608" s="36"/>
    </row>
    <row r="609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51"/>
      <c r="S609" s="51"/>
      <c r="T609" s="51"/>
      <c r="U609" s="51"/>
      <c r="V609" s="51"/>
      <c r="W609" s="51"/>
      <c r="X609" s="51"/>
      <c r="Y609" s="45"/>
      <c r="Z609" s="45"/>
      <c r="AA609" s="45"/>
      <c r="AB609" s="45"/>
      <c r="AC609" s="45"/>
      <c r="AD609" s="45"/>
      <c r="AE609" s="45"/>
      <c r="AF609" s="45"/>
      <c r="AG609" s="45"/>
      <c r="AH609" s="45"/>
      <c r="AI609" s="45"/>
      <c r="AJ609" s="45"/>
      <c r="AK609" s="45"/>
      <c r="AL609" s="45"/>
      <c r="AM609" s="45"/>
      <c r="AN609" s="45"/>
      <c r="AO609" s="45"/>
      <c r="AP609" s="45"/>
      <c r="AQ609" s="36"/>
      <c r="AR609" s="36"/>
      <c r="AS609" s="36"/>
      <c r="AT609" s="36"/>
      <c r="AU609" s="36"/>
      <c r="AV609" s="36"/>
      <c r="AW609" s="36"/>
      <c r="AX609" s="36"/>
      <c r="AY609" s="36"/>
      <c r="AZ609" s="36"/>
      <c r="BA609" s="36"/>
      <c r="BB609" s="36"/>
      <c r="BC609" s="36"/>
      <c r="BD609" s="36"/>
      <c r="BE609" s="36"/>
      <c r="BF609" s="36"/>
      <c r="BG609" s="36"/>
      <c r="BH609" s="36"/>
      <c r="BI609" s="36"/>
      <c r="BJ609" s="36"/>
      <c r="BK609" s="36"/>
      <c r="BL609" s="36"/>
      <c r="BM609" s="36"/>
      <c r="BN609" s="36"/>
      <c r="BO609" s="36"/>
      <c r="BP609" s="36"/>
      <c r="BQ609" s="36"/>
    </row>
    <row r="610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51"/>
      <c r="S610" s="51"/>
      <c r="T610" s="51"/>
      <c r="U610" s="51"/>
      <c r="V610" s="51"/>
      <c r="W610" s="51"/>
      <c r="X610" s="51"/>
      <c r="Y610" s="45"/>
      <c r="Z610" s="45"/>
      <c r="AA610" s="45"/>
      <c r="AB610" s="45"/>
      <c r="AC610" s="45"/>
      <c r="AD610" s="45"/>
      <c r="AE610" s="45"/>
      <c r="AF610" s="45"/>
      <c r="AG610" s="45"/>
      <c r="AH610" s="45"/>
      <c r="AI610" s="45"/>
      <c r="AJ610" s="45"/>
      <c r="AK610" s="45"/>
      <c r="AL610" s="45"/>
      <c r="AM610" s="45"/>
      <c r="AN610" s="45"/>
      <c r="AO610" s="45"/>
      <c r="AP610" s="45"/>
      <c r="AQ610" s="36"/>
      <c r="AR610" s="36"/>
      <c r="AS610" s="36"/>
      <c r="AT610" s="36"/>
      <c r="AU610" s="36"/>
      <c r="AV610" s="36"/>
      <c r="AW610" s="36"/>
      <c r="AX610" s="36"/>
      <c r="AY610" s="36"/>
      <c r="AZ610" s="36"/>
      <c r="BA610" s="36"/>
      <c r="BB610" s="36"/>
      <c r="BC610" s="36"/>
      <c r="BD610" s="36"/>
      <c r="BE610" s="36"/>
      <c r="BF610" s="36"/>
      <c r="BG610" s="36"/>
      <c r="BH610" s="36"/>
      <c r="BI610" s="36"/>
      <c r="BJ610" s="36"/>
      <c r="BK610" s="36"/>
      <c r="BL610" s="36"/>
      <c r="BM610" s="36"/>
      <c r="BN610" s="36"/>
      <c r="BO610" s="36"/>
      <c r="BP610" s="36"/>
      <c r="BQ610" s="36"/>
    </row>
    <row r="61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51"/>
      <c r="S611" s="51"/>
      <c r="T611" s="51"/>
      <c r="U611" s="51"/>
      <c r="V611" s="51"/>
      <c r="W611" s="51"/>
      <c r="X611" s="51"/>
      <c r="Y611" s="45"/>
      <c r="Z611" s="45"/>
      <c r="AA611" s="45"/>
      <c r="AB611" s="45"/>
      <c r="AC611" s="45"/>
      <c r="AD611" s="45"/>
      <c r="AE611" s="45"/>
      <c r="AF611" s="45"/>
      <c r="AG611" s="45"/>
      <c r="AH611" s="45"/>
      <c r="AI611" s="45"/>
      <c r="AJ611" s="45"/>
      <c r="AK611" s="45"/>
      <c r="AL611" s="45"/>
      <c r="AM611" s="45"/>
      <c r="AN611" s="45"/>
      <c r="AO611" s="45"/>
      <c r="AP611" s="45"/>
      <c r="AQ611" s="36"/>
      <c r="AR611" s="36"/>
      <c r="AS611" s="36"/>
      <c r="AT611" s="36"/>
      <c r="AU611" s="36"/>
      <c r="AV611" s="36"/>
      <c r="AW611" s="36"/>
      <c r="AX611" s="36"/>
      <c r="AY611" s="36"/>
      <c r="AZ611" s="36"/>
      <c r="BA611" s="36"/>
      <c r="BB611" s="36"/>
      <c r="BC611" s="36"/>
      <c r="BD611" s="36"/>
      <c r="BE611" s="36"/>
      <c r="BF611" s="36"/>
      <c r="BG611" s="36"/>
      <c r="BH611" s="36"/>
      <c r="BI611" s="36"/>
      <c r="BJ611" s="36"/>
      <c r="BK611" s="36"/>
      <c r="BL611" s="36"/>
      <c r="BM611" s="36"/>
      <c r="BN611" s="36"/>
      <c r="BO611" s="36"/>
      <c r="BP611" s="36"/>
      <c r="BQ611" s="36"/>
    </row>
    <row r="61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51"/>
      <c r="S612" s="51"/>
      <c r="T612" s="51"/>
      <c r="U612" s="51"/>
      <c r="V612" s="51"/>
      <c r="W612" s="51"/>
      <c r="X612" s="51"/>
      <c r="Y612" s="45"/>
      <c r="Z612" s="45"/>
      <c r="AA612" s="45"/>
      <c r="AB612" s="45"/>
      <c r="AC612" s="45"/>
      <c r="AD612" s="45"/>
      <c r="AE612" s="45"/>
      <c r="AF612" s="45"/>
      <c r="AG612" s="45"/>
      <c r="AH612" s="45"/>
      <c r="AI612" s="45"/>
      <c r="AJ612" s="45"/>
      <c r="AK612" s="45"/>
      <c r="AL612" s="45"/>
      <c r="AM612" s="45"/>
      <c r="AN612" s="45"/>
      <c r="AO612" s="45"/>
      <c r="AP612" s="45"/>
      <c r="AQ612" s="36"/>
      <c r="AR612" s="36"/>
      <c r="AS612" s="36"/>
      <c r="AT612" s="36"/>
      <c r="AU612" s="36"/>
      <c r="AV612" s="36"/>
      <c r="AW612" s="36"/>
      <c r="AX612" s="36"/>
      <c r="AY612" s="36"/>
      <c r="AZ612" s="36"/>
      <c r="BA612" s="36"/>
      <c r="BB612" s="36"/>
      <c r="BC612" s="36"/>
      <c r="BD612" s="36"/>
      <c r="BE612" s="36"/>
      <c r="BF612" s="36"/>
      <c r="BG612" s="36"/>
      <c r="BH612" s="36"/>
      <c r="BI612" s="36"/>
      <c r="BJ612" s="36"/>
      <c r="BK612" s="36"/>
      <c r="BL612" s="36"/>
      <c r="BM612" s="36"/>
      <c r="BN612" s="36"/>
      <c r="BO612" s="36"/>
      <c r="BP612" s="36"/>
      <c r="BQ612" s="36"/>
    </row>
    <row r="613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51"/>
      <c r="S613" s="51"/>
      <c r="T613" s="51"/>
      <c r="U613" s="51"/>
      <c r="V613" s="51"/>
      <c r="W613" s="51"/>
      <c r="X613" s="51"/>
      <c r="Y613" s="45"/>
      <c r="Z613" s="45"/>
      <c r="AA613" s="45"/>
      <c r="AB613" s="45"/>
      <c r="AC613" s="45"/>
      <c r="AD613" s="45"/>
      <c r="AE613" s="45"/>
      <c r="AF613" s="45"/>
      <c r="AG613" s="45"/>
      <c r="AH613" s="45"/>
      <c r="AI613" s="45"/>
      <c r="AJ613" s="45"/>
      <c r="AK613" s="45"/>
      <c r="AL613" s="45"/>
      <c r="AM613" s="45"/>
      <c r="AN613" s="45"/>
      <c r="AO613" s="45"/>
      <c r="AP613" s="45"/>
      <c r="AQ613" s="36"/>
      <c r="AR613" s="36"/>
      <c r="AS613" s="36"/>
      <c r="AT613" s="36"/>
      <c r="AU613" s="36"/>
      <c r="AV613" s="36"/>
      <c r="AW613" s="36"/>
      <c r="AX613" s="36"/>
      <c r="AY613" s="36"/>
      <c r="AZ613" s="36"/>
      <c r="BA613" s="36"/>
      <c r="BB613" s="36"/>
      <c r="BC613" s="36"/>
      <c r="BD613" s="36"/>
      <c r="BE613" s="36"/>
      <c r="BF613" s="36"/>
      <c r="BG613" s="36"/>
      <c r="BH613" s="36"/>
      <c r="BI613" s="36"/>
      <c r="BJ613" s="36"/>
      <c r="BK613" s="36"/>
      <c r="BL613" s="36"/>
      <c r="BM613" s="36"/>
      <c r="BN613" s="36"/>
      <c r="BO613" s="36"/>
      <c r="BP613" s="36"/>
      <c r="BQ613" s="36"/>
    </row>
    <row r="614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51"/>
      <c r="S614" s="51"/>
      <c r="T614" s="51"/>
      <c r="U614" s="51"/>
      <c r="V614" s="51"/>
      <c r="W614" s="51"/>
      <c r="X614" s="51"/>
      <c r="Y614" s="45"/>
      <c r="Z614" s="45"/>
      <c r="AA614" s="45"/>
      <c r="AB614" s="45"/>
      <c r="AC614" s="45"/>
      <c r="AD614" s="45"/>
      <c r="AE614" s="45"/>
      <c r="AF614" s="45"/>
      <c r="AG614" s="45"/>
      <c r="AH614" s="45"/>
      <c r="AI614" s="45"/>
      <c r="AJ614" s="45"/>
      <c r="AK614" s="45"/>
      <c r="AL614" s="45"/>
      <c r="AM614" s="45"/>
      <c r="AN614" s="45"/>
      <c r="AO614" s="45"/>
      <c r="AP614" s="45"/>
      <c r="AQ614" s="36"/>
      <c r="AR614" s="36"/>
      <c r="AS614" s="36"/>
      <c r="AT614" s="36"/>
      <c r="AU614" s="36"/>
      <c r="AV614" s="36"/>
      <c r="AW614" s="36"/>
      <c r="AX614" s="36"/>
      <c r="AY614" s="36"/>
      <c r="AZ614" s="36"/>
      <c r="BA614" s="36"/>
      <c r="BB614" s="36"/>
      <c r="BC614" s="36"/>
      <c r="BD614" s="36"/>
      <c r="BE614" s="36"/>
      <c r="BF614" s="36"/>
      <c r="BG614" s="36"/>
      <c r="BH614" s="36"/>
      <c r="BI614" s="36"/>
      <c r="BJ614" s="36"/>
      <c r="BK614" s="36"/>
      <c r="BL614" s="36"/>
      <c r="BM614" s="36"/>
      <c r="BN614" s="36"/>
      <c r="BO614" s="36"/>
      <c r="BP614" s="36"/>
      <c r="BQ614" s="36"/>
    </row>
    <row r="61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51"/>
      <c r="S615" s="51"/>
      <c r="T615" s="51"/>
      <c r="U615" s="51"/>
      <c r="V615" s="51"/>
      <c r="W615" s="51"/>
      <c r="X615" s="51"/>
      <c r="Y615" s="45"/>
      <c r="Z615" s="45"/>
      <c r="AA615" s="45"/>
      <c r="AB615" s="45"/>
      <c r="AC615" s="45"/>
      <c r="AD615" s="45"/>
      <c r="AE615" s="45"/>
      <c r="AF615" s="45"/>
      <c r="AG615" s="45"/>
      <c r="AH615" s="45"/>
      <c r="AI615" s="45"/>
      <c r="AJ615" s="45"/>
      <c r="AK615" s="45"/>
      <c r="AL615" s="45"/>
      <c r="AM615" s="45"/>
      <c r="AN615" s="45"/>
      <c r="AO615" s="45"/>
      <c r="AP615" s="45"/>
      <c r="AQ615" s="36"/>
      <c r="AR615" s="36"/>
      <c r="AS615" s="36"/>
      <c r="AT615" s="36"/>
      <c r="AU615" s="36"/>
      <c r="AV615" s="36"/>
      <c r="AW615" s="36"/>
      <c r="AX615" s="36"/>
      <c r="AY615" s="36"/>
      <c r="AZ615" s="36"/>
      <c r="BA615" s="36"/>
      <c r="BB615" s="36"/>
      <c r="BC615" s="36"/>
      <c r="BD615" s="36"/>
      <c r="BE615" s="36"/>
      <c r="BF615" s="36"/>
      <c r="BG615" s="36"/>
      <c r="BH615" s="36"/>
      <c r="BI615" s="36"/>
      <c r="BJ615" s="36"/>
      <c r="BK615" s="36"/>
      <c r="BL615" s="36"/>
      <c r="BM615" s="36"/>
      <c r="BN615" s="36"/>
      <c r="BO615" s="36"/>
      <c r="BP615" s="36"/>
      <c r="BQ615" s="36"/>
    </row>
    <row r="616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51"/>
      <c r="S616" s="51"/>
      <c r="T616" s="51"/>
      <c r="U616" s="51"/>
      <c r="V616" s="51"/>
      <c r="W616" s="51"/>
      <c r="X616" s="51"/>
      <c r="Y616" s="45"/>
      <c r="Z616" s="45"/>
      <c r="AA616" s="45"/>
      <c r="AB616" s="45"/>
      <c r="AC616" s="45"/>
      <c r="AD616" s="45"/>
      <c r="AE616" s="45"/>
      <c r="AF616" s="45"/>
      <c r="AG616" s="45"/>
      <c r="AH616" s="45"/>
      <c r="AI616" s="45"/>
      <c r="AJ616" s="45"/>
      <c r="AK616" s="45"/>
      <c r="AL616" s="45"/>
      <c r="AM616" s="45"/>
      <c r="AN616" s="45"/>
      <c r="AO616" s="45"/>
      <c r="AP616" s="45"/>
      <c r="AQ616" s="36"/>
      <c r="AR616" s="36"/>
      <c r="AS616" s="36"/>
      <c r="AT616" s="36"/>
      <c r="AU616" s="36"/>
      <c r="AV616" s="36"/>
      <c r="AW616" s="36"/>
      <c r="AX616" s="36"/>
      <c r="AY616" s="36"/>
      <c r="AZ616" s="36"/>
      <c r="BA616" s="36"/>
      <c r="BB616" s="36"/>
      <c r="BC616" s="36"/>
      <c r="BD616" s="36"/>
      <c r="BE616" s="36"/>
      <c r="BF616" s="36"/>
      <c r="BG616" s="36"/>
      <c r="BH616" s="36"/>
      <c r="BI616" s="36"/>
      <c r="BJ616" s="36"/>
      <c r="BK616" s="36"/>
      <c r="BL616" s="36"/>
      <c r="BM616" s="36"/>
      <c r="BN616" s="36"/>
      <c r="BO616" s="36"/>
      <c r="BP616" s="36"/>
      <c r="BQ616" s="36"/>
    </row>
    <row r="617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51"/>
      <c r="S617" s="51"/>
      <c r="T617" s="51"/>
      <c r="U617" s="51"/>
      <c r="V617" s="51"/>
      <c r="W617" s="51"/>
      <c r="X617" s="51"/>
      <c r="Y617" s="45"/>
      <c r="Z617" s="45"/>
      <c r="AA617" s="45"/>
      <c r="AB617" s="45"/>
      <c r="AC617" s="45"/>
      <c r="AD617" s="45"/>
      <c r="AE617" s="45"/>
      <c r="AF617" s="45"/>
      <c r="AG617" s="45"/>
      <c r="AH617" s="45"/>
      <c r="AI617" s="45"/>
      <c r="AJ617" s="45"/>
      <c r="AK617" s="45"/>
      <c r="AL617" s="45"/>
      <c r="AM617" s="45"/>
      <c r="AN617" s="45"/>
      <c r="AO617" s="45"/>
      <c r="AP617" s="45"/>
      <c r="AQ617" s="36"/>
      <c r="AR617" s="36"/>
      <c r="AS617" s="36"/>
      <c r="AT617" s="36"/>
      <c r="AU617" s="36"/>
      <c r="AV617" s="36"/>
      <c r="AW617" s="36"/>
      <c r="AX617" s="36"/>
      <c r="AY617" s="36"/>
      <c r="AZ617" s="36"/>
      <c r="BA617" s="36"/>
      <c r="BB617" s="36"/>
      <c r="BC617" s="36"/>
      <c r="BD617" s="36"/>
      <c r="BE617" s="36"/>
      <c r="BF617" s="36"/>
      <c r="BG617" s="36"/>
      <c r="BH617" s="36"/>
      <c r="BI617" s="36"/>
      <c r="BJ617" s="36"/>
      <c r="BK617" s="36"/>
      <c r="BL617" s="36"/>
      <c r="BM617" s="36"/>
      <c r="BN617" s="36"/>
      <c r="BO617" s="36"/>
      <c r="BP617" s="36"/>
      <c r="BQ617" s="36"/>
    </row>
    <row r="618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51"/>
      <c r="S618" s="51"/>
      <c r="T618" s="51"/>
      <c r="U618" s="51"/>
      <c r="V618" s="51"/>
      <c r="W618" s="51"/>
      <c r="X618" s="51"/>
      <c r="Y618" s="45"/>
      <c r="Z618" s="45"/>
      <c r="AA618" s="45"/>
      <c r="AB618" s="45"/>
      <c r="AC618" s="45"/>
      <c r="AD618" s="45"/>
      <c r="AE618" s="45"/>
      <c r="AF618" s="45"/>
      <c r="AG618" s="45"/>
      <c r="AH618" s="45"/>
      <c r="AI618" s="45"/>
      <c r="AJ618" s="45"/>
      <c r="AK618" s="45"/>
      <c r="AL618" s="45"/>
      <c r="AM618" s="45"/>
      <c r="AN618" s="45"/>
      <c r="AO618" s="45"/>
      <c r="AP618" s="45"/>
      <c r="AQ618" s="36"/>
      <c r="AR618" s="36"/>
      <c r="AS618" s="36"/>
      <c r="AT618" s="36"/>
      <c r="AU618" s="36"/>
      <c r="AV618" s="36"/>
      <c r="AW618" s="36"/>
      <c r="AX618" s="36"/>
      <c r="AY618" s="36"/>
      <c r="AZ618" s="36"/>
      <c r="BA618" s="36"/>
      <c r="BB618" s="36"/>
      <c r="BC618" s="36"/>
      <c r="BD618" s="36"/>
      <c r="BE618" s="36"/>
      <c r="BF618" s="36"/>
      <c r="BG618" s="36"/>
      <c r="BH618" s="36"/>
      <c r="BI618" s="36"/>
      <c r="BJ618" s="36"/>
      <c r="BK618" s="36"/>
      <c r="BL618" s="36"/>
      <c r="BM618" s="36"/>
      <c r="BN618" s="36"/>
      <c r="BO618" s="36"/>
      <c r="BP618" s="36"/>
      <c r="BQ618" s="36"/>
    </row>
    <row r="619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51"/>
      <c r="S619" s="51"/>
      <c r="T619" s="51"/>
      <c r="U619" s="51"/>
      <c r="V619" s="51"/>
      <c r="W619" s="51"/>
      <c r="X619" s="51"/>
      <c r="Y619" s="45"/>
      <c r="Z619" s="45"/>
      <c r="AA619" s="45"/>
      <c r="AB619" s="45"/>
      <c r="AC619" s="45"/>
      <c r="AD619" s="45"/>
      <c r="AE619" s="45"/>
      <c r="AF619" s="45"/>
      <c r="AG619" s="45"/>
      <c r="AH619" s="45"/>
      <c r="AI619" s="45"/>
      <c r="AJ619" s="45"/>
      <c r="AK619" s="45"/>
      <c r="AL619" s="45"/>
      <c r="AM619" s="45"/>
      <c r="AN619" s="45"/>
      <c r="AO619" s="45"/>
      <c r="AP619" s="45"/>
      <c r="AQ619" s="36"/>
      <c r="AR619" s="36"/>
      <c r="AS619" s="36"/>
      <c r="AT619" s="36"/>
      <c r="AU619" s="36"/>
      <c r="AV619" s="36"/>
      <c r="AW619" s="36"/>
      <c r="AX619" s="36"/>
      <c r="AY619" s="36"/>
      <c r="AZ619" s="36"/>
      <c r="BA619" s="36"/>
      <c r="BB619" s="36"/>
      <c r="BC619" s="36"/>
      <c r="BD619" s="36"/>
      <c r="BE619" s="36"/>
      <c r="BF619" s="36"/>
      <c r="BG619" s="36"/>
      <c r="BH619" s="36"/>
      <c r="BI619" s="36"/>
      <c r="BJ619" s="36"/>
      <c r="BK619" s="36"/>
      <c r="BL619" s="36"/>
      <c r="BM619" s="36"/>
      <c r="BN619" s="36"/>
      <c r="BO619" s="36"/>
      <c r="BP619" s="36"/>
      <c r="BQ619" s="36"/>
    </row>
    <row r="620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51"/>
      <c r="S620" s="51"/>
      <c r="T620" s="51"/>
      <c r="U620" s="51"/>
      <c r="V620" s="51"/>
      <c r="W620" s="51"/>
      <c r="X620" s="51"/>
      <c r="Y620" s="45"/>
      <c r="Z620" s="45"/>
      <c r="AA620" s="45"/>
      <c r="AB620" s="45"/>
      <c r="AC620" s="45"/>
      <c r="AD620" s="45"/>
      <c r="AE620" s="45"/>
      <c r="AF620" s="45"/>
      <c r="AG620" s="45"/>
      <c r="AH620" s="45"/>
      <c r="AI620" s="45"/>
      <c r="AJ620" s="45"/>
      <c r="AK620" s="45"/>
      <c r="AL620" s="45"/>
      <c r="AM620" s="45"/>
      <c r="AN620" s="45"/>
      <c r="AO620" s="45"/>
      <c r="AP620" s="45"/>
      <c r="AQ620" s="36"/>
      <c r="AR620" s="36"/>
      <c r="AS620" s="36"/>
      <c r="AT620" s="36"/>
      <c r="AU620" s="36"/>
      <c r="AV620" s="36"/>
      <c r="AW620" s="36"/>
      <c r="AX620" s="36"/>
      <c r="AY620" s="36"/>
      <c r="AZ620" s="36"/>
      <c r="BA620" s="36"/>
      <c r="BB620" s="36"/>
      <c r="BC620" s="36"/>
      <c r="BD620" s="36"/>
      <c r="BE620" s="36"/>
      <c r="BF620" s="36"/>
      <c r="BG620" s="36"/>
      <c r="BH620" s="36"/>
      <c r="BI620" s="36"/>
      <c r="BJ620" s="36"/>
      <c r="BK620" s="36"/>
      <c r="BL620" s="36"/>
      <c r="BM620" s="36"/>
      <c r="BN620" s="36"/>
      <c r="BO620" s="36"/>
      <c r="BP620" s="36"/>
      <c r="BQ620" s="36"/>
    </row>
    <row r="62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51"/>
      <c r="S621" s="51"/>
      <c r="T621" s="51"/>
      <c r="U621" s="51"/>
      <c r="V621" s="51"/>
      <c r="W621" s="51"/>
      <c r="X621" s="51"/>
      <c r="Y621" s="45"/>
      <c r="Z621" s="45"/>
      <c r="AA621" s="45"/>
      <c r="AB621" s="45"/>
      <c r="AC621" s="45"/>
      <c r="AD621" s="45"/>
      <c r="AE621" s="45"/>
      <c r="AF621" s="45"/>
      <c r="AG621" s="45"/>
      <c r="AH621" s="45"/>
      <c r="AI621" s="45"/>
      <c r="AJ621" s="45"/>
      <c r="AK621" s="45"/>
      <c r="AL621" s="45"/>
      <c r="AM621" s="45"/>
      <c r="AN621" s="45"/>
      <c r="AO621" s="45"/>
      <c r="AP621" s="45"/>
      <c r="AQ621" s="36"/>
      <c r="AR621" s="36"/>
      <c r="AS621" s="36"/>
      <c r="AT621" s="36"/>
      <c r="AU621" s="36"/>
      <c r="AV621" s="36"/>
      <c r="AW621" s="36"/>
      <c r="AX621" s="36"/>
      <c r="AY621" s="36"/>
      <c r="AZ621" s="36"/>
      <c r="BA621" s="36"/>
      <c r="BB621" s="36"/>
      <c r="BC621" s="36"/>
      <c r="BD621" s="36"/>
      <c r="BE621" s="36"/>
      <c r="BF621" s="36"/>
      <c r="BG621" s="36"/>
      <c r="BH621" s="36"/>
      <c r="BI621" s="36"/>
      <c r="BJ621" s="36"/>
      <c r="BK621" s="36"/>
      <c r="BL621" s="36"/>
      <c r="BM621" s="36"/>
      <c r="BN621" s="36"/>
      <c r="BO621" s="36"/>
      <c r="BP621" s="36"/>
      <c r="BQ621" s="36"/>
    </row>
    <row r="62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51"/>
      <c r="S622" s="51"/>
      <c r="T622" s="51"/>
      <c r="U622" s="51"/>
      <c r="V622" s="51"/>
      <c r="W622" s="51"/>
      <c r="X622" s="51"/>
      <c r="Y622" s="45"/>
      <c r="Z622" s="45"/>
      <c r="AA622" s="45"/>
      <c r="AB622" s="45"/>
      <c r="AC622" s="45"/>
      <c r="AD622" s="45"/>
      <c r="AE622" s="45"/>
      <c r="AF622" s="45"/>
      <c r="AG622" s="45"/>
      <c r="AH622" s="45"/>
      <c r="AI622" s="45"/>
      <c r="AJ622" s="45"/>
      <c r="AK622" s="45"/>
      <c r="AL622" s="45"/>
      <c r="AM622" s="45"/>
      <c r="AN622" s="45"/>
      <c r="AO622" s="45"/>
      <c r="AP622" s="45"/>
      <c r="AQ622" s="36"/>
      <c r="AR622" s="36"/>
      <c r="AS622" s="36"/>
      <c r="AT622" s="36"/>
      <c r="AU622" s="36"/>
      <c r="AV622" s="36"/>
      <c r="AW622" s="36"/>
      <c r="AX622" s="36"/>
      <c r="AY622" s="36"/>
      <c r="AZ622" s="36"/>
      <c r="BA622" s="36"/>
      <c r="BB622" s="36"/>
      <c r="BC622" s="36"/>
      <c r="BD622" s="36"/>
      <c r="BE622" s="36"/>
      <c r="BF622" s="36"/>
      <c r="BG622" s="36"/>
      <c r="BH622" s="36"/>
      <c r="BI622" s="36"/>
      <c r="BJ622" s="36"/>
      <c r="BK622" s="36"/>
      <c r="BL622" s="36"/>
      <c r="BM622" s="36"/>
      <c r="BN622" s="36"/>
      <c r="BO622" s="36"/>
      <c r="BP622" s="36"/>
      <c r="BQ622" s="36"/>
    </row>
    <row r="623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51"/>
      <c r="S623" s="51"/>
      <c r="T623" s="51"/>
      <c r="U623" s="51"/>
      <c r="V623" s="51"/>
      <c r="W623" s="51"/>
      <c r="X623" s="51"/>
      <c r="Y623" s="45"/>
      <c r="Z623" s="45"/>
      <c r="AA623" s="45"/>
      <c r="AB623" s="45"/>
      <c r="AC623" s="45"/>
      <c r="AD623" s="45"/>
      <c r="AE623" s="45"/>
      <c r="AF623" s="45"/>
      <c r="AG623" s="45"/>
      <c r="AH623" s="45"/>
      <c r="AI623" s="45"/>
      <c r="AJ623" s="45"/>
      <c r="AK623" s="45"/>
      <c r="AL623" s="45"/>
      <c r="AM623" s="45"/>
      <c r="AN623" s="45"/>
      <c r="AO623" s="45"/>
      <c r="AP623" s="45"/>
      <c r="AQ623" s="36"/>
      <c r="AR623" s="36"/>
      <c r="AS623" s="36"/>
      <c r="AT623" s="36"/>
      <c r="AU623" s="36"/>
      <c r="AV623" s="36"/>
      <c r="AW623" s="36"/>
      <c r="AX623" s="36"/>
      <c r="AY623" s="36"/>
      <c r="AZ623" s="36"/>
      <c r="BA623" s="36"/>
      <c r="BB623" s="36"/>
      <c r="BC623" s="36"/>
      <c r="BD623" s="36"/>
      <c r="BE623" s="36"/>
      <c r="BF623" s="36"/>
      <c r="BG623" s="36"/>
      <c r="BH623" s="36"/>
      <c r="BI623" s="36"/>
      <c r="BJ623" s="36"/>
      <c r="BK623" s="36"/>
      <c r="BL623" s="36"/>
      <c r="BM623" s="36"/>
      <c r="BN623" s="36"/>
      <c r="BO623" s="36"/>
      <c r="BP623" s="36"/>
      <c r="BQ623" s="36"/>
    </row>
    <row r="624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51"/>
      <c r="S624" s="51"/>
      <c r="T624" s="51"/>
      <c r="U624" s="51"/>
      <c r="V624" s="51"/>
      <c r="W624" s="51"/>
      <c r="X624" s="51"/>
      <c r="Y624" s="45"/>
      <c r="Z624" s="45"/>
      <c r="AA624" s="45"/>
      <c r="AB624" s="45"/>
      <c r="AC624" s="45"/>
      <c r="AD624" s="45"/>
      <c r="AE624" s="45"/>
      <c r="AF624" s="45"/>
      <c r="AG624" s="45"/>
      <c r="AH624" s="45"/>
      <c r="AI624" s="45"/>
      <c r="AJ624" s="45"/>
      <c r="AK624" s="45"/>
      <c r="AL624" s="45"/>
      <c r="AM624" s="45"/>
      <c r="AN624" s="45"/>
      <c r="AO624" s="45"/>
      <c r="AP624" s="45"/>
      <c r="AQ624" s="36"/>
      <c r="AR624" s="36"/>
      <c r="AS624" s="36"/>
      <c r="AT624" s="36"/>
      <c r="AU624" s="36"/>
      <c r="AV624" s="36"/>
      <c r="AW624" s="36"/>
      <c r="AX624" s="36"/>
      <c r="AY624" s="36"/>
      <c r="AZ624" s="36"/>
      <c r="BA624" s="36"/>
      <c r="BB624" s="36"/>
      <c r="BC624" s="36"/>
      <c r="BD624" s="36"/>
      <c r="BE624" s="36"/>
      <c r="BF624" s="36"/>
      <c r="BG624" s="36"/>
      <c r="BH624" s="36"/>
      <c r="BI624" s="36"/>
      <c r="BJ624" s="36"/>
      <c r="BK624" s="36"/>
      <c r="BL624" s="36"/>
      <c r="BM624" s="36"/>
      <c r="BN624" s="36"/>
      <c r="BO624" s="36"/>
      <c r="BP624" s="36"/>
      <c r="BQ624" s="36"/>
    </row>
    <row r="6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51"/>
      <c r="S625" s="51"/>
      <c r="T625" s="51"/>
      <c r="U625" s="51"/>
      <c r="V625" s="51"/>
      <c r="W625" s="51"/>
      <c r="X625" s="51"/>
      <c r="Y625" s="45"/>
      <c r="Z625" s="45"/>
      <c r="AA625" s="45"/>
      <c r="AB625" s="45"/>
      <c r="AC625" s="45"/>
      <c r="AD625" s="45"/>
      <c r="AE625" s="45"/>
      <c r="AF625" s="45"/>
      <c r="AG625" s="45"/>
      <c r="AH625" s="45"/>
      <c r="AI625" s="45"/>
      <c r="AJ625" s="45"/>
      <c r="AK625" s="45"/>
      <c r="AL625" s="45"/>
      <c r="AM625" s="45"/>
      <c r="AN625" s="45"/>
      <c r="AO625" s="45"/>
      <c r="AP625" s="45"/>
      <c r="AQ625" s="36"/>
      <c r="AR625" s="36"/>
      <c r="AS625" s="36"/>
      <c r="AT625" s="36"/>
      <c r="AU625" s="36"/>
      <c r="AV625" s="36"/>
      <c r="AW625" s="36"/>
      <c r="AX625" s="36"/>
      <c r="AY625" s="36"/>
      <c r="AZ625" s="36"/>
      <c r="BA625" s="36"/>
      <c r="BB625" s="36"/>
      <c r="BC625" s="36"/>
      <c r="BD625" s="36"/>
      <c r="BE625" s="36"/>
      <c r="BF625" s="36"/>
      <c r="BG625" s="36"/>
      <c r="BH625" s="36"/>
      <c r="BI625" s="36"/>
      <c r="BJ625" s="36"/>
      <c r="BK625" s="36"/>
      <c r="BL625" s="36"/>
      <c r="BM625" s="36"/>
      <c r="BN625" s="36"/>
      <c r="BO625" s="36"/>
      <c r="BP625" s="36"/>
      <c r="BQ625" s="36"/>
    </row>
    <row r="626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51"/>
      <c r="S626" s="51"/>
      <c r="T626" s="51"/>
      <c r="U626" s="51"/>
      <c r="V626" s="51"/>
      <c r="W626" s="51"/>
      <c r="X626" s="51"/>
      <c r="Y626" s="45"/>
      <c r="Z626" s="45"/>
      <c r="AA626" s="45"/>
      <c r="AB626" s="45"/>
      <c r="AC626" s="45"/>
      <c r="AD626" s="45"/>
      <c r="AE626" s="45"/>
      <c r="AF626" s="45"/>
      <c r="AG626" s="45"/>
      <c r="AH626" s="45"/>
      <c r="AI626" s="45"/>
      <c r="AJ626" s="45"/>
      <c r="AK626" s="45"/>
      <c r="AL626" s="45"/>
      <c r="AM626" s="45"/>
      <c r="AN626" s="45"/>
      <c r="AO626" s="45"/>
      <c r="AP626" s="45"/>
      <c r="AQ626" s="36"/>
      <c r="AR626" s="36"/>
      <c r="AS626" s="36"/>
      <c r="AT626" s="36"/>
      <c r="AU626" s="36"/>
      <c r="AV626" s="36"/>
      <c r="AW626" s="36"/>
      <c r="AX626" s="36"/>
      <c r="AY626" s="36"/>
      <c r="AZ626" s="36"/>
      <c r="BA626" s="36"/>
      <c r="BB626" s="36"/>
      <c r="BC626" s="36"/>
      <c r="BD626" s="36"/>
      <c r="BE626" s="36"/>
      <c r="BF626" s="36"/>
      <c r="BG626" s="36"/>
      <c r="BH626" s="36"/>
      <c r="BI626" s="36"/>
      <c r="BJ626" s="36"/>
      <c r="BK626" s="36"/>
      <c r="BL626" s="36"/>
      <c r="BM626" s="36"/>
      <c r="BN626" s="36"/>
      <c r="BO626" s="36"/>
      <c r="BP626" s="36"/>
      <c r="BQ626" s="36"/>
    </row>
    <row r="627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51"/>
      <c r="S627" s="51"/>
      <c r="T627" s="51"/>
      <c r="U627" s="51"/>
      <c r="V627" s="51"/>
      <c r="W627" s="51"/>
      <c r="X627" s="51"/>
      <c r="Y627" s="45"/>
      <c r="Z627" s="45"/>
      <c r="AA627" s="45"/>
      <c r="AB627" s="45"/>
      <c r="AC627" s="45"/>
      <c r="AD627" s="45"/>
      <c r="AE627" s="45"/>
      <c r="AF627" s="45"/>
      <c r="AG627" s="45"/>
      <c r="AH627" s="45"/>
      <c r="AI627" s="45"/>
      <c r="AJ627" s="45"/>
      <c r="AK627" s="45"/>
      <c r="AL627" s="45"/>
      <c r="AM627" s="45"/>
      <c r="AN627" s="45"/>
      <c r="AO627" s="45"/>
      <c r="AP627" s="45"/>
      <c r="AQ627" s="36"/>
      <c r="AR627" s="36"/>
      <c r="AS627" s="36"/>
      <c r="AT627" s="36"/>
      <c r="AU627" s="36"/>
      <c r="AV627" s="36"/>
      <c r="AW627" s="36"/>
      <c r="AX627" s="36"/>
      <c r="AY627" s="36"/>
      <c r="AZ627" s="36"/>
      <c r="BA627" s="36"/>
      <c r="BB627" s="36"/>
      <c r="BC627" s="36"/>
      <c r="BD627" s="36"/>
      <c r="BE627" s="36"/>
      <c r="BF627" s="36"/>
      <c r="BG627" s="36"/>
      <c r="BH627" s="36"/>
      <c r="BI627" s="36"/>
      <c r="BJ627" s="36"/>
      <c r="BK627" s="36"/>
      <c r="BL627" s="36"/>
      <c r="BM627" s="36"/>
      <c r="BN627" s="36"/>
      <c r="BO627" s="36"/>
      <c r="BP627" s="36"/>
      <c r="BQ627" s="36"/>
    </row>
    <row r="628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51"/>
      <c r="S628" s="51"/>
      <c r="T628" s="51"/>
      <c r="U628" s="51"/>
      <c r="V628" s="51"/>
      <c r="W628" s="51"/>
      <c r="X628" s="51"/>
      <c r="Y628" s="45"/>
      <c r="Z628" s="45"/>
      <c r="AA628" s="45"/>
      <c r="AB628" s="45"/>
      <c r="AC628" s="45"/>
      <c r="AD628" s="45"/>
      <c r="AE628" s="45"/>
      <c r="AF628" s="45"/>
      <c r="AG628" s="45"/>
      <c r="AH628" s="45"/>
      <c r="AI628" s="45"/>
      <c r="AJ628" s="45"/>
      <c r="AK628" s="45"/>
      <c r="AL628" s="45"/>
      <c r="AM628" s="45"/>
      <c r="AN628" s="45"/>
      <c r="AO628" s="45"/>
      <c r="AP628" s="45"/>
      <c r="AQ628" s="36"/>
      <c r="AR628" s="36"/>
      <c r="AS628" s="36"/>
      <c r="AT628" s="36"/>
      <c r="AU628" s="36"/>
      <c r="AV628" s="36"/>
      <c r="AW628" s="36"/>
      <c r="AX628" s="36"/>
      <c r="AY628" s="36"/>
      <c r="AZ628" s="36"/>
      <c r="BA628" s="36"/>
      <c r="BB628" s="36"/>
      <c r="BC628" s="36"/>
      <c r="BD628" s="36"/>
      <c r="BE628" s="36"/>
      <c r="BF628" s="36"/>
      <c r="BG628" s="36"/>
      <c r="BH628" s="36"/>
      <c r="BI628" s="36"/>
      <c r="BJ628" s="36"/>
      <c r="BK628" s="36"/>
      <c r="BL628" s="36"/>
      <c r="BM628" s="36"/>
      <c r="BN628" s="36"/>
      <c r="BO628" s="36"/>
      <c r="BP628" s="36"/>
      <c r="BQ628" s="36"/>
    </row>
    <row r="629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51"/>
      <c r="S629" s="51"/>
      <c r="T629" s="51"/>
      <c r="U629" s="51"/>
      <c r="V629" s="51"/>
      <c r="W629" s="51"/>
      <c r="X629" s="51"/>
      <c r="Y629" s="45"/>
      <c r="Z629" s="45"/>
      <c r="AA629" s="45"/>
      <c r="AB629" s="45"/>
      <c r="AC629" s="45"/>
      <c r="AD629" s="45"/>
      <c r="AE629" s="45"/>
      <c r="AF629" s="45"/>
      <c r="AG629" s="45"/>
      <c r="AH629" s="45"/>
      <c r="AI629" s="45"/>
      <c r="AJ629" s="45"/>
      <c r="AK629" s="45"/>
      <c r="AL629" s="45"/>
      <c r="AM629" s="45"/>
      <c r="AN629" s="45"/>
      <c r="AO629" s="45"/>
      <c r="AP629" s="45"/>
      <c r="AQ629" s="36"/>
      <c r="AR629" s="36"/>
      <c r="AS629" s="36"/>
      <c r="AT629" s="36"/>
      <c r="AU629" s="36"/>
      <c r="AV629" s="36"/>
      <c r="AW629" s="36"/>
      <c r="AX629" s="36"/>
      <c r="AY629" s="36"/>
      <c r="AZ629" s="36"/>
      <c r="BA629" s="36"/>
      <c r="BB629" s="36"/>
      <c r="BC629" s="36"/>
      <c r="BD629" s="36"/>
      <c r="BE629" s="36"/>
      <c r="BF629" s="36"/>
      <c r="BG629" s="36"/>
      <c r="BH629" s="36"/>
      <c r="BI629" s="36"/>
      <c r="BJ629" s="36"/>
      <c r="BK629" s="36"/>
      <c r="BL629" s="36"/>
      <c r="BM629" s="36"/>
      <c r="BN629" s="36"/>
      <c r="BO629" s="36"/>
      <c r="BP629" s="36"/>
      <c r="BQ629" s="36"/>
    </row>
    <row r="630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51"/>
      <c r="S630" s="51"/>
      <c r="T630" s="51"/>
      <c r="U630" s="51"/>
      <c r="V630" s="51"/>
      <c r="W630" s="51"/>
      <c r="X630" s="51"/>
      <c r="Y630" s="45"/>
      <c r="Z630" s="45"/>
      <c r="AA630" s="45"/>
      <c r="AB630" s="45"/>
      <c r="AC630" s="45"/>
      <c r="AD630" s="45"/>
      <c r="AE630" s="45"/>
      <c r="AF630" s="45"/>
      <c r="AG630" s="45"/>
      <c r="AH630" s="45"/>
      <c r="AI630" s="45"/>
      <c r="AJ630" s="45"/>
      <c r="AK630" s="45"/>
      <c r="AL630" s="45"/>
      <c r="AM630" s="45"/>
      <c r="AN630" s="45"/>
      <c r="AO630" s="45"/>
      <c r="AP630" s="45"/>
      <c r="AQ630" s="36"/>
      <c r="AR630" s="36"/>
      <c r="AS630" s="36"/>
      <c r="AT630" s="36"/>
      <c r="AU630" s="36"/>
      <c r="AV630" s="36"/>
      <c r="AW630" s="36"/>
      <c r="AX630" s="36"/>
      <c r="AY630" s="36"/>
      <c r="AZ630" s="36"/>
      <c r="BA630" s="36"/>
      <c r="BB630" s="36"/>
      <c r="BC630" s="36"/>
      <c r="BD630" s="36"/>
      <c r="BE630" s="36"/>
      <c r="BF630" s="36"/>
      <c r="BG630" s="36"/>
      <c r="BH630" s="36"/>
      <c r="BI630" s="36"/>
      <c r="BJ630" s="36"/>
      <c r="BK630" s="36"/>
      <c r="BL630" s="36"/>
      <c r="BM630" s="36"/>
      <c r="BN630" s="36"/>
      <c r="BO630" s="36"/>
      <c r="BP630" s="36"/>
      <c r="BQ630" s="36"/>
    </row>
    <row r="63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51"/>
      <c r="S631" s="51"/>
      <c r="T631" s="51"/>
      <c r="U631" s="51"/>
      <c r="V631" s="51"/>
      <c r="W631" s="51"/>
      <c r="X631" s="51"/>
      <c r="Y631" s="45"/>
      <c r="Z631" s="45"/>
      <c r="AA631" s="45"/>
      <c r="AB631" s="45"/>
      <c r="AC631" s="45"/>
      <c r="AD631" s="45"/>
      <c r="AE631" s="45"/>
      <c r="AF631" s="45"/>
      <c r="AG631" s="45"/>
      <c r="AH631" s="45"/>
      <c r="AI631" s="45"/>
      <c r="AJ631" s="45"/>
      <c r="AK631" s="45"/>
      <c r="AL631" s="45"/>
      <c r="AM631" s="45"/>
      <c r="AN631" s="45"/>
      <c r="AO631" s="45"/>
      <c r="AP631" s="45"/>
      <c r="AQ631" s="36"/>
      <c r="AR631" s="36"/>
      <c r="AS631" s="36"/>
      <c r="AT631" s="36"/>
      <c r="AU631" s="36"/>
      <c r="AV631" s="36"/>
      <c r="AW631" s="36"/>
      <c r="AX631" s="36"/>
      <c r="AY631" s="36"/>
      <c r="AZ631" s="36"/>
      <c r="BA631" s="36"/>
      <c r="BB631" s="36"/>
      <c r="BC631" s="36"/>
      <c r="BD631" s="36"/>
      <c r="BE631" s="36"/>
      <c r="BF631" s="36"/>
      <c r="BG631" s="36"/>
      <c r="BH631" s="36"/>
      <c r="BI631" s="36"/>
      <c r="BJ631" s="36"/>
      <c r="BK631" s="36"/>
      <c r="BL631" s="36"/>
      <c r="BM631" s="36"/>
      <c r="BN631" s="36"/>
      <c r="BO631" s="36"/>
      <c r="BP631" s="36"/>
      <c r="BQ631" s="36"/>
    </row>
    <row r="632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51"/>
      <c r="S632" s="51"/>
      <c r="T632" s="51"/>
      <c r="U632" s="51"/>
      <c r="V632" s="51"/>
      <c r="W632" s="51"/>
      <c r="X632" s="51"/>
      <c r="Y632" s="45"/>
      <c r="Z632" s="45"/>
      <c r="AA632" s="45"/>
      <c r="AB632" s="45"/>
      <c r="AC632" s="45"/>
      <c r="AD632" s="45"/>
      <c r="AE632" s="45"/>
      <c r="AF632" s="45"/>
      <c r="AG632" s="45"/>
      <c r="AH632" s="45"/>
      <c r="AI632" s="45"/>
      <c r="AJ632" s="45"/>
      <c r="AK632" s="45"/>
      <c r="AL632" s="45"/>
      <c r="AM632" s="45"/>
      <c r="AN632" s="45"/>
      <c r="AO632" s="45"/>
      <c r="AP632" s="45"/>
      <c r="AQ632" s="36"/>
      <c r="AR632" s="36"/>
      <c r="AS632" s="36"/>
      <c r="AT632" s="36"/>
      <c r="AU632" s="36"/>
      <c r="AV632" s="36"/>
      <c r="AW632" s="36"/>
      <c r="AX632" s="36"/>
      <c r="AY632" s="36"/>
      <c r="AZ632" s="36"/>
      <c r="BA632" s="36"/>
      <c r="BB632" s="36"/>
      <c r="BC632" s="36"/>
      <c r="BD632" s="36"/>
      <c r="BE632" s="36"/>
      <c r="BF632" s="36"/>
      <c r="BG632" s="36"/>
      <c r="BH632" s="36"/>
      <c r="BI632" s="36"/>
      <c r="BJ632" s="36"/>
      <c r="BK632" s="36"/>
      <c r="BL632" s="36"/>
      <c r="BM632" s="36"/>
      <c r="BN632" s="36"/>
      <c r="BO632" s="36"/>
      <c r="BP632" s="36"/>
      <c r="BQ632" s="36"/>
    </row>
    <row r="633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51"/>
      <c r="S633" s="51"/>
      <c r="T633" s="51"/>
      <c r="U633" s="51"/>
      <c r="V633" s="51"/>
      <c r="W633" s="51"/>
      <c r="X633" s="51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5"/>
      <c r="AM633" s="45"/>
      <c r="AN633" s="45"/>
      <c r="AO633" s="45"/>
      <c r="AP633" s="45"/>
      <c r="AQ633" s="36"/>
      <c r="AR633" s="36"/>
      <c r="AS633" s="36"/>
      <c r="AT633" s="36"/>
      <c r="AU633" s="36"/>
      <c r="AV633" s="36"/>
      <c r="AW633" s="36"/>
      <c r="AX633" s="36"/>
      <c r="AY633" s="36"/>
      <c r="AZ633" s="36"/>
      <c r="BA633" s="36"/>
      <c r="BB633" s="36"/>
      <c r="BC633" s="36"/>
      <c r="BD633" s="36"/>
      <c r="BE633" s="36"/>
      <c r="BF633" s="36"/>
      <c r="BG633" s="36"/>
      <c r="BH633" s="36"/>
      <c r="BI633" s="36"/>
      <c r="BJ633" s="36"/>
      <c r="BK633" s="36"/>
      <c r="BL633" s="36"/>
      <c r="BM633" s="36"/>
      <c r="BN633" s="36"/>
      <c r="BO633" s="36"/>
      <c r="BP633" s="36"/>
      <c r="BQ633" s="36"/>
    </row>
    <row r="634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51"/>
      <c r="S634" s="51"/>
      <c r="T634" s="51"/>
      <c r="U634" s="51"/>
      <c r="V634" s="51"/>
      <c r="W634" s="51"/>
      <c r="X634" s="51"/>
      <c r="Y634" s="45"/>
      <c r="Z634" s="45"/>
      <c r="AA634" s="45"/>
      <c r="AB634" s="45"/>
      <c r="AC634" s="45"/>
      <c r="AD634" s="45"/>
      <c r="AE634" s="45"/>
      <c r="AF634" s="45"/>
      <c r="AG634" s="45"/>
      <c r="AH634" s="45"/>
      <c r="AI634" s="45"/>
      <c r="AJ634" s="45"/>
      <c r="AK634" s="45"/>
      <c r="AL634" s="45"/>
      <c r="AM634" s="45"/>
      <c r="AN634" s="45"/>
      <c r="AO634" s="45"/>
      <c r="AP634" s="45"/>
      <c r="AQ634" s="36"/>
      <c r="AR634" s="36"/>
      <c r="AS634" s="36"/>
      <c r="AT634" s="36"/>
      <c r="AU634" s="36"/>
      <c r="AV634" s="36"/>
      <c r="AW634" s="36"/>
      <c r="AX634" s="36"/>
      <c r="AY634" s="36"/>
      <c r="AZ634" s="36"/>
      <c r="BA634" s="36"/>
      <c r="BB634" s="36"/>
      <c r="BC634" s="36"/>
      <c r="BD634" s="36"/>
      <c r="BE634" s="36"/>
      <c r="BF634" s="36"/>
      <c r="BG634" s="36"/>
      <c r="BH634" s="36"/>
      <c r="BI634" s="36"/>
      <c r="BJ634" s="36"/>
      <c r="BK634" s="36"/>
      <c r="BL634" s="36"/>
      <c r="BM634" s="36"/>
      <c r="BN634" s="36"/>
      <c r="BO634" s="36"/>
      <c r="BP634" s="36"/>
      <c r="BQ634" s="36"/>
    </row>
    <row r="6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51"/>
      <c r="S635" s="51"/>
      <c r="T635" s="51"/>
      <c r="U635" s="51"/>
      <c r="V635" s="51"/>
      <c r="W635" s="51"/>
      <c r="X635" s="51"/>
      <c r="Y635" s="45"/>
      <c r="Z635" s="45"/>
      <c r="AA635" s="45"/>
      <c r="AB635" s="45"/>
      <c r="AC635" s="45"/>
      <c r="AD635" s="45"/>
      <c r="AE635" s="45"/>
      <c r="AF635" s="45"/>
      <c r="AG635" s="45"/>
      <c r="AH635" s="45"/>
      <c r="AI635" s="45"/>
      <c r="AJ635" s="45"/>
      <c r="AK635" s="45"/>
      <c r="AL635" s="45"/>
      <c r="AM635" s="45"/>
      <c r="AN635" s="45"/>
      <c r="AO635" s="45"/>
      <c r="AP635" s="45"/>
      <c r="AQ635" s="36"/>
      <c r="AR635" s="36"/>
      <c r="AS635" s="36"/>
      <c r="AT635" s="36"/>
      <c r="AU635" s="36"/>
      <c r="AV635" s="36"/>
      <c r="AW635" s="36"/>
      <c r="AX635" s="36"/>
      <c r="AY635" s="36"/>
      <c r="AZ635" s="36"/>
      <c r="BA635" s="36"/>
      <c r="BB635" s="36"/>
      <c r="BC635" s="36"/>
      <c r="BD635" s="36"/>
      <c r="BE635" s="36"/>
      <c r="BF635" s="36"/>
      <c r="BG635" s="36"/>
      <c r="BH635" s="36"/>
      <c r="BI635" s="36"/>
      <c r="BJ635" s="36"/>
      <c r="BK635" s="36"/>
      <c r="BL635" s="36"/>
      <c r="BM635" s="36"/>
      <c r="BN635" s="36"/>
      <c r="BO635" s="36"/>
      <c r="BP635" s="36"/>
      <c r="BQ635" s="36"/>
    </row>
    <row r="636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51"/>
      <c r="S636" s="51"/>
      <c r="T636" s="51"/>
      <c r="U636" s="51"/>
      <c r="V636" s="51"/>
      <c r="W636" s="51"/>
      <c r="X636" s="51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5"/>
      <c r="AM636" s="45"/>
      <c r="AN636" s="45"/>
      <c r="AO636" s="45"/>
      <c r="AP636" s="45"/>
      <c r="AQ636" s="36"/>
      <c r="AR636" s="36"/>
      <c r="AS636" s="36"/>
      <c r="AT636" s="36"/>
      <c r="AU636" s="36"/>
      <c r="AV636" s="36"/>
      <c r="AW636" s="36"/>
      <c r="AX636" s="36"/>
      <c r="AY636" s="36"/>
      <c r="AZ636" s="36"/>
      <c r="BA636" s="36"/>
      <c r="BB636" s="36"/>
      <c r="BC636" s="36"/>
      <c r="BD636" s="36"/>
      <c r="BE636" s="36"/>
      <c r="BF636" s="36"/>
      <c r="BG636" s="36"/>
      <c r="BH636" s="36"/>
      <c r="BI636" s="36"/>
      <c r="BJ636" s="36"/>
      <c r="BK636" s="36"/>
      <c r="BL636" s="36"/>
      <c r="BM636" s="36"/>
      <c r="BN636" s="36"/>
      <c r="BO636" s="36"/>
      <c r="BP636" s="36"/>
      <c r="BQ636" s="36"/>
    </row>
    <row r="637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51"/>
      <c r="S637" s="51"/>
      <c r="T637" s="51"/>
      <c r="U637" s="51"/>
      <c r="V637" s="51"/>
      <c r="W637" s="51"/>
      <c r="X637" s="51"/>
      <c r="Y637" s="45"/>
      <c r="Z637" s="45"/>
      <c r="AA637" s="45"/>
      <c r="AB637" s="45"/>
      <c r="AC637" s="45"/>
      <c r="AD637" s="45"/>
      <c r="AE637" s="45"/>
      <c r="AF637" s="45"/>
      <c r="AG637" s="45"/>
      <c r="AH637" s="45"/>
      <c r="AI637" s="45"/>
      <c r="AJ637" s="45"/>
      <c r="AK637" s="45"/>
      <c r="AL637" s="45"/>
      <c r="AM637" s="45"/>
      <c r="AN637" s="45"/>
      <c r="AO637" s="45"/>
      <c r="AP637" s="45"/>
      <c r="AQ637" s="36"/>
      <c r="AR637" s="36"/>
      <c r="AS637" s="36"/>
      <c r="AT637" s="36"/>
      <c r="AU637" s="36"/>
      <c r="AV637" s="36"/>
      <c r="AW637" s="36"/>
      <c r="AX637" s="36"/>
      <c r="AY637" s="36"/>
      <c r="AZ637" s="36"/>
      <c r="BA637" s="36"/>
      <c r="BB637" s="36"/>
      <c r="BC637" s="36"/>
      <c r="BD637" s="36"/>
      <c r="BE637" s="36"/>
      <c r="BF637" s="36"/>
      <c r="BG637" s="36"/>
      <c r="BH637" s="36"/>
      <c r="BI637" s="36"/>
      <c r="BJ637" s="36"/>
      <c r="BK637" s="36"/>
      <c r="BL637" s="36"/>
      <c r="BM637" s="36"/>
      <c r="BN637" s="36"/>
      <c r="BO637" s="36"/>
      <c r="BP637" s="36"/>
      <c r="BQ637" s="36"/>
    </row>
    <row r="638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51"/>
      <c r="S638" s="51"/>
      <c r="T638" s="51"/>
      <c r="U638" s="51"/>
      <c r="V638" s="51"/>
      <c r="W638" s="51"/>
      <c r="X638" s="51"/>
      <c r="Y638" s="45"/>
      <c r="Z638" s="45"/>
      <c r="AA638" s="45"/>
      <c r="AB638" s="45"/>
      <c r="AC638" s="45"/>
      <c r="AD638" s="45"/>
      <c r="AE638" s="45"/>
      <c r="AF638" s="45"/>
      <c r="AG638" s="45"/>
      <c r="AH638" s="45"/>
      <c r="AI638" s="45"/>
      <c r="AJ638" s="45"/>
      <c r="AK638" s="45"/>
      <c r="AL638" s="45"/>
      <c r="AM638" s="45"/>
      <c r="AN638" s="45"/>
      <c r="AO638" s="45"/>
      <c r="AP638" s="45"/>
      <c r="AQ638" s="36"/>
      <c r="AR638" s="36"/>
      <c r="AS638" s="36"/>
      <c r="AT638" s="36"/>
      <c r="AU638" s="36"/>
      <c r="AV638" s="36"/>
      <c r="AW638" s="36"/>
      <c r="AX638" s="36"/>
      <c r="AY638" s="36"/>
      <c r="AZ638" s="36"/>
      <c r="BA638" s="36"/>
      <c r="BB638" s="36"/>
      <c r="BC638" s="36"/>
      <c r="BD638" s="36"/>
      <c r="BE638" s="36"/>
      <c r="BF638" s="36"/>
      <c r="BG638" s="36"/>
      <c r="BH638" s="36"/>
      <c r="BI638" s="36"/>
      <c r="BJ638" s="36"/>
      <c r="BK638" s="36"/>
      <c r="BL638" s="36"/>
      <c r="BM638" s="36"/>
      <c r="BN638" s="36"/>
      <c r="BO638" s="36"/>
      <c r="BP638" s="36"/>
      <c r="BQ638" s="36"/>
    </row>
    <row r="639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51"/>
      <c r="S639" s="51"/>
      <c r="T639" s="51"/>
      <c r="U639" s="51"/>
      <c r="V639" s="51"/>
      <c r="W639" s="51"/>
      <c r="X639" s="51"/>
      <c r="Y639" s="45"/>
      <c r="Z639" s="45"/>
      <c r="AA639" s="45"/>
      <c r="AB639" s="45"/>
      <c r="AC639" s="45"/>
      <c r="AD639" s="45"/>
      <c r="AE639" s="45"/>
      <c r="AF639" s="45"/>
      <c r="AG639" s="45"/>
      <c r="AH639" s="45"/>
      <c r="AI639" s="45"/>
      <c r="AJ639" s="45"/>
      <c r="AK639" s="45"/>
      <c r="AL639" s="45"/>
      <c r="AM639" s="45"/>
      <c r="AN639" s="45"/>
      <c r="AO639" s="45"/>
      <c r="AP639" s="45"/>
      <c r="AQ639" s="36"/>
      <c r="AR639" s="36"/>
      <c r="AS639" s="36"/>
      <c r="AT639" s="36"/>
      <c r="AU639" s="36"/>
      <c r="AV639" s="36"/>
      <c r="AW639" s="36"/>
      <c r="AX639" s="36"/>
      <c r="AY639" s="36"/>
      <c r="AZ639" s="36"/>
      <c r="BA639" s="36"/>
      <c r="BB639" s="36"/>
      <c r="BC639" s="36"/>
      <c r="BD639" s="36"/>
      <c r="BE639" s="36"/>
      <c r="BF639" s="36"/>
      <c r="BG639" s="36"/>
      <c r="BH639" s="36"/>
      <c r="BI639" s="36"/>
      <c r="BJ639" s="36"/>
      <c r="BK639" s="36"/>
      <c r="BL639" s="36"/>
      <c r="BM639" s="36"/>
      <c r="BN639" s="36"/>
      <c r="BO639" s="36"/>
      <c r="BP639" s="36"/>
      <c r="BQ639" s="36"/>
    </row>
    <row r="640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51"/>
      <c r="S640" s="51"/>
      <c r="T640" s="51"/>
      <c r="U640" s="51"/>
      <c r="V640" s="51"/>
      <c r="W640" s="51"/>
      <c r="X640" s="51"/>
      <c r="Y640" s="45"/>
      <c r="Z640" s="45"/>
      <c r="AA640" s="45"/>
      <c r="AB640" s="45"/>
      <c r="AC640" s="45"/>
      <c r="AD640" s="45"/>
      <c r="AE640" s="45"/>
      <c r="AF640" s="45"/>
      <c r="AG640" s="45"/>
      <c r="AH640" s="45"/>
      <c r="AI640" s="45"/>
      <c r="AJ640" s="45"/>
      <c r="AK640" s="45"/>
      <c r="AL640" s="45"/>
      <c r="AM640" s="45"/>
      <c r="AN640" s="45"/>
      <c r="AO640" s="45"/>
      <c r="AP640" s="45"/>
      <c r="AQ640" s="36"/>
      <c r="AR640" s="36"/>
      <c r="AS640" s="36"/>
      <c r="AT640" s="36"/>
      <c r="AU640" s="36"/>
      <c r="AV640" s="36"/>
      <c r="AW640" s="36"/>
      <c r="AX640" s="36"/>
      <c r="AY640" s="36"/>
      <c r="AZ640" s="36"/>
      <c r="BA640" s="36"/>
      <c r="BB640" s="36"/>
      <c r="BC640" s="36"/>
      <c r="BD640" s="36"/>
      <c r="BE640" s="36"/>
      <c r="BF640" s="36"/>
      <c r="BG640" s="36"/>
      <c r="BH640" s="36"/>
      <c r="BI640" s="36"/>
      <c r="BJ640" s="36"/>
      <c r="BK640" s="36"/>
      <c r="BL640" s="36"/>
      <c r="BM640" s="36"/>
      <c r="BN640" s="36"/>
      <c r="BO640" s="36"/>
      <c r="BP640" s="36"/>
      <c r="BQ640" s="36"/>
    </row>
    <row r="64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51"/>
      <c r="S641" s="51"/>
      <c r="T641" s="51"/>
      <c r="U641" s="51"/>
      <c r="V641" s="51"/>
      <c r="W641" s="51"/>
      <c r="X641" s="51"/>
      <c r="Y641" s="45"/>
      <c r="Z641" s="45"/>
      <c r="AA641" s="45"/>
      <c r="AB641" s="45"/>
      <c r="AC641" s="45"/>
      <c r="AD641" s="45"/>
      <c r="AE641" s="45"/>
      <c r="AF641" s="45"/>
      <c r="AG641" s="45"/>
      <c r="AH641" s="45"/>
      <c r="AI641" s="45"/>
      <c r="AJ641" s="45"/>
      <c r="AK641" s="45"/>
      <c r="AL641" s="45"/>
      <c r="AM641" s="45"/>
      <c r="AN641" s="45"/>
      <c r="AO641" s="45"/>
      <c r="AP641" s="45"/>
      <c r="AQ641" s="36"/>
      <c r="AR641" s="36"/>
      <c r="AS641" s="36"/>
      <c r="AT641" s="36"/>
      <c r="AU641" s="36"/>
      <c r="AV641" s="36"/>
      <c r="AW641" s="36"/>
      <c r="AX641" s="36"/>
      <c r="AY641" s="36"/>
      <c r="AZ641" s="36"/>
      <c r="BA641" s="36"/>
      <c r="BB641" s="36"/>
      <c r="BC641" s="36"/>
      <c r="BD641" s="36"/>
      <c r="BE641" s="36"/>
      <c r="BF641" s="36"/>
      <c r="BG641" s="36"/>
      <c r="BH641" s="36"/>
      <c r="BI641" s="36"/>
      <c r="BJ641" s="36"/>
      <c r="BK641" s="36"/>
      <c r="BL641" s="36"/>
      <c r="BM641" s="36"/>
      <c r="BN641" s="36"/>
      <c r="BO641" s="36"/>
      <c r="BP641" s="36"/>
      <c r="BQ641" s="36"/>
    </row>
    <row r="64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51"/>
      <c r="S642" s="51"/>
      <c r="T642" s="51"/>
      <c r="U642" s="51"/>
      <c r="V642" s="51"/>
      <c r="W642" s="51"/>
      <c r="X642" s="51"/>
      <c r="Y642" s="45"/>
      <c r="Z642" s="45"/>
      <c r="AA642" s="45"/>
      <c r="AB642" s="45"/>
      <c r="AC642" s="45"/>
      <c r="AD642" s="45"/>
      <c r="AE642" s="45"/>
      <c r="AF642" s="45"/>
      <c r="AG642" s="45"/>
      <c r="AH642" s="45"/>
      <c r="AI642" s="45"/>
      <c r="AJ642" s="45"/>
      <c r="AK642" s="45"/>
      <c r="AL642" s="45"/>
      <c r="AM642" s="45"/>
      <c r="AN642" s="45"/>
      <c r="AO642" s="45"/>
      <c r="AP642" s="45"/>
      <c r="AQ642" s="36"/>
      <c r="AR642" s="36"/>
      <c r="AS642" s="36"/>
      <c r="AT642" s="36"/>
      <c r="AU642" s="36"/>
      <c r="AV642" s="36"/>
      <c r="AW642" s="36"/>
      <c r="AX642" s="36"/>
      <c r="AY642" s="36"/>
      <c r="AZ642" s="36"/>
      <c r="BA642" s="36"/>
      <c r="BB642" s="36"/>
      <c r="BC642" s="36"/>
      <c r="BD642" s="36"/>
      <c r="BE642" s="36"/>
      <c r="BF642" s="36"/>
      <c r="BG642" s="36"/>
      <c r="BH642" s="36"/>
      <c r="BI642" s="36"/>
      <c r="BJ642" s="36"/>
      <c r="BK642" s="36"/>
      <c r="BL642" s="36"/>
      <c r="BM642" s="36"/>
      <c r="BN642" s="36"/>
      <c r="BO642" s="36"/>
      <c r="BP642" s="36"/>
      <c r="BQ642" s="36"/>
    </row>
    <row r="643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51"/>
      <c r="S643" s="51"/>
      <c r="T643" s="51"/>
      <c r="U643" s="51"/>
      <c r="V643" s="51"/>
      <c r="W643" s="51"/>
      <c r="X643" s="51"/>
      <c r="Y643" s="45"/>
      <c r="Z643" s="45"/>
      <c r="AA643" s="45"/>
      <c r="AB643" s="45"/>
      <c r="AC643" s="45"/>
      <c r="AD643" s="45"/>
      <c r="AE643" s="45"/>
      <c r="AF643" s="45"/>
      <c r="AG643" s="45"/>
      <c r="AH643" s="45"/>
      <c r="AI643" s="45"/>
      <c r="AJ643" s="45"/>
      <c r="AK643" s="45"/>
      <c r="AL643" s="45"/>
      <c r="AM643" s="45"/>
      <c r="AN643" s="45"/>
      <c r="AO643" s="45"/>
      <c r="AP643" s="45"/>
      <c r="AQ643" s="36"/>
      <c r="AR643" s="36"/>
      <c r="AS643" s="36"/>
      <c r="AT643" s="36"/>
      <c r="AU643" s="36"/>
      <c r="AV643" s="36"/>
      <c r="AW643" s="36"/>
      <c r="AX643" s="36"/>
      <c r="AY643" s="36"/>
      <c r="AZ643" s="36"/>
      <c r="BA643" s="36"/>
      <c r="BB643" s="36"/>
      <c r="BC643" s="36"/>
      <c r="BD643" s="36"/>
      <c r="BE643" s="36"/>
      <c r="BF643" s="36"/>
      <c r="BG643" s="36"/>
      <c r="BH643" s="36"/>
      <c r="BI643" s="36"/>
      <c r="BJ643" s="36"/>
      <c r="BK643" s="36"/>
      <c r="BL643" s="36"/>
      <c r="BM643" s="36"/>
      <c r="BN643" s="36"/>
      <c r="BO643" s="36"/>
      <c r="BP643" s="36"/>
      <c r="BQ643" s="36"/>
    </row>
    <row r="644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51"/>
      <c r="S644" s="51"/>
      <c r="T644" s="51"/>
      <c r="U644" s="51"/>
      <c r="V644" s="51"/>
      <c r="W644" s="51"/>
      <c r="X644" s="51"/>
      <c r="Y644" s="45"/>
      <c r="Z644" s="45"/>
      <c r="AA644" s="45"/>
      <c r="AB644" s="45"/>
      <c r="AC644" s="45"/>
      <c r="AD644" s="45"/>
      <c r="AE644" s="45"/>
      <c r="AF644" s="45"/>
      <c r="AG644" s="45"/>
      <c r="AH644" s="45"/>
      <c r="AI644" s="45"/>
      <c r="AJ644" s="45"/>
      <c r="AK644" s="45"/>
      <c r="AL644" s="45"/>
      <c r="AM644" s="45"/>
      <c r="AN644" s="45"/>
      <c r="AO644" s="45"/>
      <c r="AP644" s="45"/>
      <c r="AQ644" s="36"/>
      <c r="AR644" s="36"/>
      <c r="AS644" s="36"/>
      <c r="AT644" s="36"/>
      <c r="AU644" s="36"/>
      <c r="AV644" s="36"/>
      <c r="AW644" s="36"/>
      <c r="AX644" s="36"/>
      <c r="AY644" s="36"/>
      <c r="AZ644" s="36"/>
      <c r="BA644" s="36"/>
      <c r="BB644" s="36"/>
      <c r="BC644" s="36"/>
      <c r="BD644" s="36"/>
      <c r="BE644" s="36"/>
      <c r="BF644" s="36"/>
      <c r="BG644" s="36"/>
      <c r="BH644" s="36"/>
      <c r="BI644" s="36"/>
      <c r="BJ644" s="36"/>
      <c r="BK644" s="36"/>
      <c r="BL644" s="36"/>
      <c r="BM644" s="36"/>
      <c r="BN644" s="36"/>
      <c r="BO644" s="36"/>
      <c r="BP644" s="36"/>
      <c r="BQ644" s="36"/>
    </row>
    <row r="64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51"/>
      <c r="S645" s="51"/>
      <c r="T645" s="51"/>
      <c r="U645" s="51"/>
      <c r="V645" s="51"/>
      <c r="W645" s="51"/>
      <c r="X645" s="51"/>
      <c r="Y645" s="45"/>
      <c r="Z645" s="45"/>
      <c r="AA645" s="45"/>
      <c r="AB645" s="45"/>
      <c r="AC645" s="45"/>
      <c r="AD645" s="45"/>
      <c r="AE645" s="45"/>
      <c r="AF645" s="45"/>
      <c r="AG645" s="45"/>
      <c r="AH645" s="45"/>
      <c r="AI645" s="45"/>
      <c r="AJ645" s="45"/>
      <c r="AK645" s="45"/>
      <c r="AL645" s="45"/>
      <c r="AM645" s="45"/>
      <c r="AN645" s="45"/>
      <c r="AO645" s="45"/>
      <c r="AP645" s="45"/>
      <c r="AQ645" s="36"/>
      <c r="AR645" s="36"/>
      <c r="AS645" s="36"/>
      <c r="AT645" s="36"/>
      <c r="AU645" s="36"/>
      <c r="AV645" s="36"/>
      <c r="AW645" s="36"/>
      <c r="AX645" s="36"/>
      <c r="AY645" s="36"/>
      <c r="AZ645" s="36"/>
      <c r="BA645" s="36"/>
      <c r="BB645" s="36"/>
      <c r="BC645" s="36"/>
      <c r="BD645" s="36"/>
      <c r="BE645" s="36"/>
      <c r="BF645" s="36"/>
      <c r="BG645" s="36"/>
      <c r="BH645" s="36"/>
      <c r="BI645" s="36"/>
      <c r="BJ645" s="36"/>
      <c r="BK645" s="36"/>
      <c r="BL645" s="36"/>
      <c r="BM645" s="36"/>
      <c r="BN645" s="36"/>
      <c r="BO645" s="36"/>
      <c r="BP645" s="36"/>
      <c r="BQ645" s="36"/>
    </row>
    <row r="646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51"/>
      <c r="S646" s="51"/>
      <c r="T646" s="51"/>
      <c r="U646" s="51"/>
      <c r="V646" s="51"/>
      <c r="W646" s="51"/>
      <c r="X646" s="51"/>
      <c r="Y646" s="45"/>
      <c r="Z646" s="45"/>
      <c r="AA646" s="45"/>
      <c r="AB646" s="45"/>
      <c r="AC646" s="45"/>
      <c r="AD646" s="45"/>
      <c r="AE646" s="45"/>
      <c r="AF646" s="45"/>
      <c r="AG646" s="45"/>
      <c r="AH646" s="45"/>
      <c r="AI646" s="45"/>
      <c r="AJ646" s="45"/>
      <c r="AK646" s="45"/>
      <c r="AL646" s="45"/>
      <c r="AM646" s="45"/>
      <c r="AN646" s="45"/>
      <c r="AO646" s="45"/>
      <c r="AP646" s="45"/>
      <c r="AQ646" s="36"/>
      <c r="AR646" s="36"/>
      <c r="AS646" s="36"/>
      <c r="AT646" s="36"/>
      <c r="AU646" s="36"/>
      <c r="AV646" s="36"/>
      <c r="AW646" s="36"/>
      <c r="AX646" s="36"/>
      <c r="AY646" s="36"/>
      <c r="AZ646" s="36"/>
      <c r="BA646" s="36"/>
      <c r="BB646" s="36"/>
      <c r="BC646" s="36"/>
      <c r="BD646" s="36"/>
      <c r="BE646" s="36"/>
      <c r="BF646" s="36"/>
      <c r="BG646" s="36"/>
      <c r="BH646" s="36"/>
      <c r="BI646" s="36"/>
      <c r="BJ646" s="36"/>
      <c r="BK646" s="36"/>
      <c r="BL646" s="36"/>
      <c r="BM646" s="36"/>
      <c r="BN646" s="36"/>
      <c r="BO646" s="36"/>
      <c r="BP646" s="36"/>
      <c r="BQ646" s="36"/>
    </row>
    <row r="647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51"/>
      <c r="S647" s="51"/>
      <c r="T647" s="51"/>
      <c r="U647" s="51"/>
      <c r="V647" s="51"/>
      <c r="W647" s="51"/>
      <c r="X647" s="51"/>
      <c r="Y647" s="45"/>
      <c r="Z647" s="45"/>
      <c r="AA647" s="45"/>
      <c r="AB647" s="45"/>
      <c r="AC647" s="45"/>
      <c r="AD647" s="45"/>
      <c r="AE647" s="45"/>
      <c r="AF647" s="45"/>
      <c r="AG647" s="45"/>
      <c r="AH647" s="45"/>
      <c r="AI647" s="45"/>
      <c r="AJ647" s="45"/>
      <c r="AK647" s="45"/>
      <c r="AL647" s="45"/>
      <c r="AM647" s="45"/>
      <c r="AN647" s="45"/>
      <c r="AO647" s="45"/>
      <c r="AP647" s="45"/>
      <c r="AQ647" s="36"/>
      <c r="AR647" s="36"/>
      <c r="AS647" s="36"/>
      <c r="AT647" s="36"/>
      <c r="AU647" s="36"/>
      <c r="AV647" s="36"/>
      <c r="AW647" s="36"/>
      <c r="AX647" s="36"/>
      <c r="AY647" s="36"/>
      <c r="AZ647" s="36"/>
      <c r="BA647" s="36"/>
      <c r="BB647" s="36"/>
      <c r="BC647" s="36"/>
      <c r="BD647" s="36"/>
      <c r="BE647" s="36"/>
      <c r="BF647" s="36"/>
      <c r="BG647" s="36"/>
      <c r="BH647" s="36"/>
      <c r="BI647" s="36"/>
      <c r="BJ647" s="36"/>
      <c r="BK647" s="36"/>
      <c r="BL647" s="36"/>
      <c r="BM647" s="36"/>
      <c r="BN647" s="36"/>
      <c r="BO647" s="36"/>
      <c r="BP647" s="36"/>
      <c r="BQ647" s="36"/>
    </row>
    <row r="648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51"/>
      <c r="S648" s="51"/>
      <c r="T648" s="51"/>
      <c r="U648" s="51"/>
      <c r="V648" s="51"/>
      <c r="W648" s="51"/>
      <c r="X648" s="51"/>
      <c r="Y648" s="45"/>
      <c r="Z648" s="45"/>
      <c r="AA648" s="45"/>
      <c r="AB648" s="45"/>
      <c r="AC648" s="45"/>
      <c r="AD648" s="45"/>
      <c r="AE648" s="45"/>
      <c r="AF648" s="45"/>
      <c r="AG648" s="45"/>
      <c r="AH648" s="45"/>
      <c r="AI648" s="45"/>
      <c r="AJ648" s="45"/>
      <c r="AK648" s="45"/>
      <c r="AL648" s="45"/>
      <c r="AM648" s="45"/>
      <c r="AN648" s="45"/>
      <c r="AO648" s="45"/>
      <c r="AP648" s="45"/>
      <c r="AQ648" s="36"/>
      <c r="AR648" s="36"/>
      <c r="AS648" s="36"/>
      <c r="AT648" s="36"/>
      <c r="AU648" s="36"/>
      <c r="AV648" s="36"/>
      <c r="AW648" s="36"/>
      <c r="AX648" s="36"/>
      <c r="AY648" s="36"/>
      <c r="AZ648" s="36"/>
      <c r="BA648" s="36"/>
      <c r="BB648" s="36"/>
      <c r="BC648" s="36"/>
      <c r="BD648" s="36"/>
      <c r="BE648" s="36"/>
      <c r="BF648" s="36"/>
      <c r="BG648" s="36"/>
      <c r="BH648" s="36"/>
      <c r="BI648" s="36"/>
      <c r="BJ648" s="36"/>
      <c r="BK648" s="36"/>
      <c r="BL648" s="36"/>
      <c r="BM648" s="36"/>
      <c r="BN648" s="36"/>
      <c r="BO648" s="36"/>
      <c r="BP648" s="36"/>
      <c r="BQ648" s="36"/>
    </row>
    <row r="649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51"/>
      <c r="S649" s="51"/>
      <c r="T649" s="51"/>
      <c r="U649" s="51"/>
      <c r="V649" s="51"/>
      <c r="W649" s="51"/>
      <c r="X649" s="51"/>
      <c r="Y649" s="45"/>
      <c r="Z649" s="45"/>
      <c r="AA649" s="45"/>
      <c r="AB649" s="45"/>
      <c r="AC649" s="45"/>
      <c r="AD649" s="45"/>
      <c r="AE649" s="45"/>
      <c r="AF649" s="45"/>
      <c r="AG649" s="45"/>
      <c r="AH649" s="45"/>
      <c r="AI649" s="45"/>
      <c r="AJ649" s="45"/>
      <c r="AK649" s="45"/>
      <c r="AL649" s="45"/>
      <c r="AM649" s="45"/>
      <c r="AN649" s="45"/>
      <c r="AO649" s="45"/>
      <c r="AP649" s="45"/>
      <c r="AQ649" s="36"/>
      <c r="AR649" s="36"/>
      <c r="AS649" s="36"/>
      <c r="AT649" s="36"/>
      <c r="AU649" s="36"/>
      <c r="AV649" s="36"/>
      <c r="AW649" s="36"/>
      <c r="AX649" s="36"/>
      <c r="AY649" s="36"/>
      <c r="AZ649" s="36"/>
      <c r="BA649" s="36"/>
      <c r="BB649" s="36"/>
      <c r="BC649" s="36"/>
      <c r="BD649" s="36"/>
      <c r="BE649" s="36"/>
      <c r="BF649" s="36"/>
      <c r="BG649" s="36"/>
      <c r="BH649" s="36"/>
      <c r="BI649" s="36"/>
      <c r="BJ649" s="36"/>
      <c r="BK649" s="36"/>
      <c r="BL649" s="36"/>
      <c r="BM649" s="36"/>
      <c r="BN649" s="36"/>
      <c r="BO649" s="36"/>
      <c r="BP649" s="36"/>
      <c r="BQ649" s="36"/>
    </row>
    <row r="650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51"/>
      <c r="S650" s="51"/>
      <c r="T650" s="51"/>
      <c r="U650" s="51"/>
      <c r="V650" s="51"/>
      <c r="W650" s="51"/>
      <c r="X650" s="51"/>
      <c r="Y650" s="45"/>
      <c r="Z650" s="45"/>
      <c r="AA650" s="45"/>
      <c r="AB650" s="45"/>
      <c r="AC650" s="45"/>
      <c r="AD650" s="45"/>
      <c r="AE650" s="45"/>
      <c r="AF650" s="45"/>
      <c r="AG650" s="45"/>
      <c r="AH650" s="45"/>
      <c r="AI650" s="45"/>
      <c r="AJ650" s="45"/>
      <c r="AK650" s="45"/>
      <c r="AL650" s="45"/>
      <c r="AM650" s="45"/>
      <c r="AN650" s="45"/>
      <c r="AO650" s="45"/>
      <c r="AP650" s="45"/>
      <c r="AQ650" s="36"/>
      <c r="AR650" s="36"/>
      <c r="AS650" s="36"/>
      <c r="AT650" s="36"/>
      <c r="AU650" s="36"/>
      <c r="AV650" s="36"/>
      <c r="AW650" s="36"/>
      <c r="AX650" s="36"/>
      <c r="AY650" s="36"/>
      <c r="AZ650" s="36"/>
      <c r="BA650" s="36"/>
      <c r="BB650" s="36"/>
      <c r="BC650" s="36"/>
      <c r="BD650" s="36"/>
      <c r="BE650" s="36"/>
      <c r="BF650" s="36"/>
      <c r="BG650" s="36"/>
      <c r="BH650" s="36"/>
      <c r="BI650" s="36"/>
      <c r="BJ650" s="36"/>
      <c r="BK650" s="36"/>
      <c r="BL650" s="36"/>
      <c r="BM650" s="36"/>
      <c r="BN650" s="36"/>
      <c r="BO650" s="36"/>
      <c r="BP650" s="36"/>
      <c r="BQ650" s="36"/>
    </row>
    <row r="65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51"/>
      <c r="S651" s="51"/>
      <c r="T651" s="51"/>
      <c r="U651" s="51"/>
      <c r="V651" s="51"/>
      <c r="W651" s="51"/>
      <c r="X651" s="51"/>
      <c r="Y651" s="45"/>
      <c r="Z651" s="45"/>
      <c r="AA651" s="45"/>
      <c r="AB651" s="45"/>
      <c r="AC651" s="45"/>
      <c r="AD651" s="45"/>
      <c r="AE651" s="45"/>
      <c r="AF651" s="45"/>
      <c r="AG651" s="45"/>
      <c r="AH651" s="45"/>
      <c r="AI651" s="45"/>
      <c r="AJ651" s="45"/>
      <c r="AK651" s="45"/>
      <c r="AL651" s="45"/>
      <c r="AM651" s="45"/>
      <c r="AN651" s="45"/>
      <c r="AO651" s="45"/>
      <c r="AP651" s="45"/>
      <c r="AQ651" s="36"/>
      <c r="AR651" s="36"/>
      <c r="AS651" s="36"/>
      <c r="AT651" s="36"/>
      <c r="AU651" s="36"/>
      <c r="AV651" s="36"/>
      <c r="AW651" s="36"/>
      <c r="AX651" s="36"/>
      <c r="AY651" s="36"/>
      <c r="AZ651" s="36"/>
      <c r="BA651" s="36"/>
      <c r="BB651" s="36"/>
      <c r="BC651" s="36"/>
      <c r="BD651" s="36"/>
      <c r="BE651" s="36"/>
      <c r="BF651" s="36"/>
      <c r="BG651" s="36"/>
      <c r="BH651" s="36"/>
      <c r="BI651" s="36"/>
      <c r="BJ651" s="36"/>
      <c r="BK651" s="36"/>
      <c r="BL651" s="36"/>
      <c r="BM651" s="36"/>
      <c r="BN651" s="36"/>
      <c r="BO651" s="36"/>
      <c r="BP651" s="36"/>
      <c r="BQ651" s="36"/>
    </row>
    <row r="65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51"/>
      <c r="S652" s="51"/>
      <c r="T652" s="51"/>
      <c r="U652" s="51"/>
      <c r="V652" s="51"/>
      <c r="W652" s="51"/>
      <c r="X652" s="51"/>
      <c r="Y652" s="45"/>
      <c r="Z652" s="45"/>
      <c r="AA652" s="45"/>
      <c r="AB652" s="45"/>
      <c r="AC652" s="45"/>
      <c r="AD652" s="45"/>
      <c r="AE652" s="45"/>
      <c r="AF652" s="45"/>
      <c r="AG652" s="45"/>
      <c r="AH652" s="45"/>
      <c r="AI652" s="45"/>
      <c r="AJ652" s="45"/>
      <c r="AK652" s="45"/>
      <c r="AL652" s="45"/>
      <c r="AM652" s="45"/>
      <c r="AN652" s="45"/>
      <c r="AO652" s="45"/>
      <c r="AP652" s="45"/>
      <c r="AQ652" s="36"/>
      <c r="AR652" s="36"/>
      <c r="AS652" s="36"/>
      <c r="AT652" s="36"/>
      <c r="AU652" s="36"/>
      <c r="AV652" s="36"/>
      <c r="AW652" s="36"/>
      <c r="AX652" s="36"/>
      <c r="AY652" s="36"/>
      <c r="AZ652" s="36"/>
      <c r="BA652" s="36"/>
      <c r="BB652" s="36"/>
      <c r="BC652" s="36"/>
      <c r="BD652" s="36"/>
      <c r="BE652" s="36"/>
      <c r="BF652" s="36"/>
      <c r="BG652" s="36"/>
      <c r="BH652" s="36"/>
      <c r="BI652" s="36"/>
      <c r="BJ652" s="36"/>
      <c r="BK652" s="36"/>
      <c r="BL652" s="36"/>
      <c r="BM652" s="36"/>
      <c r="BN652" s="36"/>
      <c r="BO652" s="36"/>
      <c r="BP652" s="36"/>
      <c r="BQ652" s="36"/>
    </row>
    <row r="653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51"/>
      <c r="S653" s="51"/>
      <c r="T653" s="51"/>
      <c r="U653" s="51"/>
      <c r="V653" s="51"/>
      <c r="W653" s="51"/>
      <c r="X653" s="51"/>
      <c r="Y653" s="45"/>
      <c r="Z653" s="45"/>
      <c r="AA653" s="45"/>
      <c r="AB653" s="45"/>
      <c r="AC653" s="45"/>
      <c r="AD653" s="45"/>
      <c r="AE653" s="45"/>
      <c r="AF653" s="45"/>
      <c r="AG653" s="45"/>
      <c r="AH653" s="45"/>
      <c r="AI653" s="45"/>
      <c r="AJ653" s="45"/>
      <c r="AK653" s="45"/>
      <c r="AL653" s="45"/>
      <c r="AM653" s="45"/>
      <c r="AN653" s="45"/>
      <c r="AO653" s="45"/>
      <c r="AP653" s="45"/>
      <c r="AQ653" s="36"/>
      <c r="AR653" s="36"/>
      <c r="AS653" s="36"/>
      <c r="AT653" s="36"/>
      <c r="AU653" s="36"/>
      <c r="AV653" s="36"/>
      <c r="AW653" s="36"/>
      <c r="AX653" s="36"/>
      <c r="AY653" s="36"/>
      <c r="AZ653" s="36"/>
      <c r="BA653" s="36"/>
      <c r="BB653" s="36"/>
      <c r="BC653" s="36"/>
      <c r="BD653" s="36"/>
      <c r="BE653" s="36"/>
      <c r="BF653" s="36"/>
      <c r="BG653" s="36"/>
      <c r="BH653" s="36"/>
      <c r="BI653" s="36"/>
      <c r="BJ653" s="36"/>
      <c r="BK653" s="36"/>
      <c r="BL653" s="36"/>
      <c r="BM653" s="36"/>
      <c r="BN653" s="36"/>
      <c r="BO653" s="36"/>
      <c r="BP653" s="36"/>
      <c r="BQ653" s="36"/>
    </row>
    <row r="654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51"/>
      <c r="S654" s="51"/>
      <c r="T654" s="51"/>
      <c r="U654" s="51"/>
      <c r="V654" s="51"/>
      <c r="W654" s="51"/>
      <c r="X654" s="51"/>
      <c r="Y654" s="45"/>
      <c r="Z654" s="45"/>
      <c r="AA654" s="45"/>
      <c r="AB654" s="45"/>
      <c r="AC654" s="45"/>
      <c r="AD654" s="45"/>
      <c r="AE654" s="45"/>
      <c r="AF654" s="45"/>
      <c r="AG654" s="45"/>
      <c r="AH654" s="45"/>
      <c r="AI654" s="45"/>
      <c r="AJ654" s="45"/>
      <c r="AK654" s="45"/>
      <c r="AL654" s="45"/>
      <c r="AM654" s="45"/>
      <c r="AN654" s="45"/>
      <c r="AO654" s="45"/>
      <c r="AP654" s="45"/>
      <c r="AQ654" s="36"/>
      <c r="AR654" s="36"/>
      <c r="AS654" s="36"/>
      <c r="AT654" s="36"/>
      <c r="AU654" s="36"/>
      <c r="AV654" s="36"/>
      <c r="AW654" s="36"/>
      <c r="AX654" s="36"/>
      <c r="AY654" s="36"/>
      <c r="AZ654" s="36"/>
      <c r="BA654" s="36"/>
      <c r="BB654" s="36"/>
      <c r="BC654" s="36"/>
      <c r="BD654" s="36"/>
      <c r="BE654" s="36"/>
      <c r="BF654" s="36"/>
      <c r="BG654" s="36"/>
      <c r="BH654" s="36"/>
      <c r="BI654" s="36"/>
      <c r="BJ654" s="36"/>
      <c r="BK654" s="36"/>
      <c r="BL654" s="36"/>
      <c r="BM654" s="36"/>
      <c r="BN654" s="36"/>
      <c r="BO654" s="36"/>
      <c r="BP654" s="36"/>
      <c r="BQ654" s="36"/>
    </row>
    <row r="65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51"/>
      <c r="S655" s="51"/>
      <c r="T655" s="51"/>
      <c r="U655" s="51"/>
      <c r="V655" s="51"/>
      <c r="W655" s="51"/>
      <c r="X655" s="51"/>
      <c r="Y655" s="45"/>
      <c r="Z655" s="45"/>
      <c r="AA655" s="45"/>
      <c r="AB655" s="45"/>
      <c r="AC655" s="45"/>
      <c r="AD655" s="45"/>
      <c r="AE655" s="45"/>
      <c r="AF655" s="45"/>
      <c r="AG655" s="45"/>
      <c r="AH655" s="45"/>
      <c r="AI655" s="45"/>
      <c r="AJ655" s="45"/>
      <c r="AK655" s="45"/>
      <c r="AL655" s="45"/>
      <c r="AM655" s="45"/>
      <c r="AN655" s="45"/>
      <c r="AO655" s="45"/>
      <c r="AP655" s="45"/>
      <c r="AQ655" s="36"/>
      <c r="AR655" s="36"/>
      <c r="AS655" s="36"/>
      <c r="AT655" s="36"/>
      <c r="AU655" s="36"/>
      <c r="AV655" s="36"/>
      <c r="AW655" s="36"/>
      <c r="AX655" s="36"/>
      <c r="AY655" s="36"/>
      <c r="AZ655" s="36"/>
      <c r="BA655" s="36"/>
      <c r="BB655" s="36"/>
      <c r="BC655" s="36"/>
      <c r="BD655" s="36"/>
      <c r="BE655" s="36"/>
      <c r="BF655" s="36"/>
      <c r="BG655" s="36"/>
      <c r="BH655" s="36"/>
      <c r="BI655" s="36"/>
      <c r="BJ655" s="36"/>
      <c r="BK655" s="36"/>
      <c r="BL655" s="36"/>
      <c r="BM655" s="36"/>
      <c r="BN655" s="36"/>
      <c r="BO655" s="36"/>
      <c r="BP655" s="36"/>
      <c r="BQ655" s="36"/>
    </row>
    <row r="656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51"/>
      <c r="S656" s="51"/>
      <c r="T656" s="51"/>
      <c r="U656" s="51"/>
      <c r="V656" s="51"/>
      <c r="W656" s="51"/>
      <c r="X656" s="51"/>
      <c r="Y656" s="45"/>
      <c r="Z656" s="45"/>
      <c r="AA656" s="45"/>
      <c r="AB656" s="45"/>
      <c r="AC656" s="45"/>
      <c r="AD656" s="45"/>
      <c r="AE656" s="45"/>
      <c r="AF656" s="45"/>
      <c r="AG656" s="45"/>
      <c r="AH656" s="45"/>
      <c r="AI656" s="45"/>
      <c r="AJ656" s="45"/>
      <c r="AK656" s="45"/>
      <c r="AL656" s="45"/>
      <c r="AM656" s="45"/>
      <c r="AN656" s="45"/>
      <c r="AO656" s="45"/>
      <c r="AP656" s="45"/>
      <c r="AQ656" s="36"/>
      <c r="AR656" s="36"/>
      <c r="AS656" s="36"/>
      <c r="AT656" s="36"/>
      <c r="AU656" s="36"/>
      <c r="AV656" s="36"/>
      <c r="AW656" s="36"/>
      <c r="AX656" s="36"/>
      <c r="AY656" s="36"/>
      <c r="AZ656" s="36"/>
      <c r="BA656" s="36"/>
      <c r="BB656" s="36"/>
      <c r="BC656" s="36"/>
      <c r="BD656" s="36"/>
      <c r="BE656" s="36"/>
      <c r="BF656" s="36"/>
      <c r="BG656" s="36"/>
      <c r="BH656" s="36"/>
      <c r="BI656" s="36"/>
      <c r="BJ656" s="36"/>
      <c r="BK656" s="36"/>
      <c r="BL656" s="36"/>
      <c r="BM656" s="36"/>
      <c r="BN656" s="36"/>
      <c r="BO656" s="36"/>
      <c r="BP656" s="36"/>
      <c r="BQ656" s="36"/>
    </row>
    <row r="657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51"/>
      <c r="S657" s="51"/>
      <c r="T657" s="51"/>
      <c r="U657" s="51"/>
      <c r="V657" s="51"/>
      <c r="W657" s="51"/>
      <c r="X657" s="51"/>
      <c r="Y657" s="45"/>
      <c r="Z657" s="45"/>
      <c r="AA657" s="45"/>
      <c r="AB657" s="45"/>
      <c r="AC657" s="45"/>
      <c r="AD657" s="45"/>
      <c r="AE657" s="45"/>
      <c r="AF657" s="45"/>
      <c r="AG657" s="45"/>
      <c r="AH657" s="45"/>
      <c r="AI657" s="45"/>
      <c r="AJ657" s="45"/>
      <c r="AK657" s="45"/>
      <c r="AL657" s="45"/>
      <c r="AM657" s="45"/>
      <c r="AN657" s="45"/>
      <c r="AO657" s="45"/>
      <c r="AP657" s="45"/>
      <c r="AQ657" s="36"/>
      <c r="AR657" s="36"/>
      <c r="AS657" s="36"/>
      <c r="AT657" s="36"/>
      <c r="AU657" s="36"/>
      <c r="AV657" s="36"/>
      <c r="AW657" s="36"/>
      <c r="AX657" s="36"/>
      <c r="AY657" s="36"/>
      <c r="AZ657" s="36"/>
      <c r="BA657" s="36"/>
      <c r="BB657" s="36"/>
      <c r="BC657" s="36"/>
      <c r="BD657" s="36"/>
      <c r="BE657" s="36"/>
      <c r="BF657" s="36"/>
      <c r="BG657" s="36"/>
      <c r="BH657" s="36"/>
      <c r="BI657" s="36"/>
      <c r="BJ657" s="36"/>
      <c r="BK657" s="36"/>
      <c r="BL657" s="36"/>
      <c r="BM657" s="36"/>
      <c r="BN657" s="36"/>
      <c r="BO657" s="36"/>
      <c r="BP657" s="36"/>
      <c r="BQ657" s="36"/>
    </row>
    <row r="658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51"/>
      <c r="S658" s="51"/>
      <c r="T658" s="51"/>
      <c r="U658" s="51"/>
      <c r="V658" s="51"/>
      <c r="W658" s="51"/>
      <c r="X658" s="51"/>
      <c r="Y658" s="45"/>
      <c r="Z658" s="45"/>
      <c r="AA658" s="45"/>
      <c r="AB658" s="45"/>
      <c r="AC658" s="45"/>
      <c r="AD658" s="45"/>
      <c r="AE658" s="45"/>
      <c r="AF658" s="45"/>
      <c r="AG658" s="45"/>
      <c r="AH658" s="45"/>
      <c r="AI658" s="45"/>
      <c r="AJ658" s="45"/>
      <c r="AK658" s="45"/>
      <c r="AL658" s="45"/>
      <c r="AM658" s="45"/>
      <c r="AN658" s="45"/>
      <c r="AO658" s="45"/>
      <c r="AP658" s="45"/>
      <c r="AQ658" s="36"/>
      <c r="AR658" s="36"/>
      <c r="AS658" s="36"/>
      <c r="AT658" s="36"/>
      <c r="AU658" s="36"/>
      <c r="AV658" s="36"/>
      <c r="AW658" s="36"/>
      <c r="AX658" s="36"/>
      <c r="AY658" s="36"/>
      <c r="AZ658" s="36"/>
      <c r="BA658" s="36"/>
      <c r="BB658" s="36"/>
      <c r="BC658" s="36"/>
      <c r="BD658" s="36"/>
      <c r="BE658" s="36"/>
      <c r="BF658" s="36"/>
      <c r="BG658" s="36"/>
      <c r="BH658" s="36"/>
      <c r="BI658" s="36"/>
      <c r="BJ658" s="36"/>
      <c r="BK658" s="36"/>
      <c r="BL658" s="36"/>
      <c r="BM658" s="36"/>
      <c r="BN658" s="36"/>
      <c r="BO658" s="36"/>
      <c r="BP658" s="36"/>
      <c r="BQ658" s="36"/>
    </row>
    <row r="659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51"/>
      <c r="S659" s="51"/>
      <c r="T659" s="51"/>
      <c r="U659" s="51"/>
      <c r="V659" s="51"/>
      <c r="W659" s="51"/>
      <c r="X659" s="51"/>
      <c r="Y659" s="45"/>
      <c r="Z659" s="45"/>
      <c r="AA659" s="45"/>
      <c r="AB659" s="45"/>
      <c r="AC659" s="45"/>
      <c r="AD659" s="45"/>
      <c r="AE659" s="45"/>
      <c r="AF659" s="45"/>
      <c r="AG659" s="45"/>
      <c r="AH659" s="45"/>
      <c r="AI659" s="45"/>
      <c r="AJ659" s="45"/>
      <c r="AK659" s="45"/>
      <c r="AL659" s="45"/>
      <c r="AM659" s="45"/>
      <c r="AN659" s="45"/>
      <c r="AO659" s="45"/>
      <c r="AP659" s="45"/>
      <c r="AQ659" s="36"/>
      <c r="AR659" s="36"/>
      <c r="AS659" s="36"/>
      <c r="AT659" s="36"/>
      <c r="AU659" s="36"/>
      <c r="AV659" s="36"/>
      <c r="AW659" s="36"/>
      <c r="AX659" s="36"/>
      <c r="AY659" s="36"/>
      <c r="AZ659" s="36"/>
      <c r="BA659" s="36"/>
      <c r="BB659" s="36"/>
      <c r="BC659" s="36"/>
      <c r="BD659" s="36"/>
      <c r="BE659" s="36"/>
      <c r="BF659" s="36"/>
      <c r="BG659" s="36"/>
      <c r="BH659" s="36"/>
      <c r="BI659" s="36"/>
      <c r="BJ659" s="36"/>
      <c r="BK659" s="36"/>
      <c r="BL659" s="36"/>
      <c r="BM659" s="36"/>
      <c r="BN659" s="36"/>
      <c r="BO659" s="36"/>
      <c r="BP659" s="36"/>
      <c r="BQ659" s="36"/>
    </row>
    <row r="660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51"/>
      <c r="S660" s="51"/>
      <c r="T660" s="51"/>
      <c r="U660" s="51"/>
      <c r="V660" s="51"/>
      <c r="W660" s="51"/>
      <c r="X660" s="51"/>
      <c r="Y660" s="45"/>
      <c r="Z660" s="45"/>
      <c r="AA660" s="45"/>
      <c r="AB660" s="45"/>
      <c r="AC660" s="45"/>
      <c r="AD660" s="45"/>
      <c r="AE660" s="45"/>
      <c r="AF660" s="45"/>
      <c r="AG660" s="45"/>
      <c r="AH660" s="45"/>
      <c r="AI660" s="45"/>
      <c r="AJ660" s="45"/>
      <c r="AK660" s="45"/>
      <c r="AL660" s="45"/>
      <c r="AM660" s="45"/>
      <c r="AN660" s="45"/>
      <c r="AO660" s="45"/>
      <c r="AP660" s="45"/>
      <c r="AQ660" s="36"/>
      <c r="AR660" s="36"/>
      <c r="AS660" s="36"/>
      <c r="AT660" s="36"/>
      <c r="AU660" s="36"/>
      <c r="AV660" s="36"/>
      <c r="AW660" s="36"/>
      <c r="AX660" s="36"/>
      <c r="AY660" s="36"/>
      <c r="AZ660" s="36"/>
      <c r="BA660" s="36"/>
      <c r="BB660" s="36"/>
      <c r="BC660" s="36"/>
      <c r="BD660" s="36"/>
      <c r="BE660" s="36"/>
      <c r="BF660" s="36"/>
      <c r="BG660" s="36"/>
      <c r="BH660" s="36"/>
      <c r="BI660" s="36"/>
      <c r="BJ660" s="36"/>
      <c r="BK660" s="36"/>
      <c r="BL660" s="36"/>
      <c r="BM660" s="36"/>
      <c r="BN660" s="36"/>
      <c r="BO660" s="36"/>
      <c r="BP660" s="36"/>
      <c r="BQ660" s="36"/>
    </row>
    <row r="66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51"/>
      <c r="S661" s="51"/>
      <c r="T661" s="51"/>
      <c r="U661" s="51"/>
      <c r="V661" s="51"/>
      <c r="W661" s="51"/>
      <c r="X661" s="51"/>
      <c r="Y661" s="45"/>
      <c r="Z661" s="45"/>
      <c r="AA661" s="45"/>
      <c r="AB661" s="45"/>
      <c r="AC661" s="45"/>
      <c r="AD661" s="45"/>
      <c r="AE661" s="45"/>
      <c r="AF661" s="45"/>
      <c r="AG661" s="45"/>
      <c r="AH661" s="45"/>
      <c r="AI661" s="45"/>
      <c r="AJ661" s="45"/>
      <c r="AK661" s="45"/>
      <c r="AL661" s="45"/>
      <c r="AM661" s="45"/>
      <c r="AN661" s="45"/>
      <c r="AO661" s="45"/>
      <c r="AP661" s="45"/>
      <c r="AQ661" s="36"/>
      <c r="AR661" s="36"/>
      <c r="AS661" s="36"/>
      <c r="AT661" s="36"/>
      <c r="AU661" s="36"/>
      <c r="AV661" s="36"/>
      <c r="AW661" s="36"/>
      <c r="AX661" s="36"/>
      <c r="AY661" s="36"/>
      <c r="AZ661" s="36"/>
      <c r="BA661" s="36"/>
      <c r="BB661" s="36"/>
      <c r="BC661" s="36"/>
      <c r="BD661" s="36"/>
      <c r="BE661" s="36"/>
      <c r="BF661" s="36"/>
      <c r="BG661" s="36"/>
      <c r="BH661" s="36"/>
      <c r="BI661" s="36"/>
      <c r="BJ661" s="36"/>
      <c r="BK661" s="36"/>
      <c r="BL661" s="36"/>
      <c r="BM661" s="36"/>
      <c r="BN661" s="36"/>
      <c r="BO661" s="36"/>
      <c r="BP661" s="36"/>
      <c r="BQ661" s="36"/>
    </row>
    <row r="66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51"/>
      <c r="S662" s="51"/>
      <c r="T662" s="51"/>
      <c r="U662" s="51"/>
      <c r="V662" s="51"/>
      <c r="W662" s="51"/>
      <c r="X662" s="51"/>
      <c r="Y662" s="45"/>
      <c r="Z662" s="45"/>
      <c r="AA662" s="45"/>
      <c r="AB662" s="45"/>
      <c r="AC662" s="45"/>
      <c r="AD662" s="45"/>
      <c r="AE662" s="45"/>
      <c r="AF662" s="45"/>
      <c r="AG662" s="45"/>
      <c r="AH662" s="45"/>
      <c r="AI662" s="45"/>
      <c r="AJ662" s="45"/>
      <c r="AK662" s="45"/>
      <c r="AL662" s="45"/>
      <c r="AM662" s="45"/>
      <c r="AN662" s="45"/>
      <c r="AO662" s="45"/>
      <c r="AP662" s="45"/>
      <c r="AQ662" s="36"/>
      <c r="AR662" s="36"/>
      <c r="AS662" s="36"/>
      <c r="AT662" s="36"/>
      <c r="AU662" s="36"/>
      <c r="AV662" s="36"/>
      <c r="AW662" s="36"/>
      <c r="AX662" s="36"/>
      <c r="AY662" s="36"/>
      <c r="AZ662" s="36"/>
      <c r="BA662" s="36"/>
      <c r="BB662" s="36"/>
      <c r="BC662" s="36"/>
      <c r="BD662" s="36"/>
      <c r="BE662" s="36"/>
      <c r="BF662" s="36"/>
      <c r="BG662" s="36"/>
      <c r="BH662" s="36"/>
      <c r="BI662" s="36"/>
      <c r="BJ662" s="36"/>
      <c r="BK662" s="36"/>
      <c r="BL662" s="36"/>
      <c r="BM662" s="36"/>
      <c r="BN662" s="36"/>
      <c r="BO662" s="36"/>
      <c r="BP662" s="36"/>
      <c r="BQ662" s="36"/>
    </row>
    <row r="663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51"/>
      <c r="S663" s="51"/>
      <c r="T663" s="51"/>
      <c r="U663" s="51"/>
      <c r="V663" s="51"/>
      <c r="W663" s="51"/>
      <c r="X663" s="51"/>
      <c r="Y663" s="45"/>
      <c r="Z663" s="45"/>
      <c r="AA663" s="45"/>
      <c r="AB663" s="45"/>
      <c r="AC663" s="45"/>
      <c r="AD663" s="45"/>
      <c r="AE663" s="45"/>
      <c r="AF663" s="45"/>
      <c r="AG663" s="45"/>
      <c r="AH663" s="45"/>
      <c r="AI663" s="45"/>
      <c r="AJ663" s="45"/>
      <c r="AK663" s="45"/>
      <c r="AL663" s="45"/>
      <c r="AM663" s="45"/>
      <c r="AN663" s="45"/>
      <c r="AO663" s="45"/>
      <c r="AP663" s="45"/>
      <c r="AQ663" s="36"/>
      <c r="AR663" s="36"/>
      <c r="AS663" s="36"/>
      <c r="AT663" s="36"/>
      <c r="AU663" s="36"/>
      <c r="AV663" s="36"/>
      <c r="AW663" s="36"/>
      <c r="AX663" s="36"/>
      <c r="AY663" s="36"/>
      <c r="AZ663" s="36"/>
      <c r="BA663" s="36"/>
      <c r="BB663" s="36"/>
      <c r="BC663" s="36"/>
      <c r="BD663" s="36"/>
      <c r="BE663" s="36"/>
      <c r="BF663" s="36"/>
      <c r="BG663" s="36"/>
      <c r="BH663" s="36"/>
      <c r="BI663" s="36"/>
      <c r="BJ663" s="36"/>
      <c r="BK663" s="36"/>
      <c r="BL663" s="36"/>
      <c r="BM663" s="36"/>
      <c r="BN663" s="36"/>
      <c r="BO663" s="36"/>
      <c r="BP663" s="36"/>
      <c r="BQ663" s="36"/>
    </row>
    <row r="664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51"/>
      <c r="S664" s="51"/>
      <c r="T664" s="51"/>
      <c r="U664" s="51"/>
      <c r="V664" s="51"/>
      <c r="W664" s="51"/>
      <c r="X664" s="51"/>
      <c r="Y664" s="45"/>
      <c r="Z664" s="45"/>
      <c r="AA664" s="45"/>
      <c r="AB664" s="45"/>
      <c r="AC664" s="45"/>
      <c r="AD664" s="45"/>
      <c r="AE664" s="45"/>
      <c r="AF664" s="45"/>
      <c r="AG664" s="45"/>
      <c r="AH664" s="45"/>
      <c r="AI664" s="45"/>
      <c r="AJ664" s="45"/>
      <c r="AK664" s="45"/>
      <c r="AL664" s="45"/>
      <c r="AM664" s="45"/>
      <c r="AN664" s="45"/>
      <c r="AO664" s="45"/>
      <c r="AP664" s="45"/>
      <c r="AQ664" s="36"/>
      <c r="AR664" s="36"/>
      <c r="AS664" s="36"/>
      <c r="AT664" s="36"/>
      <c r="AU664" s="36"/>
      <c r="AV664" s="36"/>
      <c r="AW664" s="36"/>
      <c r="AX664" s="36"/>
      <c r="AY664" s="36"/>
      <c r="AZ664" s="36"/>
      <c r="BA664" s="36"/>
      <c r="BB664" s="36"/>
      <c r="BC664" s="36"/>
      <c r="BD664" s="36"/>
      <c r="BE664" s="36"/>
      <c r="BF664" s="36"/>
      <c r="BG664" s="36"/>
      <c r="BH664" s="36"/>
      <c r="BI664" s="36"/>
      <c r="BJ664" s="36"/>
      <c r="BK664" s="36"/>
      <c r="BL664" s="36"/>
      <c r="BM664" s="36"/>
      <c r="BN664" s="36"/>
      <c r="BO664" s="36"/>
      <c r="BP664" s="36"/>
      <c r="BQ664" s="36"/>
    </row>
    <row r="66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51"/>
      <c r="S665" s="51"/>
      <c r="T665" s="51"/>
      <c r="U665" s="51"/>
      <c r="V665" s="51"/>
      <c r="W665" s="51"/>
      <c r="X665" s="51"/>
      <c r="Y665" s="45"/>
      <c r="Z665" s="45"/>
      <c r="AA665" s="45"/>
      <c r="AB665" s="45"/>
      <c r="AC665" s="45"/>
      <c r="AD665" s="45"/>
      <c r="AE665" s="45"/>
      <c r="AF665" s="45"/>
      <c r="AG665" s="45"/>
      <c r="AH665" s="45"/>
      <c r="AI665" s="45"/>
      <c r="AJ665" s="45"/>
      <c r="AK665" s="45"/>
      <c r="AL665" s="45"/>
      <c r="AM665" s="45"/>
      <c r="AN665" s="45"/>
      <c r="AO665" s="45"/>
      <c r="AP665" s="45"/>
      <c r="AQ665" s="36"/>
      <c r="AR665" s="36"/>
      <c r="AS665" s="36"/>
      <c r="AT665" s="36"/>
      <c r="AU665" s="36"/>
      <c r="AV665" s="36"/>
      <c r="AW665" s="36"/>
      <c r="AX665" s="36"/>
      <c r="AY665" s="36"/>
      <c r="AZ665" s="36"/>
      <c r="BA665" s="36"/>
      <c r="BB665" s="36"/>
      <c r="BC665" s="36"/>
      <c r="BD665" s="36"/>
      <c r="BE665" s="36"/>
      <c r="BF665" s="36"/>
      <c r="BG665" s="36"/>
      <c r="BH665" s="36"/>
      <c r="BI665" s="36"/>
      <c r="BJ665" s="36"/>
      <c r="BK665" s="36"/>
      <c r="BL665" s="36"/>
      <c r="BM665" s="36"/>
      <c r="BN665" s="36"/>
      <c r="BO665" s="36"/>
      <c r="BP665" s="36"/>
      <c r="BQ665" s="36"/>
    </row>
    <row r="666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51"/>
      <c r="S666" s="51"/>
      <c r="T666" s="51"/>
      <c r="U666" s="51"/>
      <c r="V666" s="51"/>
      <c r="W666" s="51"/>
      <c r="X666" s="51"/>
      <c r="Y666" s="45"/>
      <c r="Z666" s="45"/>
      <c r="AA666" s="45"/>
      <c r="AB666" s="45"/>
      <c r="AC666" s="45"/>
      <c r="AD666" s="45"/>
      <c r="AE666" s="45"/>
      <c r="AF666" s="45"/>
      <c r="AG666" s="45"/>
      <c r="AH666" s="45"/>
      <c r="AI666" s="45"/>
      <c r="AJ666" s="45"/>
      <c r="AK666" s="45"/>
      <c r="AL666" s="45"/>
      <c r="AM666" s="45"/>
      <c r="AN666" s="45"/>
      <c r="AO666" s="45"/>
      <c r="AP666" s="45"/>
      <c r="AQ666" s="36"/>
      <c r="AR666" s="36"/>
      <c r="AS666" s="36"/>
      <c r="AT666" s="36"/>
      <c r="AU666" s="36"/>
      <c r="AV666" s="36"/>
      <c r="AW666" s="36"/>
      <c r="AX666" s="36"/>
      <c r="AY666" s="36"/>
      <c r="AZ666" s="36"/>
      <c r="BA666" s="36"/>
      <c r="BB666" s="36"/>
      <c r="BC666" s="36"/>
      <c r="BD666" s="36"/>
      <c r="BE666" s="36"/>
      <c r="BF666" s="36"/>
      <c r="BG666" s="36"/>
      <c r="BH666" s="36"/>
      <c r="BI666" s="36"/>
      <c r="BJ666" s="36"/>
      <c r="BK666" s="36"/>
      <c r="BL666" s="36"/>
      <c r="BM666" s="36"/>
      <c r="BN666" s="36"/>
      <c r="BO666" s="36"/>
      <c r="BP666" s="36"/>
      <c r="BQ666" s="36"/>
    </row>
    <row r="667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51"/>
      <c r="S667" s="51"/>
      <c r="T667" s="51"/>
      <c r="U667" s="51"/>
      <c r="V667" s="51"/>
      <c r="W667" s="51"/>
      <c r="X667" s="51"/>
      <c r="Y667" s="45"/>
      <c r="Z667" s="45"/>
      <c r="AA667" s="45"/>
      <c r="AB667" s="45"/>
      <c r="AC667" s="45"/>
      <c r="AD667" s="45"/>
      <c r="AE667" s="45"/>
      <c r="AF667" s="45"/>
      <c r="AG667" s="45"/>
      <c r="AH667" s="45"/>
      <c r="AI667" s="45"/>
      <c r="AJ667" s="45"/>
      <c r="AK667" s="45"/>
      <c r="AL667" s="45"/>
      <c r="AM667" s="45"/>
      <c r="AN667" s="45"/>
      <c r="AO667" s="45"/>
      <c r="AP667" s="45"/>
      <c r="AQ667" s="36"/>
      <c r="AR667" s="36"/>
      <c r="AS667" s="36"/>
      <c r="AT667" s="36"/>
      <c r="AU667" s="36"/>
      <c r="AV667" s="36"/>
      <c r="AW667" s="36"/>
      <c r="AX667" s="36"/>
      <c r="AY667" s="36"/>
      <c r="AZ667" s="36"/>
      <c r="BA667" s="36"/>
      <c r="BB667" s="36"/>
      <c r="BC667" s="36"/>
      <c r="BD667" s="36"/>
      <c r="BE667" s="36"/>
      <c r="BF667" s="36"/>
      <c r="BG667" s="36"/>
      <c r="BH667" s="36"/>
      <c r="BI667" s="36"/>
      <c r="BJ667" s="36"/>
      <c r="BK667" s="36"/>
      <c r="BL667" s="36"/>
      <c r="BM667" s="36"/>
      <c r="BN667" s="36"/>
      <c r="BO667" s="36"/>
      <c r="BP667" s="36"/>
      <c r="BQ667" s="36"/>
    </row>
    <row r="668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51"/>
      <c r="S668" s="51"/>
      <c r="T668" s="51"/>
      <c r="U668" s="51"/>
      <c r="V668" s="51"/>
      <c r="W668" s="51"/>
      <c r="X668" s="51"/>
      <c r="Y668" s="45"/>
      <c r="Z668" s="45"/>
      <c r="AA668" s="45"/>
      <c r="AB668" s="45"/>
      <c r="AC668" s="45"/>
      <c r="AD668" s="45"/>
      <c r="AE668" s="45"/>
      <c r="AF668" s="45"/>
      <c r="AG668" s="45"/>
      <c r="AH668" s="45"/>
      <c r="AI668" s="45"/>
      <c r="AJ668" s="45"/>
      <c r="AK668" s="45"/>
      <c r="AL668" s="45"/>
      <c r="AM668" s="45"/>
      <c r="AN668" s="45"/>
      <c r="AO668" s="45"/>
      <c r="AP668" s="45"/>
      <c r="AQ668" s="36"/>
      <c r="AR668" s="36"/>
      <c r="AS668" s="36"/>
      <c r="AT668" s="36"/>
      <c r="AU668" s="36"/>
      <c r="AV668" s="36"/>
      <c r="AW668" s="36"/>
      <c r="AX668" s="36"/>
      <c r="AY668" s="36"/>
      <c r="AZ668" s="36"/>
      <c r="BA668" s="36"/>
      <c r="BB668" s="36"/>
      <c r="BC668" s="36"/>
      <c r="BD668" s="36"/>
      <c r="BE668" s="36"/>
      <c r="BF668" s="36"/>
      <c r="BG668" s="36"/>
      <c r="BH668" s="36"/>
      <c r="BI668" s="36"/>
      <c r="BJ668" s="36"/>
      <c r="BK668" s="36"/>
      <c r="BL668" s="36"/>
      <c r="BM668" s="36"/>
      <c r="BN668" s="36"/>
      <c r="BO668" s="36"/>
      <c r="BP668" s="36"/>
      <c r="BQ668" s="36"/>
    </row>
    <row r="669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51"/>
      <c r="S669" s="51"/>
      <c r="T669" s="51"/>
      <c r="U669" s="51"/>
      <c r="V669" s="51"/>
      <c r="W669" s="51"/>
      <c r="X669" s="51"/>
      <c r="Y669" s="45"/>
      <c r="Z669" s="45"/>
      <c r="AA669" s="45"/>
      <c r="AB669" s="45"/>
      <c r="AC669" s="45"/>
      <c r="AD669" s="45"/>
      <c r="AE669" s="45"/>
      <c r="AF669" s="45"/>
      <c r="AG669" s="45"/>
      <c r="AH669" s="45"/>
      <c r="AI669" s="45"/>
      <c r="AJ669" s="45"/>
      <c r="AK669" s="45"/>
      <c r="AL669" s="45"/>
      <c r="AM669" s="45"/>
      <c r="AN669" s="45"/>
      <c r="AO669" s="45"/>
      <c r="AP669" s="45"/>
      <c r="AQ669" s="36"/>
      <c r="AR669" s="36"/>
      <c r="AS669" s="36"/>
      <c r="AT669" s="36"/>
      <c r="AU669" s="36"/>
      <c r="AV669" s="36"/>
      <c r="AW669" s="36"/>
      <c r="AX669" s="36"/>
      <c r="AY669" s="36"/>
      <c r="AZ669" s="36"/>
      <c r="BA669" s="36"/>
      <c r="BB669" s="36"/>
      <c r="BC669" s="36"/>
      <c r="BD669" s="36"/>
      <c r="BE669" s="36"/>
      <c r="BF669" s="36"/>
      <c r="BG669" s="36"/>
      <c r="BH669" s="36"/>
      <c r="BI669" s="36"/>
      <c r="BJ669" s="36"/>
      <c r="BK669" s="36"/>
      <c r="BL669" s="36"/>
      <c r="BM669" s="36"/>
      <c r="BN669" s="36"/>
      <c r="BO669" s="36"/>
      <c r="BP669" s="36"/>
      <c r="BQ669" s="36"/>
    </row>
    <row r="670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51"/>
      <c r="S670" s="51"/>
      <c r="T670" s="51"/>
      <c r="U670" s="51"/>
      <c r="V670" s="51"/>
      <c r="W670" s="51"/>
      <c r="X670" s="51"/>
      <c r="Y670" s="45"/>
      <c r="Z670" s="45"/>
      <c r="AA670" s="45"/>
      <c r="AB670" s="45"/>
      <c r="AC670" s="45"/>
      <c r="AD670" s="45"/>
      <c r="AE670" s="45"/>
      <c r="AF670" s="45"/>
      <c r="AG670" s="45"/>
      <c r="AH670" s="45"/>
      <c r="AI670" s="45"/>
      <c r="AJ670" s="45"/>
      <c r="AK670" s="45"/>
      <c r="AL670" s="45"/>
      <c r="AM670" s="45"/>
      <c r="AN670" s="45"/>
      <c r="AO670" s="45"/>
      <c r="AP670" s="45"/>
      <c r="AQ670" s="36"/>
      <c r="AR670" s="36"/>
      <c r="AS670" s="36"/>
      <c r="AT670" s="36"/>
      <c r="AU670" s="36"/>
      <c r="AV670" s="36"/>
      <c r="AW670" s="36"/>
      <c r="AX670" s="36"/>
      <c r="AY670" s="36"/>
      <c r="AZ670" s="36"/>
      <c r="BA670" s="36"/>
      <c r="BB670" s="36"/>
      <c r="BC670" s="36"/>
      <c r="BD670" s="36"/>
      <c r="BE670" s="36"/>
      <c r="BF670" s="36"/>
      <c r="BG670" s="36"/>
      <c r="BH670" s="36"/>
      <c r="BI670" s="36"/>
      <c r="BJ670" s="36"/>
      <c r="BK670" s="36"/>
      <c r="BL670" s="36"/>
      <c r="BM670" s="36"/>
      <c r="BN670" s="36"/>
      <c r="BO670" s="36"/>
      <c r="BP670" s="36"/>
      <c r="BQ670" s="36"/>
    </row>
    <row r="67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51"/>
      <c r="S671" s="51"/>
      <c r="T671" s="51"/>
      <c r="U671" s="51"/>
      <c r="V671" s="51"/>
      <c r="W671" s="51"/>
      <c r="X671" s="51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5"/>
      <c r="AM671" s="45"/>
      <c r="AN671" s="45"/>
      <c r="AO671" s="45"/>
      <c r="AP671" s="45"/>
      <c r="AQ671" s="36"/>
      <c r="AR671" s="36"/>
      <c r="AS671" s="36"/>
      <c r="AT671" s="36"/>
      <c r="AU671" s="36"/>
      <c r="AV671" s="36"/>
      <c r="AW671" s="36"/>
      <c r="AX671" s="36"/>
      <c r="AY671" s="36"/>
      <c r="AZ671" s="36"/>
      <c r="BA671" s="36"/>
      <c r="BB671" s="36"/>
      <c r="BC671" s="36"/>
      <c r="BD671" s="36"/>
      <c r="BE671" s="36"/>
      <c r="BF671" s="36"/>
      <c r="BG671" s="36"/>
      <c r="BH671" s="36"/>
      <c r="BI671" s="36"/>
      <c r="BJ671" s="36"/>
      <c r="BK671" s="36"/>
      <c r="BL671" s="36"/>
      <c r="BM671" s="36"/>
      <c r="BN671" s="36"/>
      <c r="BO671" s="36"/>
      <c r="BP671" s="36"/>
      <c r="BQ671" s="36"/>
    </row>
    <row r="67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51"/>
      <c r="S672" s="51"/>
      <c r="T672" s="51"/>
      <c r="U672" s="51"/>
      <c r="V672" s="51"/>
      <c r="W672" s="51"/>
      <c r="X672" s="51"/>
      <c r="Y672" s="45"/>
      <c r="Z672" s="45"/>
      <c r="AA672" s="45"/>
      <c r="AB672" s="45"/>
      <c r="AC672" s="45"/>
      <c r="AD672" s="45"/>
      <c r="AE672" s="45"/>
      <c r="AF672" s="45"/>
      <c r="AG672" s="45"/>
      <c r="AH672" s="45"/>
      <c r="AI672" s="45"/>
      <c r="AJ672" s="45"/>
      <c r="AK672" s="45"/>
      <c r="AL672" s="45"/>
      <c r="AM672" s="45"/>
      <c r="AN672" s="45"/>
      <c r="AO672" s="45"/>
      <c r="AP672" s="45"/>
      <c r="AQ672" s="36"/>
      <c r="AR672" s="36"/>
      <c r="AS672" s="36"/>
      <c r="AT672" s="36"/>
      <c r="AU672" s="36"/>
      <c r="AV672" s="36"/>
      <c r="AW672" s="36"/>
      <c r="AX672" s="36"/>
      <c r="AY672" s="36"/>
      <c r="AZ672" s="36"/>
      <c r="BA672" s="36"/>
      <c r="BB672" s="36"/>
      <c r="BC672" s="36"/>
      <c r="BD672" s="36"/>
      <c r="BE672" s="36"/>
      <c r="BF672" s="36"/>
      <c r="BG672" s="36"/>
      <c r="BH672" s="36"/>
      <c r="BI672" s="36"/>
      <c r="BJ672" s="36"/>
      <c r="BK672" s="36"/>
      <c r="BL672" s="36"/>
      <c r="BM672" s="36"/>
      <c r="BN672" s="36"/>
      <c r="BO672" s="36"/>
      <c r="BP672" s="36"/>
      <c r="BQ672" s="36"/>
    </row>
    <row r="673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51"/>
      <c r="S673" s="51"/>
      <c r="T673" s="51"/>
      <c r="U673" s="51"/>
      <c r="V673" s="51"/>
      <c r="W673" s="51"/>
      <c r="X673" s="51"/>
      <c r="Y673" s="45"/>
      <c r="Z673" s="45"/>
      <c r="AA673" s="45"/>
      <c r="AB673" s="45"/>
      <c r="AC673" s="45"/>
      <c r="AD673" s="45"/>
      <c r="AE673" s="45"/>
      <c r="AF673" s="45"/>
      <c r="AG673" s="45"/>
      <c r="AH673" s="45"/>
      <c r="AI673" s="45"/>
      <c r="AJ673" s="45"/>
      <c r="AK673" s="45"/>
      <c r="AL673" s="45"/>
      <c r="AM673" s="45"/>
      <c r="AN673" s="45"/>
      <c r="AO673" s="45"/>
      <c r="AP673" s="45"/>
      <c r="AQ673" s="36"/>
      <c r="AR673" s="36"/>
      <c r="AS673" s="36"/>
      <c r="AT673" s="36"/>
      <c r="AU673" s="36"/>
      <c r="AV673" s="36"/>
      <c r="AW673" s="36"/>
      <c r="AX673" s="36"/>
      <c r="AY673" s="36"/>
      <c r="AZ673" s="36"/>
      <c r="BA673" s="36"/>
      <c r="BB673" s="36"/>
      <c r="BC673" s="36"/>
      <c r="BD673" s="36"/>
      <c r="BE673" s="36"/>
      <c r="BF673" s="36"/>
      <c r="BG673" s="36"/>
      <c r="BH673" s="36"/>
      <c r="BI673" s="36"/>
      <c r="BJ673" s="36"/>
      <c r="BK673" s="36"/>
      <c r="BL673" s="36"/>
      <c r="BM673" s="36"/>
      <c r="BN673" s="36"/>
      <c r="BO673" s="36"/>
      <c r="BP673" s="36"/>
      <c r="BQ673" s="36"/>
    </row>
    <row r="674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51"/>
      <c r="S674" s="51"/>
      <c r="T674" s="51"/>
      <c r="U674" s="51"/>
      <c r="V674" s="51"/>
      <c r="W674" s="51"/>
      <c r="X674" s="51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5"/>
      <c r="AM674" s="45"/>
      <c r="AN674" s="45"/>
      <c r="AO674" s="45"/>
      <c r="AP674" s="45"/>
      <c r="AQ674" s="36"/>
      <c r="AR674" s="36"/>
      <c r="AS674" s="36"/>
      <c r="AT674" s="36"/>
      <c r="AU674" s="36"/>
      <c r="AV674" s="36"/>
      <c r="AW674" s="36"/>
      <c r="AX674" s="36"/>
      <c r="AY674" s="36"/>
      <c r="AZ674" s="36"/>
      <c r="BA674" s="36"/>
      <c r="BB674" s="36"/>
      <c r="BC674" s="36"/>
      <c r="BD674" s="36"/>
      <c r="BE674" s="36"/>
      <c r="BF674" s="36"/>
      <c r="BG674" s="36"/>
      <c r="BH674" s="36"/>
      <c r="BI674" s="36"/>
      <c r="BJ674" s="36"/>
      <c r="BK674" s="36"/>
      <c r="BL674" s="36"/>
      <c r="BM674" s="36"/>
      <c r="BN674" s="36"/>
      <c r="BO674" s="36"/>
      <c r="BP674" s="36"/>
      <c r="BQ674" s="36"/>
    </row>
    <row r="67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51"/>
      <c r="S675" s="51"/>
      <c r="T675" s="51"/>
      <c r="U675" s="51"/>
      <c r="V675" s="51"/>
      <c r="W675" s="51"/>
      <c r="X675" s="51"/>
      <c r="Y675" s="45"/>
      <c r="Z675" s="45"/>
      <c r="AA675" s="45"/>
      <c r="AB675" s="45"/>
      <c r="AC675" s="45"/>
      <c r="AD675" s="45"/>
      <c r="AE675" s="45"/>
      <c r="AF675" s="45"/>
      <c r="AG675" s="45"/>
      <c r="AH675" s="45"/>
      <c r="AI675" s="45"/>
      <c r="AJ675" s="45"/>
      <c r="AK675" s="45"/>
      <c r="AL675" s="45"/>
      <c r="AM675" s="45"/>
      <c r="AN675" s="45"/>
      <c r="AO675" s="45"/>
      <c r="AP675" s="45"/>
      <c r="AQ675" s="36"/>
      <c r="AR675" s="36"/>
      <c r="AS675" s="36"/>
      <c r="AT675" s="36"/>
      <c r="AU675" s="36"/>
      <c r="AV675" s="36"/>
      <c r="AW675" s="36"/>
      <c r="AX675" s="36"/>
      <c r="AY675" s="36"/>
      <c r="AZ675" s="36"/>
      <c r="BA675" s="36"/>
      <c r="BB675" s="36"/>
      <c r="BC675" s="36"/>
      <c r="BD675" s="36"/>
      <c r="BE675" s="36"/>
      <c r="BF675" s="36"/>
      <c r="BG675" s="36"/>
      <c r="BH675" s="36"/>
      <c r="BI675" s="36"/>
      <c r="BJ675" s="36"/>
      <c r="BK675" s="36"/>
      <c r="BL675" s="36"/>
      <c r="BM675" s="36"/>
      <c r="BN675" s="36"/>
      <c r="BO675" s="36"/>
      <c r="BP675" s="36"/>
      <c r="BQ675" s="36"/>
    </row>
    <row r="676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51"/>
      <c r="S676" s="51"/>
      <c r="T676" s="51"/>
      <c r="U676" s="51"/>
      <c r="V676" s="51"/>
      <c r="W676" s="51"/>
      <c r="X676" s="51"/>
      <c r="Y676" s="45"/>
      <c r="Z676" s="45"/>
      <c r="AA676" s="45"/>
      <c r="AB676" s="45"/>
      <c r="AC676" s="45"/>
      <c r="AD676" s="45"/>
      <c r="AE676" s="45"/>
      <c r="AF676" s="45"/>
      <c r="AG676" s="45"/>
      <c r="AH676" s="45"/>
      <c r="AI676" s="45"/>
      <c r="AJ676" s="45"/>
      <c r="AK676" s="45"/>
      <c r="AL676" s="45"/>
      <c r="AM676" s="45"/>
      <c r="AN676" s="45"/>
      <c r="AO676" s="45"/>
      <c r="AP676" s="45"/>
      <c r="AQ676" s="36"/>
      <c r="AR676" s="36"/>
      <c r="AS676" s="36"/>
      <c r="AT676" s="36"/>
      <c r="AU676" s="36"/>
      <c r="AV676" s="36"/>
      <c r="AW676" s="36"/>
      <c r="AX676" s="36"/>
      <c r="AY676" s="36"/>
      <c r="AZ676" s="36"/>
      <c r="BA676" s="36"/>
      <c r="BB676" s="36"/>
      <c r="BC676" s="36"/>
      <c r="BD676" s="36"/>
      <c r="BE676" s="36"/>
      <c r="BF676" s="36"/>
      <c r="BG676" s="36"/>
      <c r="BH676" s="36"/>
      <c r="BI676" s="36"/>
      <c r="BJ676" s="36"/>
      <c r="BK676" s="36"/>
      <c r="BL676" s="36"/>
      <c r="BM676" s="36"/>
      <c r="BN676" s="36"/>
      <c r="BO676" s="36"/>
      <c r="BP676" s="36"/>
      <c r="BQ676" s="36"/>
    </row>
    <row r="677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51"/>
      <c r="S677" s="51"/>
      <c r="T677" s="51"/>
      <c r="U677" s="51"/>
      <c r="V677" s="51"/>
      <c r="W677" s="51"/>
      <c r="X677" s="51"/>
      <c r="Y677" s="45"/>
      <c r="Z677" s="45"/>
      <c r="AA677" s="45"/>
      <c r="AB677" s="45"/>
      <c r="AC677" s="45"/>
      <c r="AD677" s="45"/>
      <c r="AE677" s="45"/>
      <c r="AF677" s="45"/>
      <c r="AG677" s="45"/>
      <c r="AH677" s="45"/>
      <c r="AI677" s="45"/>
      <c r="AJ677" s="45"/>
      <c r="AK677" s="45"/>
      <c r="AL677" s="45"/>
      <c r="AM677" s="45"/>
      <c r="AN677" s="45"/>
      <c r="AO677" s="45"/>
      <c r="AP677" s="45"/>
      <c r="AQ677" s="36"/>
      <c r="AR677" s="36"/>
      <c r="AS677" s="36"/>
      <c r="AT677" s="36"/>
      <c r="AU677" s="36"/>
      <c r="AV677" s="36"/>
      <c r="AW677" s="36"/>
      <c r="AX677" s="36"/>
      <c r="AY677" s="36"/>
      <c r="AZ677" s="36"/>
      <c r="BA677" s="36"/>
      <c r="BB677" s="36"/>
      <c r="BC677" s="36"/>
      <c r="BD677" s="36"/>
      <c r="BE677" s="36"/>
      <c r="BF677" s="36"/>
      <c r="BG677" s="36"/>
      <c r="BH677" s="36"/>
      <c r="BI677" s="36"/>
      <c r="BJ677" s="36"/>
      <c r="BK677" s="36"/>
      <c r="BL677" s="36"/>
      <c r="BM677" s="36"/>
      <c r="BN677" s="36"/>
      <c r="BO677" s="36"/>
      <c r="BP677" s="36"/>
      <c r="BQ677" s="36"/>
    </row>
    <row r="678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51"/>
      <c r="S678" s="51"/>
      <c r="T678" s="51"/>
      <c r="U678" s="51"/>
      <c r="V678" s="51"/>
      <c r="W678" s="51"/>
      <c r="X678" s="51"/>
      <c r="Y678" s="45"/>
      <c r="Z678" s="45"/>
      <c r="AA678" s="45"/>
      <c r="AB678" s="45"/>
      <c r="AC678" s="45"/>
      <c r="AD678" s="45"/>
      <c r="AE678" s="45"/>
      <c r="AF678" s="45"/>
      <c r="AG678" s="45"/>
      <c r="AH678" s="45"/>
      <c r="AI678" s="45"/>
      <c r="AJ678" s="45"/>
      <c r="AK678" s="45"/>
      <c r="AL678" s="45"/>
      <c r="AM678" s="45"/>
      <c r="AN678" s="45"/>
      <c r="AO678" s="45"/>
      <c r="AP678" s="45"/>
      <c r="AQ678" s="36"/>
      <c r="AR678" s="36"/>
      <c r="AS678" s="36"/>
      <c r="AT678" s="36"/>
      <c r="AU678" s="36"/>
      <c r="AV678" s="36"/>
      <c r="AW678" s="36"/>
      <c r="AX678" s="36"/>
      <c r="AY678" s="36"/>
      <c r="AZ678" s="36"/>
      <c r="BA678" s="36"/>
      <c r="BB678" s="36"/>
      <c r="BC678" s="36"/>
      <c r="BD678" s="36"/>
      <c r="BE678" s="36"/>
      <c r="BF678" s="36"/>
      <c r="BG678" s="36"/>
      <c r="BH678" s="36"/>
      <c r="BI678" s="36"/>
      <c r="BJ678" s="36"/>
      <c r="BK678" s="36"/>
      <c r="BL678" s="36"/>
      <c r="BM678" s="36"/>
      <c r="BN678" s="36"/>
      <c r="BO678" s="36"/>
      <c r="BP678" s="36"/>
      <c r="BQ678" s="36"/>
    </row>
    <row r="679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51"/>
      <c r="S679" s="51"/>
      <c r="T679" s="51"/>
      <c r="U679" s="51"/>
      <c r="V679" s="51"/>
      <c r="W679" s="51"/>
      <c r="X679" s="51"/>
      <c r="Y679" s="45"/>
      <c r="Z679" s="45"/>
      <c r="AA679" s="45"/>
      <c r="AB679" s="45"/>
      <c r="AC679" s="45"/>
      <c r="AD679" s="45"/>
      <c r="AE679" s="45"/>
      <c r="AF679" s="45"/>
      <c r="AG679" s="45"/>
      <c r="AH679" s="45"/>
      <c r="AI679" s="45"/>
      <c r="AJ679" s="45"/>
      <c r="AK679" s="45"/>
      <c r="AL679" s="45"/>
      <c r="AM679" s="45"/>
      <c r="AN679" s="45"/>
      <c r="AO679" s="45"/>
      <c r="AP679" s="45"/>
      <c r="AQ679" s="36"/>
      <c r="AR679" s="36"/>
      <c r="AS679" s="36"/>
      <c r="AT679" s="36"/>
      <c r="AU679" s="36"/>
      <c r="AV679" s="36"/>
      <c r="AW679" s="36"/>
      <c r="AX679" s="36"/>
      <c r="AY679" s="36"/>
      <c r="AZ679" s="36"/>
      <c r="BA679" s="36"/>
      <c r="BB679" s="36"/>
      <c r="BC679" s="36"/>
      <c r="BD679" s="36"/>
      <c r="BE679" s="36"/>
      <c r="BF679" s="36"/>
      <c r="BG679" s="36"/>
      <c r="BH679" s="36"/>
      <c r="BI679" s="36"/>
      <c r="BJ679" s="36"/>
      <c r="BK679" s="36"/>
      <c r="BL679" s="36"/>
      <c r="BM679" s="36"/>
      <c r="BN679" s="36"/>
      <c r="BO679" s="36"/>
      <c r="BP679" s="36"/>
      <c r="BQ679" s="36"/>
    </row>
    <row r="680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51"/>
      <c r="S680" s="51"/>
      <c r="T680" s="51"/>
      <c r="U680" s="51"/>
      <c r="V680" s="51"/>
      <c r="W680" s="51"/>
      <c r="X680" s="51"/>
      <c r="Y680" s="45"/>
      <c r="Z680" s="45"/>
      <c r="AA680" s="45"/>
      <c r="AB680" s="45"/>
      <c r="AC680" s="45"/>
      <c r="AD680" s="45"/>
      <c r="AE680" s="45"/>
      <c r="AF680" s="45"/>
      <c r="AG680" s="45"/>
      <c r="AH680" s="45"/>
      <c r="AI680" s="45"/>
      <c r="AJ680" s="45"/>
      <c r="AK680" s="45"/>
      <c r="AL680" s="45"/>
      <c r="AM680" s="45"/>
      <c r="AN680" s="45"/>
      <c r="AO680" s="45"/>
      <c r="AP680" s="45"/>
      <c r="AQ680" s="36"/>
      <c r="AR680" s="36"/>
      <c r="AS680" s="36"/>
      <c r="AT680" s="36"/>
      <c r="AU680" s="36"/>
      <c r="AV680" s="36"/>
      <c r="AW680" s="36"/>
      <c r="AX680" s="36"/>
      <c r="AY680" s="36"/>
      <c r="AZ680" s="36"/>
      <c r="BA680" s="36"/>
      <c r="BB680" s="36"/>
      <c r="BC680" s="36"/>
      <c r="BD680" s="36"/>
      <c r="BE680" s="36"/>
      <c r="BF680" s="36"/>
      <c r="BG680" s="36"/>
      <c r="BH680" s="36"/>
      <c r="BI680" s="36"/>
      <c r="BJ680" s="36"/>
      <c r="BK680" s="36"/>
      <c r="BL680" s="36"/>
      <c r="BM680" s="36"/>
      <c r="BN680" s="36"/>
      <c r="BO680" s="36"/>
      <c r="BP680" s="36"/>
      <c r="BQ680" s="36"/>
    </row>
    <row r="68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51"/>
      <c r="S681" s="51"/>
      <c r="T681" s="51"/>
      <c r="U681" s="51"/>
      <c r="V681" s="51"/>
      <c r="W681" s="51"/>
      <c r="X681" s="51"/>
      <c r="Y681" s="45"/>
      <c r="Z681" s="45"/>
      <c r="AA681" s="45"/>
      <c r="AB681" s="45"/>
      <c r="AC681" s="45"/>
      <c r="AD681" s="45"/>
      <c r="AE681" s="45"/>
      <c r="AF681" s="45"/>
      <c r="AG681" s="45"/>
      <c r="AH681" s="45"/>
      <c r="AI681" s="45"/>
      <c r="AJ681" s="45"/>
      <c r="AK681" s="45"/>
      <c r="AL681" s="45"/>
      <c r="AM681" s="45"/>
      <c r="AN681" s="45"/>
      <c r="AO681" s="45"/>
      <c r="AP681" s="45"/>
      <c r="AQ681" s="36"/>
      <c r="AR681" s="36"/>
      <c r="AS681" s="36"/>
      <c r="AT681" s="36"/>
      <c r="AU681" s="36"/>
      <c r="AV681" s="36"/>
      <c r="AW681" s="36"/>
      <c r="AX681" s="36"/>
      <c r="AY681" s="36"/>
      <c r="AZ681" s="36"/>
      <c r="BA681" s="36"/>
      <c r="BB681" s="36"/>
      <c r="BC681" s="36"/>
      <c r="BD681" s="36"/>
      <c r="BE681" s="36"/>
      <c r="BF681" s="36"/>
      <c r="BG681" s="36"/>
      <c r="BH681" s="36"/>
      <c r="BI681" s="36"/>
      <c r="BJ681" s="36"/>
      <c r="BK681" s="36"/>
      <c r="BL681" s="36"/>
      <c r="BM681" s="36"/>
      <c r="BN681" s="36"/>
      <c r="BO681" s="36"/>
      <c r="BP681" s="36"/>
      <c r="BQ681" s="36"/>
    </row>
    <row r="68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51"/>
      <c r="S682" s="51"/>
      <c r="T682" s="51"/>
      <c r="U682" s="51"/>
      <c r="V682" s="51"/>
      <c r="W682" s="51"/>
      <c r="X682" s="51"/>
      <c r="Y682" s="45"/>
      <c r="Z682" s="45"/>
      <c r="AA682" s="45"/>
      <c r="AB682" s="45"/>
      <c r="AC682" s="45"/>
      <c r="AD682" s="45"/>
      <c r="AE682" s="45"/>
      <c r="AF682" s="45"/>
      <c r="AG682" s="45"/>
      <c r="AH682" s="45"/>
      <c r="AI682" s="45"/>
      <c r="AJ682" s="45"/>
      <c r="AK682" s="45"/>
      <c r="AL682" s="45"/>
      <c r="AM682" s="45"/>
      <c r="AN682" s="45"/>
      <c r="AO682" s="45"/>
      <c r="AP682" s="45"/>
      <c r="AQ682" s="36"/>
      <c r="AR682" s="36"/>
      <c r="AS682" s="36"/>
      <c r="AT682" s="36"/>
      <c r="AU682" s="36"/>
      <c r="AV682" s="36"/>
      <c r="AW682" s="36"/>
      <c r="AX682" s="36"/>
      <c r="AY682" s="36"/>
      <c r="AZ682" s="36"/>
      <c r="BA682" s="36"/>
      <c r="BB682" s="36"/>
      <c r="BC682" s="36"/>
      <c r="BD682" s="36"/>
      <c r="BE682" s="36"/>
      <c r="BF682" s="36"/>
      <c r="BG682" s="36"/>
      <c r="BH682" s="36"/>
      <c r="BI682" s="36"/>
      <c r="BJ682" s="36"/>
      <c r="BK682" s="36"/>
      <c r="BL682" s="36"/>
      <c r="BM682" s="36"/>
      <c r="BN682" s="36"/>
      <c r="BO682" s="36"/>
      <c r="BP682" s="36"/>
      <c r="BQ682" s="36"/>
    </row>
    <row r="683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51"/>
      <c r="S683" s="51"/>
      <c r="T683" s="51"/>
      <c r="U683" s="51"/>
      <c r="V683" s="51"/>
      <c r="W683" s="51"/>
      <c r="X683" s="51"/>
      <c r="Y683" s="45"/>
      <c r="Z683" s="45"/>
      <c r="AA683" s="45"/>
      <c r="AB683" s="45"/>
      <c r="AC683" s="45"/>
      <c r="AD683" s="45"/>
      <c r="AE683" s="45"/>
      <c r="AF683" s="45"/>
      <c r="AG683" s="45"/>
      <c r="AH683" s="45"/>
      <c r="AI683" s="45"/>
      <c r="AJ683" s="45"/>
      <c r="AK683" s="45"/>
      <c r="AL683" s="45"/>
      <c r="AM683" s="45"/>
      <c r="AN683" s="45"/>
      <c r="AO683" s="45"/>
      <c r="AP683" s="45"/>
      <c r="AQ683" s="36"/>
      <c r="AR683" s="36"/>
      <c r="AS683" s="36"/>
      <c r="AT683" s="36"/>
      <c r="AU683" s="36"/>
      <c r="AV683" s="36"/>
      <c r="AW683" s="36"/>
      <c r="AX683" s="36"/>
      <c r="AY683" s="36"/>
      <c r="AZ683" s="36"/>
      <c r="BA683" s="36"/>
      <c r="BB683" s="36"/>
      <c r="BC683" s="36"/>
      <c r="BD683" s="36"/>
      <c r="BE683" s="36"/>
      <c r="BF683" s="36"/>
      <c r="BG683" s="36"/>
      <c r="BH683" s="36"/>
      <c r="BI683" s="36"/>
      <c r="BJ683" s="36"/>
      <c r="BK683" s="36"/>
      <c r="BL683" s="36"/>
      <c r="BM683" s="36"/>
      <c r="BN683" s="36"/>
      <c r="BO683" s="36"/>
      <c r="BP683" s="36"/>
      <c r="BQ683" s="36"/>
    </row>
    <row r="684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51"/>
      <c r="S684" s="51"/>
      <c r="T684" s="51"/>
      <c r="U684" s="51"/>
      <c r="V684" s="51"/>
      <c r="W684" s="51"/>
      <c r="X684" s="51"/>
      <c r="Y684" s="45"/>
      <c r="Z684" s="45"/>
      <c r="AA684" s="45"/>
      <c r="AB684" s="45"/>
      <c r="AC684" s="45"/>
      <c r="AD684" s="45"/>
      <c r="AE684" s="45"/>
      <c r="AF684" s="45"/>
      <c r="AG684" s="45"/>
      <c r="AH684" s="45"/>
      <c r="AI684" s="45"/>
      <c r="AJ684" s="45"/>
      <c r="AK684" s="45"/>
      <c r="AL684" s="45"/>
      <c r="AM684" s="45"/>
      <c r="AN684" s="45"/>
      <c r="AO684" s="45"/>
      <c r="AP684" s="45"/>
      <c r="AQ684" s="36"/>
      <c r="AR684" s="36"/>
      <c r="AS684" s="36"/>
      <c r="AT684" s="36"/>
      <c r="AU684" s="36"/>
      <c r="AV684" s="36"/>
      <c r="AW684" s="36"/>
      <c r="AX684" s="36"/>
      <c r="AY684" s="36"/>
      <c r="AZ684" s="36"/>
      <c r="BA684" s="36"/>
      <c r="BB684" s="36"/>
      <c r="BC684" s="36"/>
      <c r="BD684" s="36"/>
      <c r="BE684" s="36"/>
      <c r="BF684" s="36"/>
      <c r="BG684" s="36"/>
      <c r="BH684" s="36"/>
      <c r="BI684" s="36"/>
      <c r="BJ684" s="36"/>
      <c r="BK684" s="36"/>
      <c r="BL684" s="36"/>
      <c r="BM684" s="36"/>
      <c r="BN684" s="36"/>
      <c r="BO684" s="36"/>
      <c r="BP684" s="36"/>
      <c r="BQ684" s="36"/>
    </row>
    <row r="68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51"/>
      <c r="S685" s="51"/>
      <c r="T685" s="51"/>
      <c r="U685" s="51"/>
      <c r="V685" s="51"/>
      <c r="W685" s="51"/>
      <c r="X685" s="51"/>
      <c r="Y685" s="45"/>
      <c r="Z685" s="45"/>
      <c r="AA685" s="45"/>
      <c r="AB685" s="45"/>
      <c r="AC685" s="45"/>
      <c r="AD685" s="45"/>
      <c r="AE685" s="45"/>
      <c r="AF685" s="45"/>
      <c r="AG685" s="45"/>
      <c r="AH685" s="45"/>
      <c r="AI685" s="45"/>
      <c r="AJ685" s="45"/>
      <c r="AK685" s="45"/>
      <c r="AL685" s="45"/>
      <c r="AM685" s="45"/>
      <c r="AN685" s="45"/>
      <c r="AO685" s="45"/>
      <c r="AP685" s="45"/>
      <c r="AQ685" s="36"/>
      <c r="AR685" s="36"/>
      <c r="AS685" s="36"/>
      <c r="AT685" s="36"/>
      <c r="AU685" s="36"/>
      <c r="AV685" s="36"/>
      <c r="AW685" s="36"/>
      <c r="AX685" s="36"/>
      <c r="AY685" s="36"/>
      <c r="AZ685" s="36"/>
      <c r="BA685" s="36"/>
      <c r="BB685" s="36"/>
      <c r="BC685" s="36"/>
      <c r="BD685" s="36"/>
      <c r="BE685" s="36"/>
      <c r="BF685" s="36"/>
      <c r="BG685" s="36"/>
      <c r="BH685" s="36"/>
      <c r="BI685" s="36"/>
      <c r="BJ685" s="36"/>
      <c r="BK685" s="36"/>
      <c r="BL685" s="36"/>
      <c r="BM685" s="36"/>
      <c r="BN685" s="36"/>
      <c r="BO685" s="36"/>
      <c r="BP685" s="36"/>
      <c r="BQ685" s="36"/>
    </row>
    <row r="686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51"/>
      <c r="S686" s="51"/>
      <c r="T686" s="51"/>
      <c r="U686" s="51"/>
      <c r="V686" s="51"/>
      <c r="W686" s="51"/>
      <c r="X686" s="51"/>
      <c r="Y686" s="45"/>
      <c r="Z686" s="45"/>
      <c r="AA686" s="45"/>
      <c r="AB686" s="45"/>
      <c r="AC686" s="45"/>
      <c r="AD686" s="45"/>
      <c r="AE686" s="45"/>
      <c r="AF686" s="45"/>
      <c r="AG686" s="45"/>
      <c r="AH686" s="45"/>
      <c r="AI686" s="45"/>
      <c r="AJ686" s="45"/>
      <c r="AK686" s="45"/>
      <c r="AL686" s="45"/>
      <c r="AM686" s="45"/>
      <c r="AN686" s="45"/>
      <c r="AO686" s="45"/>
      <c r="AP686" s="45"/>
      <c r="AQ686" s="36"/>
      <c r="AR686" s="36"/>
      <c r="AS686" s="36"/>
      <c r="AT686" s="36"/>
      <c r="AU686" s="36"/>
      <c r="AV686" s="36"/>
      <c r="AW686" s="36"/>
      <c r="AX686" s="36"/>
      <c r="AY686" s="36"/>
      <c r="AZ686" s="36"/>
      <c r="BA686" s="36"/>
      <c r="BB686" s="36"/>
      <c r="BC686" s="36"/>
      <c r="BD686" s="36"/>
      <c r="BE686" s="36"/>
      <c r="BF686" s="36"/>
      <c r="BG686" s="36"/>
      <c r="BH686" s="36"/>
      <c r="BI686" s="36"/>
      <c r="BJ686" s="36"/>
      <c r="BK686" s="36"/>
      <c r="BL686" s="36"/>
      <c r="BM686" s="36"/>
      <c r="BN686" s="36"/>
      <c r="BO686" s="36"/>
      <c r="BP686" s="36"/>
      <c r="BQ686" s="36"/>
    </row>
    <row r="687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51"/>
      <c r="S687" s="51"/>
      <c r="T687" s="51"/>
      <c r="U687" s="51"/>
      <c r="V687" s="51"/>
      <c r="W687" s="51"/>
      <c r="X687" s="51"/>
      <c r="Y687" s="45"/>
      <c r="Z687" s="45"/>
      <c r="AA687" s="45"/>
      <c r="AB687" s="45"/>
      <c r="AC687" s="45"/>
      <c r="AD687" s="45"/>
      <c r="AE687" s="45"/>
      <c r="AF687" s="45"/>
      <c r="AG687" s="45"/>
      <c r="AH687" s="45"/>
      <c r="AI687" s="45"/>
      <c r="AJ687" s="45"/>
      <c r="AK687" s="45"/>
      <c r="AL687" s="45"/>
      <c r="AM687" s="45"/>
      <c r="AN687" s="45"/>
      <c r="AO687" s="45"/>
      <c r="AP687" s="45"/>
      <c r="AQ687" s="36"/>
      <c r="AR687" s="36"/>
      <c r="AS687" s="36"/>
      <c r="AT687" s="36"/>
      <c r="AU687" s="36"/>
      <c r="AV687" s="36"/>
      <c r="AW687" s="36"/>
      <c r="AX687" s="36"/>
      <c r="AY687" s="36"/>
      <c r="AZ687" s="36"/>
      <c r="BA687" s="36"/>
      <c r="BB687" s="36"/>
      <c r="BC687" s="36"/>
      <c r="BD687" s="36"/>
      <c r="BE687" s="36"/>
      <c r="BF687" s="36"/>
      <c r="BG687" s="36"/>
      <c r="BH687" s="36"/>
      <c r="BI687" s="36"/>
      <c r="BJ687" s="36"/>
      <c r="BK687" s="36"/>
      <c r="BL687" s="36"/>
      <c r="BM687" s="36"/>
      <c r="BN687" s="36"/>
      <c r="BO687" s="36"/>
      <c r="BP687" s="36"/>
      <c r="BQ687" s="36"/>
    </row>
    <row r="688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51"/>
      <c r="S688" s="51"/>
      <c r="T688" s="51"/>
      <c r="U688" s="51"/>
      <c r="V688" s="51"/>
      <c r="W688" s="51"/>
      <c r="X688" s="51"/>
      <c r="Y688" s="45"/>
      <c r="Z688" s="45"/>
      <c r="AA688" s="45"/>
      <c r="AB688" s="45"/>
      <c r="AC688" s="45"/>
      <c r="AD688" s="45"/>
      <c r="AE688" s="45"/>
      <c r="AF688" s="45"/>
      <c r="AG688" s="45"/>
      <c r="AH688" s="45"/>
      <c r="AI688" s="45"/>
      <c r="AJ688" s="45"/>
      <c r="AK688" s="45"/>
      <c r="AL688" s="45"/>
      <c r="AM688" s="45"/>
      <c r="AN688" s="45"/>
      <c r="AO688" s="45"/>
      <c r="AP688" s="45"/>
      <c r="AQ688" s="36"/>
      <c r="AR688" s="36"/>
      <c r="AS688" s="36"/>
      <c r="AT688" s="36"/>
      <c r="AU688" s="36"/>
      <c r="AV688" s="36"/>
      <c r="AW688" s="36"/>
      <c r="AX688" s="36"/>
      <c r="AY688" s="36"/>
      <c r="AZ688" s="36"/>
      <c r="BA688" s="36"/>
      <c r="BB688" s="36"/>
      <c r="BC688" s="36"/>
      <c r="BD688" s="36"/>
      <c r="BE688" s="36"/>
      <c r="BF688" s="36"/>
      <c r="BG688" s="36"/>
      <c r="BH688" s="36"/>
      <c r="BI688" s="36"/>
      <c r="BJ688" s="36"/>
      <c r="BK688" s="36"/>
      <c r="BL688" s="36"/>
      <c r="BM688" s="36"/>
      <c r="BN688" s="36"/>
      <c r="BO688" s="36"/>
      <c r="BP688" s="36"/>
      <c r="BQ688" s="36"/>
    </row>
    <row r="689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51"/>
      <c r="S689" s="51"/>
      <c r="T689" s="51"/>
      <c r="U689" s="51"/>
      <c r="V689" s="51"/>
      <c r="W689" s="51"/>
      <c r="X689" s="51"/>
      <c r="Y689" s="45"/>
      <c r="Z689" s="45"/>
      <c r="AA689" s="45"/>
      <c r="AB689" s="45"/>
      <c r="AC689" s="45"/>
      <c r="AD689" s="45"/>
      <c r="AE689" s="45"/>
      <c r="AF689" s="45"/>
      <c r="AG689" s="45"/>
      <c r="AH689" s="45"/>
      <c r="AI689" s="45"/>
      <c r="AJ689" s="45"/>
      <c r="AK689" s="45"/>
      <c r="AL689" s="45"/>
      <c r="AM689" s="45"/>
      <c r="AN689" s="45"/>
      <c r="AO689" s="45"/>
      <c r="AP689" s="45"/>
      <c r="AQ689" s="36"/>
      <c r="AR689" s="36"/>
      <c r="AS689" s="36"/>
      <c r="AT689" s="36"/>
      <c r="AU689" s="36"/>
      <c r="AV689" s="36"/>
      <c r="AW689" s="36"/>
      <c r="AX689" s="36"/>
      <c r="AY689" s="36"/>
      <c r="AZ689" s="36"/>
      <c r="BA689" s="36"/>
      <c r="BB689" s="36"/>
      <c r="BC689" s="36"/>
      <c r="BD689" s="36"/>
      <c r="BE689" s="36"/>
      <c r="BF689" s="36"/>
      <c r="BG689" s="36"/>
      <c r="BH689" s="36"/>
      <c r="BI689" s="36"/>
      <c r="BJ689" s="36"/>
      <c r="BK689" s="36"/>
      <c r="BL689" s="36"/>
      <c r="BM689" s="36"/>
      <c r="BN689" s="36"/>
      <c r="BO689" s="36"/>
      <c r="BP689" s="36"/>
      <c r="BQ689" s="36"/>
    </row>
    <row r="690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51"/>
      <c r="S690" s="51"/>
      <c r="T690" s="51"/>
      <c r="U690" s="51"/>
      <c r="V690" s="51"/>
      <c r="W690" s="51"/>
      <c r="X690" s="51"/>
      <c r="Y690" s="45"/>
      <c r="Z690" s="45"/>
      <c r="AA690" s="45"/>
      <c r="AB690" s="45"/>
      <c r="AC690" s="45"/>
      <c r="AD690" s="45"/>
      <c r="AE690" s="45"/>
      <c r="AF690" s="45"/>
      <c r="AG690" s="45"/>
      <c r="AH690" s="45"/>
      <c r="AI690" s="45"/>
      <c r="AJ690" s="45"/>
      <c r="AK690" s="45"/>
      <c r="AL690" s="45"/>
      <c r="AM690" s="45"/>
      <c r="AN690" s="45"/>
      <c r="AO690" s="45"/>
      <c r="AP690" s="45"/>
      <c r="AQ690" s="36"/>
      <c r="AR690" s="36"/>
      <c r="AS690" s="36"/>
      <c r="AT690" s="36"/>
      <c r="AU690" s="36"/>
      <c r="AV690" s="36"/>
      <c r="AW690" s="36"/>
      <c r="AX690" s="36"/>
      <c r="AY690" s="36"/>
      <c r="AZ690" s="36"/>
      <c r="BA690" s="36"/>
      <c r="BB690" s="36"/>
      <c r="BC690" s="36"/>
      <c r="BD690" s="36"/>
      <c r="BE690" s="36"/>
      <c r="BF690" s="36"/>
      <c r="BG690" s="36"/>
      <c r="BH690" s="36"/>
      <c r="BI690" s="36"/>
      <c r="BJ690" s="36"/>
      <c r="BK690" s="36"/>
      <c r="BL690" s="36"/>
      <c r="BM690" s="36"/>
      <c r="BN690" s="36"/>
      <c r="BO690" s="36"/>
      <c r="BP690" s="36"/>
      <c r="BQ690" s="36"/>
    </row>
    <row r="69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51"/>
      <c r="S691" s="51"/>
      <c r="T691" s="51"/>
      <c r="U691" s="51"/>
      <c r="V691" s="51"/>
      <c r="W691" s="51"/>
      <c r="X691" s="51"/>
      <c r="Y691" s="45"/>
      <c r="Z691" s="45"/>
      <c r="AA691" s="45"/>
      <c r="AB691" s="45"/>
      <c r="AC691" s="45"/>
      <c r="AD691" s="45"/>
      <c r="AE691" s="45"/>
      <c r="AF691" s="45"/>
      <c r="AG691" s="45"/>
      <c r="AH691" s="45"/>
      <c r="AI691" s="45"/>
      <c r="AJ691" s="45"/>
      <c r="AK691" s="45"/>
      <c r="AL691" s="45"/>
      <c r="AM691" s="45"/>
      <c r="AN691" s="45"/>
      <c r="AO691" s="45"/>
      <c r="AP691" s="45"/>
      <c r="AQ691" s="36"/>
      <c r="AR691" s="36"/>
      <c r="AS691" s="36"/>
      <c r="AT691" s="36"/>
      <c r="AU691" s="36"/>
      <c r="AV691" s="36"/>
      <c r="AW691" s="36"/>
      <c r="AX691" s="36"/>
      <c r="AY691" s="36"/>
      <c r="AZ691" s="36"/>
      <c r="BA691" s="36"/>
      <c r="BB691" s="36"/>
      <c r="BC691" s="36"/>
      <c r="BD691" s="36"/>
      <c r="BE691" s="36"/>
      <c r="BF691" s="36"/>
      <c r="BG691" s="36"/>
      <c r="BH691" s="36"/>
      <c r="BI691" s="36"/>
      <c r="BJ691" s="36"/>
      <c r="BK691" s="36"/>
      <c r="BL691" s="36"/>
      <c r="BM691" s="36"/>
      <c r="BN691" s="36"/>
      <c r="BO691" s="36"/>
      <c r="BP691" s="36"/>
      <c r="BQ691" s="36"/>
    </row>
    <row r="69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51"/>
      <c r="S692" s="51"/>
      <c r="T692" s="51"/>
      <c r="U692" s="51"/>
      <c r="V692" s="51"/>
      <c r="W692" s="51"/>
      <c r="X692" s="51"/>
      <c r="Y692" s="45"/>
      <c r="Z692" s="45"/>
      <c r="AA692" s="45"/>
      <c r="AB692" s="45"/>
      <c r="AC692" s="45"/>
      <c r="AD692" s="45"/>
      <c r="AE692" s="45"/>
      <c r="AF692" s="45"/>
      <c r="AG692" s="45"/>
      <c r="AH692" s="45"/>
      <c r="AI692" s="45"/>
      <c r="AJ692" s="45"/>
      <c r="AK692" s="45"/>
      <c r="AL692" s="45"/>
      <c r="AM692" s="45"/>
      <c r="AN692" s="45"/>
      <c r="AO692" s="45"/>
      <c r="AP692" s="45"/>
      <c r="AQ692" s="36"/>
      <c r="AR692" s="36"/>
      <c r="AS692" s="36"/>
      <c r="AT692" s="36"/>
      <c r="AU692" s="36"/>
      <c r="AV692" s="36"/>
      <c r="AW692" s="36"/>
      <c r="AX692" s="36"/>
      <c r="AY692" s="36"/>
      <c r="AZ692" s="36"/>
      <c r="BA692" s="36"/>
      <c r="BB692" s="36"/>
      <c r="BC692" s="36"/>
      <c r="BD692" s="36"/>
      <c r="BE692" s="36"/>
      <c r="BF692" s="36"/>
      <c r="BG692" s="36"/>
      <c r="BH692" s="36"/>
      <c r="BI692" s="36"/>
      <c r="BJ692" s="36"/>
      <c r="BK692" s="36"/>
      <c r="BL692" s="36"/>
      <c r="BM692" s="36"/>
      <c r="BN692" s="36"/>
      <c r="BO692" s="36"/>
      <c r="BP692" s="36"/>
      <c r="BQ692" s="36"/>
    </row>
    <row r="693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51"/>
      <c r="S693" s="51"/>
      <c r="T693" s="51"/>
      <c r="U693" s="51"/>
      <c r="V693" s="51"/>
      <c r="W693" s="51"/>
      <c r="X693" s="51"/>
      <c r="Y693" s="45"/>
      <c r="Z693" s="45"/>
      <c r="AA693" s="45"/>
      <c r="AB693" s="45"/>
      <c r="AC693" s="45"/>
      <c r="AD693" s="45"/>
      <c r="AE693" s="45"/>
      <c r="AF693" s="45"/>
      <c r="AG693" s="45"/>
      <c r="AH693" s="45"/>
      <c r="AI693" s="45"/>
      <c r="AJ693" s="45"/>
      <c r="AK693" s="45"/>
      <c r="AL693" s="45"/>
      <c r="AM693" s="45"/>
      <c r="AN693" s="45"/>
      <c r="AO693" s="45"/>
      <c r="AP693" s="45"/>
      <c r="AQ693" s="36"/>
      <c r="AR693" s="36"/>
      <c r="AS693" s="36"/>
      <c r="AT693" s="36"/>
      <c r="AU693" s="36"/>
      <c r="AV693" s="36"/>
      <c r="AW693" s="36"/>
      <c r="AX693" s="36"/>
      <c r="AY693" s="36"/>
      <c r="AZ693" s="36"/>
      <c r="BA693" s="36"/>
      <c r="BB693" s="36"/>
      <c r="BC693" s="36"/>
      <c r="BD693" s="36"/>
      <c r="BE693" s="36"/>
      <c r="BF693" s="36"/>
      <c r="BG693" s="36"/>
      <c r="BH693" s="36"/>
      <c r="BI693" s="36"/>
      <c r="BJ693" s="36"/>
      <c r="BK693" s="36"/>
      <c r="BL693" s="36"/>
      <c r="BM693" s="36"/>
      <c r="BN693" s="36"/>
      <c r="BO693" s="36"/>
      <c r="BP693" s="36"/>
      <c r="BQ693" s="36"/>
    </row>
    <row r="694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51"/>
      <c r="S694" s="51"/>
      <c r="T694" s="51"/>
      <c r="U694" s="51"/>
      <c r="V694" s="51"/>
      <c r="W694" s="51"/>
      <c r="X694" s="51"/>
      <c r="Y694" s="45"/>
      <c r="Z694" s="45"/>
      <c r="AA694" s="45"/>
      <c r="AB694" s="45"/>
      <c r="AC694" s="45"/>
      <c r="AD694" s="45"/>
      <c r="AE694" s="45"/>
      <c r="AF694" s="45"/>
      <c r="AG694" s="45"/>
      <c r="AH694" s="45"/>
      <c r="AI694" s="45"/>
      <c r="AJ694" s="45"/>
      <c r="AK694" s="45"/>
      <c r="AL694" s="45"/>
      <c r="AM694" s="45"/>
      <c r="AN694" s="45"/>
      <c r="AO694" s="45"/>
      <c r="AP694" s="45"/>
      <c r="AQ694" s="36"/>
      <c r="AR694" s="36"/>
      <c r="AS694" s="36"/>
      <c r="AT694" s="36"/>
      <c r="AU694" s="36"/>
      <c r="AV694" s="36"/>
      <c r="AW694" s="36"/>
      <c r="AX694" s="36"/>
      <c r="AY694" s="36"/>
      <c r="AZ694" s="36"/>
      <c r="BA694" s="36"/>
      <c r="BB694" s="36"/>
      <c r="BC694" s="36"/>
      <c r="BD694" s="36"/>
      <c r="BE694" s="36"/>
      <c r="BF694" s="36"/>
      <c r="BG694" s="36"/>
      <c r="BH694" s="36"/>
      <c r="BI694" s="36"/>
      <c r="BJ694" s="36"/>
      <c r="BK694" s="36"/>
      <c r="BL694" s="36"/>
      <c r="BM694" s="36"/>
      <c r="BN694" s="36"/>
      <c r="BO694" s="36"/>
      <c r="BP694" s="36"/>
      <c r="BQ694" s="36"/>
    </row>
    <row r="69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51"/>
      <c r="S695" s="51"/>
      <c r="T695" s="51"/>
      <c r="U695" s="51"/>
      <c r="V695" s="51"/>
      <c r="W695" s="51"/>
      <c r="X695" s="51"/>
      <c r="Y695" s="45"/>
      <c r="Z695" s="45"/>
      <c r="AA695" s="45"/>
      <c r="AB695" s="45"/>
      <c r="AC695" s="45"/>
      <c r="AD695" s="45"/>
      <c r="AE695" s="45"/>
      <c r="AF695" s="45"/>
      <c r="AG695" s="45"/>
      <c r="AH695" s="45"/>
      <c r="AI695" s="45"/>
      <c r="AJ695" s="45"/>
      <c r="AK695" s="45"/>
      <c r="AL695" s="45"/>
      <c r="AM695" s="45"/>
      <c r="AN695" s="45"/>
      <c r="AO695" s="45"/>
      <c r="AP695" s="45"/>
      <c r="AQ695" s="36"/>
      <c r="AR695" s="36"/>
      <c r="AS695" s="36"/>
      <c r="AT695" s="36"/>
      <c r="AU695" s="36"/>
      <c r="AV695" s="36"/>
      <c r="AW695" s="36"/>
      <c r="AX695" s="36"/>
      <c r="AY695" s="36"/>
      <c r="AZ695" s="36"/>
      <c r="BA695" s="36"/>
      <c r="BB695" s="36"/>
      <c r="BC695" s="36"/>
      <c r="BD695" s="36"/>
      <c r="BE695" s="36"/>
      <c r="BF695" s="36"/>
      <c r="BG695" s="36"/>
      <c r="BH695" s="36"/>
      <c r="BI695" s="36"/>
      <c r="BJ695" s="36"/>
      <c r="BK695" s="36"/>
      <c r="BL695" s="36"/>
      <c r="BM695" s="36"/>
      <c r="BN695" s="36"/>
      <c r="BO695" s="36"/>
      <c r="BP695" s="36"/>
      <c r="BQ695" s="36"/>
    </row>
    <row r="696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51"/>
      <c r="S696" s="51"/>
      <c r="T696" s="51"/>
      <c r="U696" s="51"/>
      <c r="V696" s="51"/>
      <c r="W696" s="51"/>
      <c r="X696" s="51"/>
      <c r="Y696" s="45"/>
      <c r="Z696" s="45"/>
      <c r="AA696" s="45"/>
      <c r="AB696" s="45"/>
      <c r="AC696" s="45"/>
      <c r="AD696" s="45"/>
      <c r="AE696" s="45"/>
      <c r="AF696" s="45"/>
      <c r="AG696" s="45"/>
      <c r="AH696" s="45"/>
      <c r="AI696" s="45"/>
      <c r="AJ696" s="45"/>
      <c r="AK696" s="45"/>
      <c r="AL696" s="45"/>
      <c r="AM696" s="45"/>
      <c r="AN696" s="45"/>
      <c r="AO696" s="45"/>
      <c r="AP696" s="45"/>
      <c r="AQ696" s="36"/>
      <c r="AR696" s="36"/>
      <c r="AS696" s="36"/>
      <c r="AT696" s="36"/>
      <c r="AU696" s="36"/>
      <c r="AV696" s="36"/>
      <c r="AW696" s="36"/>
      <c r="AX696" s="36"/>
      <c r="AY696" s="36"/>
      <c r="AZ696" s="36"/>
      <c r="BA696" s="36"/>
      <c r="BB696" s="36"/>
      <c r="BC696" s="36"/>
      <c r="BD696" s="36"/>
      <c r="BE696" s="36"/>
      <c r="BF696" s="36"/>
      <c r="BG696" s="36"/>
      <c r="BH696" s="36"/>
      <c r="BI696" s="36"/>
      <c r="BJ696" s="36"/>
      <c r="BK696" s="36"/>
      <c r="BL696" s="36"/>
      <c r="BM696" s="36"/>
      <c r="BN696" s="36"/>
      <c r="BO696" s="36"/>
      <c r="BP696" s="36"/>
      <c r="BQ696" s="36"/>
    </row>
    <row r="697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51"/>
      <c r="S697" s="51"/>
      <c r="T697" s="51"/>
      <c r="U697" s="51"/>
      <c r="V697" s="51"/>
      <c r="W697" s="51"/>
      <c r="X697" s="51"/>
      <c r="Y697" s="45"/>
      <c r="Z697" s="45"/>
      <c r="AA697" s="45"/>
      <c r="AB697" s="45"/>
      <c r="AC697" s="45"/>
      <c r="AD697" s="45"/>
      <c r="AE697" s="45"/>
      <c r="AF697" s="45"/>
      <c r="AG697" s="45"/>
      <c r="AH697" s="45"/>
      <c r="AI697" s="45"/>
      <c r="AJ697" s="45"/>
      <c r="AK697" s="45"/>
      <c r="AL697" s="45"/>
      <c r="AM697" s="45"/>
      <c r="AN697" s="45"/>
      <c r="AO697" s="45"/>
      <c r="AP697" s="45"/>
      <c r="AQ697" s="36"/>
      <c r="AR697" s="36"/>
      <c r="AS697" s="36"/>
      <c r="AT697" s="36"/>
      <c r="AU697" s="36"/>
      <c r="AV697" s="36"/>
      <c r="AW697" s="36"/>
      <c r="AX697" s="36"/>
      <c r="AY697" s="36"/>
      <c r="AZ697" s="36"/>
      <c r="BA697" s="36"/>
      <c r="BB697" s="36"/>
      <c r="BC697" s="36"/>
      <c r="BD697" s="36"/>
      <c r="BE697" s="36"/>
      <c r="BF697" s="36"/>
      <c r="BG697" s="36"/>
      <c r="BH697" s="36"/>
      <c r="BI697" s="36"/>
      <c r="BJ697" s="36"/>
      <c r="BK697" s="36"/>
      <c r="BL697" s="36"/>
      <c r="BM697" s="36"/>
      <c r="BN697" s="36"/>
      <c r="BO697" s="36"/>
      <c r="BP697" s="36"/>
      <c r="BQ697" s="36"/>
    </row>
    <row r="698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51"/>
      <c r="S698" s="51"/>
      <c r="T698" s="51"/>
      <c r="U698" s="51"/>
      <c r="V698" s="51"/>
      <c r="W698" s="51"/>
      <c r="X698" s="51"/>
      <c r="Y698" s="45"/>
      <c r="Z698" s="45"/>
      <c r="AA698" s="45"/>
      <c r="AB698" s="45"/>
      <c r="AC698" s="45"/>
      <c r="AD698" s="45"/>
      <c r="AE698" s="45"/>
      <c r="AF698" s="45"/>
      <c r="AG698" s="45"/>
      <c r="AH698" s="45"/>
      <c r="AI698" s="45"/>
      <c r="AJ698" s="45"/>
      <c r="AK698" s="45"/>
      <c r="AL698" s="45"/>
      <c r="AM698" s="45"/>
      <c r="AN698" s="45"/>
      <c r="AO698" s="45"/>
      <c r="AP698" s="45"/>
      <c r="AQ698" s="36"/>
      <c r="AR698" s="36"/>
      <c r="AS698" s="36"/>
      <c r="AT698" s="36"/>
      <c r="AU698" s="36"/>
      <c r="AV698" s="36"/>
      <c r="AW698" s="36"/>
      <c r="AX698" s="36"/>
      <c r="AY698" s="36"/>
      <c r="AZ698" s="36"/>
      <c r="BA698" s="36"/>
      <c r="BB698" s="36"/>
      <c r="BC698" s="36"/>
      <c r="BD698" s="36"/>
      <c r="BE698" s="36"/>
      <c r="BF698" s="36"/>
      <c r="BG698" s="36"/>
      <c r="BH698" s="36"/>
      <c r="BI698" s="36"/>
      <c r="BJ698" s="36"/>
      <c r="BK698" s="36"/>
      <c r="BL698" s="36"/>
      <c r="BM698" s="36"/>
      <c r="BN698" s="36"/>
      <c r="BO698" s="36"/>
      <c r="BP698" s="36"/>
      <c r="BQ698" s="36"/>
    </row>
    <row r="699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51"/>
      <c r="S699" s="51"/>
      <c r="T699" s="51"/>
      <c r="U699" s="51"/>
      <c r="V699" s="51"/>
      <c r="W699" s="51"/>
      <c r="X699" s="51"/>
      <c r="Y699" s="45"/>
      <c r="Z699" s="45"/>
      <c r="AA699" s="45"/>
      <c r="AB699" s="45"/>
      <c r="AC699" s="45"/>
      <c r="AD699" s="45"/>
      <c r="AE699" s="45"/>
      <c r="AF699" s="45"/>
      <c r="AG699" s="45"/>
      <c r="AH699" s="45"/>
      <c r="AI699" s="45"/>
      <c r="AJ699" s="45"/>
      <c r="AK699" s="45"/>
      <c r="AL699" s="45"/>
      <c r="AM699" s="45"/>
      <c r="AN699" s="45"/>
      <c r="AO699" s="45"/>
      <c r="AP699" s="45"/>
      <c r="AQ699" s="36"/>
      <c r="AR699" s="36"/>
      <c r="AS699" s="36"/>
      <c r="AT699" s="36"/>
      <c r="AU699" s="36"/>
      <c r="AV699" s="36"/>
      <c r="AW699" s="36"/>
      <c r="AX699" s="36"/>
      <c r="AY699" s="36"/>
      <c r="AZ699" s="36"/>
      <c r="BA699" s="36"/>
      <c r="BB699" s="36"/>
      <c r="BC699" s="36"/>
      <c r="BD699" s="36"/>
      <c r="BE699" s="36"/>
      <c r="BF699" s="36"/>
      <c r="BG699" s="36"/>
      <c r="BH699" s="36"/>
      <c r="BI699" s="36"/>
      <c r="BJ699" s="36"/>
      <c r="BK699" s="36"/>
      <c r="BL699" s="36"/>
      <c r="BM699" s="36"/>
      <c r="BN699" s="36"/>
      <c r="BO699" s="36"/>
      <c r="BP699" s="36"/>
      <c r="BQ699" s="36"/>
    </row>
    <row r="700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51"/>
      <c r="S700" s="51"/>
      <c r="T700" s="51"/>
      <c r="U700" s="51"/>
      <c r="V700" s="51"/>
      <c r="W700" s="51"/>
      <c r="X700" s="51"/>
      <c r="Y700" s="45"/>
      <c r="Z700" s="45"/>
      <c r="AA700" s="45"/>
      <c r="AB700" s="45"/>
      <c r="AC700" s="45"/>
      <c r="AD700" s="45"/>
      <c r="AE700" s="45"/>
      <c r="AF700" s="45"/>
      <c r="AG700" s="45"/>
      <c r="AH700" s="45"/>
      <c r="AI700" s="45"/>
      <c r="AJ700" s="45"/>
      <c r="AK700" s="45"/>
      <c r="AL700" s="45"/>
      <c r="AM700" s="45"/>
      <c r="AN700" s="45"/>
      <c r="AO700" s="45"/>
      <c r="AP700" s="45"/>
      <c r="AQ700" s="36"/>
      <c r="AR700" s="36"/>
      <c r="AS700" s="36"/>
      <c r="AT700" s="36"/>
      <c r="AU700" s="36"/>
      <c r="AV700" s="36"/>
      <c r="AW700" s="36"/>
      <c r="AX700" s="36"/>
      <c r="AY700" s="36"/>
      <c r="AZ700" s="36"/>
      <c r="BA700" s="36"/>
      <c r="BB700" s="36"/>
      <c r="BC700" s="36"/>
      <c r="BD700" s="36"/>
      <c r="BE700" s="36"/>
      <c r="BF700" s="36"/>
      <c r="BG700" s="36"/>
      <c r="BH700" s="36"/>
      <c r="BI700" s="36"/>
      <c r="BJ700" s="36"/>
      <c r="BK700" s="36"/>
      <c r="BL700" s="36"/>
      <c r="BM700" s="36"/>
      <c r="BN700" s="36"/>
      <c r="BO700" s="36"/>
      <c r="BP700" s="36"/>
      <c r="BQ700" s="36"/>
    </row>
    <row r="70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51"/>
      <c r="S701" s="51"/>
      <c r="T701" s="51"/>
      <c r="U701" s="51"/>
      <c r="V701" s="51"/>
      <c r="W701" s="51"/>
      <c r="X701" s="51"/>
      <c r="Y701" s="45"/>
      <c r="Z701" s="45"/>
      <c r="AA701" s="45"/>
      <c r="AB701" s="45"/>
      <c r="AC701" s="45"/>
      <c r="AD701" s="45"/>
      <c r="AE701" s="45"/>
      <c r="AF701" s="45"/>
      <c r="AG701" s="45"/>
      <c r="AH701" s="45"/>
      <c r="AI701" s="45"/>
      <c r="AJ701" s="45"/>
      <c r="AK701" s="45"/>
      <c r="AL701" s="45"/>
      <c r="AM701" s="45"/>
      <c r="AN701" s="45"/>
      <c r="AO701" s="45"/>
      <c r="AP701" s="45"/>
      <c r="AQ701" s="36"/>
      <c r="AR701" s="36"/>
      <c r="AS701" s="36"/>
      <c r="AT701" s="36"/>
      <c r="AU701" s="36"/>
      <c r="AV701" s="36"/>
      <c r="AW701" s="36"/>
      <c r="AX701" s="36"/>
      <c r="AY701" s="36"/>
      <c r="AZ701" s="36"/>
      <c r="BA701" s="36"/>
      <c r="BB701" s="36"/>
      <c r="BC701" s="36"/>
      <c r="BD701" s="36"/>
      <c r="BE701" s="36"/>
      <c r="BF701" s="36"/>
      <c r="BG701" s="36"/>
      <c r="BH701" s="36"/>
      <c r="BI701" s="36"/>
      <c r="BJ701" s="36"/>
      <c r="BK701" s="36"/>
      <c r="BL701" s="36"/>
      <c r="BM701" s="36"/>
      <c r="BN701" s="36"/>
      <c r="BO701" s="36"/>
      <c r="BP701" s="36"/>
      <c r="BQ701" s="36"/>
    </row>
    <row r="70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51"/>
      <c r="S702" s="51"/>
      <c r="T702" s="51"/>
      <c r="U702" s="51"/>
      <c r="V702" s="51"/>
      <c r="W702" s="51"/>
      <c r="X702" s="51"/>
      <c r="Y702" s="45"/>
      <c r="Z702" s="45"/>
      <c r="AA702" s="45"/>
      <c r="AB702" s="45"/>
      <c r="AC702" s="45"/>
      <c r="AD702" s="45"/>
      <c r="AE702" s="45"/>
      <c r="AF702" s="45"/>
      <c r="AG702" s="45"/>
      <c r="AH702" s="45"/>
      <c r="AI702" s="45"/>
      <c r="AJ702" s="45"/>
      <c r="AK702" s="45"/>
      <c r="AL702" s="45"/>
      <c r="AM702" s="45"/>
      <c r="AN702" s="45"/>
      <c r="AO702" s="45"/>
      <c r="AP702" s="45"/>
      <c r="AQ702" s="36"/>
      <c r="AR702" s="36"/>
      <c r="AS702" s="36"/>
      <c r="AT702" s="36"/>
      <c r="AU702" s="36"/>
      <c r="AV702" s="36"/>
      <c r="AW702" s="36"/>
      <c r="AX702" s="36"/>
      <c r="AY702" s="36"/>
      <c r="AZ702" s="36"/>
      <c r="BA702" s="36"/>
      <c r="BB702" s="36"/>
      <c r="BC702" s="36"/>
      <c r="BD702" s="36"/>
      <c r="BE702" s="36"/>
      <c r="BF702" s="36"/>
      <c r="BG702" s="36"/>
      <c r="BH702" s="36"/>
      <c r="BI702" s="36"/>
      <c r="BJ702" s="36"/>
      <c r="BK702" s="36"/>
      <c r="BL702" s="36"/>
      <c r="BM702" s="36"/>
      <c r="BN702" s="36"/>
      <c r="BO702" s="36"/>
      <c r="BP702" s="36"/>
      <c r="BQ702" s="36"/>
    </row>
    <row r="703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51"/>
      <c r="S703" s="51"/>
      <c r="T703" s="51"/>
      <c r="U703" s="51"/>
      <c r="V703" s="51"/>
      <c r="W703" s="51"/>
      <c r="X703" s="51"/>
      <c r="Y703" s="45"/>
      <c r="Z703" s="45"/>
      <c r="AA703" s="45"/>
      <c r="AB703" s="45"/>
      <c r="AC703" s="45"/>
      <c r="AD703" s="45"/>
      <c r="AE703" s="45"/>
      <c r="AF703" s="45"/>
      <c r="AG703" s="45"/>
      <c r="AH703" s="45"/>
      <c r="AI703" s="45"/>
      <c r="AJ703" s="45"/>
      <c r="AK703" s="45"/>
      <c r="AL703" s="45"/>
      <c r="AM703" s="45"/>
      <c r="AN703" s="45"/>
      <c r="AO703" s="45"/>
      <c r="AP703" s="45"/>
      <c r="AQ703" s="36"/>
      <c r="AR703" s="36"/>
      <c r="AS703" s="36"/>
      <c r="AT703" s="36"/>
      <c r="AU703" s="36"/>
      <c r="AV703" s="36"/>
      <c r="AW703" s="36"/>
      <c r="AX703" s="36"/>
      <c r="AY703" s="36"/>
      <c r="AZ703" s="36"/>
      <c r="BA703" s="36"/>
      <c r="BB703" s="36"/>
      <c r="BC703" s="36"/>
      <c r="BD703" s="36"/>
      <c r="BE703" s="36"/>
      <c r="BF703" s="36"/>
      <c r="BG703" s="36"/>
      <c r="BH703" s="36"/>
      <c r="BI703" s="36"/>
      <c r="BJ703" s="36"/>
      <c r="BK703" s="36"/>
      <c r="BL703" s="36"/>
      <c r="BM703" s="36"/>
      <c r="BN703" s="36"/>
      <c r="BO703" s="36"/>
      <c r="BP703" s="36"/>
      <c r="BQ703" s="36"/>
    </row>
    <row r="704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51"/>
      <c r="S704" s="51"/>
      <c r="T704" s="51"/>
      <c r="U704" s="51"/>
      <c r="V704" s="51"/>
      <c r="W704" s="51"/>
      <c r="X704" s="51"/>
      <c r="Y704" s="45"/>
      <c r="Z704" s="45"/>
      <c r="AA704" s="45"/>
      <c r="AB704" s="45"/>
      <c r="AC704" s="45"/>
      <c r="AD704" s="45"/>
      <c r="AE704" s="45"/>
      <c r="AF704" s="45"/>
      <c r="AG704" s="45"/>
      <c r="AH704" s="45"/>
      <c r="AI704" s="45"/>
      <c r="AJ704" s="45"/>
      <c r="AK704" s="45"/>
      <c r="AL704" s="45"/>
      <c r="AM704" s="45"/>
      <c r="AN704" s="45"/>
      <c r="AO704" s="45"/>
      <c r="AP704" s="45"/>
      <c r="AQ704" s="36"/>
      <c r="AR704" s="36"/>
      <c r="AS704" s="36"/>
      <c r="AT704" s="36"/>
      <c r="AU704" s="36"/>
      <c r="AV704" s="36"/>
      <c r="AW704" s="36"/>
      <c r="AX704" s="36"/>
      <c r="AY704" s="36"/>
      <c r="AZ704" s="36"/>
      <c r="BA704" s="36"/>
      <c r="BB704" s="36"/>
      <c r="BC704" s="36"/>
      <c r="BD704" s="36"/>
      <c r="BE704" s="36"/>
      <c r="BF704" s="36"/>
      <c r="BG704" s="36"/>
      <c r="BH704" s="36"/>
      <c r="BI704" s="36"/>
      <c r="BJ704" s="36"/>
      <c r="BK704" s="36"/>
      <c r="BL704" s="36"/>
      <c r="BM704" s="36"/>
      <c r="BN704" s="36"/>
      <c r="BO704" s="36"/>
      <c r="BP704" s="36"/>
      <c r="BQ704" s="36"/>
    </row>
    <row r="70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51"/>
      <c r="S705" s="51"/>
      <c r="T705" s="51"/>
      <c r="U705" s="51"/>
      <c r="V705" s="51"/>
      <c r="W705" s="51"/>
      <c r="X705" s="51"/>
      <c r="Y705" s="45"/>
      <c r="Z705" s="45"/>
      <c r="AA705" s="45"/>
      <c r="AB705" s="45"/>
      <c r="AC705" s="45"/>
      <c r="AD705" s="45"/>
      <c r="AE705" s="45"/>
      <c r="AF705" s="45"/>
      <c r="AG705" s="45"/>
      <c r="AH705" s="45"/>
      <c r="AI705" s="45"/>
      <c r="AJ705" s="45"/>
      <c r="AK705" s="45"/>
      <c r="AL705" s="45"/>
      <c r="AM705" s="45"/>
      <c r="AN705" s="45"/>
      <c r="AO705" s="45"/>
      <c r="AP705" s="45"/>
      <c r="AQ705" s="36"/>
      <c r="AR705" s="36"/>
      <c r="AS705" s="36"/>
      <c r="AT705" s="36"/>
      <c r="AU705" s="36"/>
      <c r="AV705" s="36"/>
      <c r="AW705" s="36"/>
      <c r="AX705" s="36"/>
      <c r="AY705" s="36"/>
      <c r="AZ705" s="36"/>
      <c r="BA705" s="36"/>
      <c r="BB705" s="36"/>
      <c r="BC705" s="36"/>
      <c r="BD705" s="36"/>
      <c r="BE705" s="36"/>
      <c r="BF705" s="36"/>
      <c r="BG705" s="36"/>
      <c r="BH705" s="36"/>
      <c r="BI705" s="36"/>
      <c r="BJ705" s="36"/>
      <c r="BK705" s="36"/>
      <c r="BL705" s="36"/>
      <c r="BM705" s="36"/>
      <c r="BN705" s="36"/>
      <c r="BO705" s="36"/>
      <c r="BP705" s="36"/>
      <c r="BQ705" s="36"/>
    </row>
    <row r="706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51"/>
      <c r="S706" s="51"/>
      <c r="T706" s="51"/>
      <c r="U706" s="51"/>
      <c r="V706" s="51"/>
      <c r="W706" s="51"/>
      <c r="X706" s="51"/>
      <c r="Y706" s="45"/>
      <c r="Z706" s="45"/>
      <c r="AA706" s="45"/>
      <c r="AB706" s="45"/>
      <c r="AC706" s="45"/>
      <c r="AD706" s="45"/>
      <c r="AE706" s="45"/>
      <c r="AF706" s="45"/>
      <c r="AG706" s="45"/>
      <c r="AH706" s="45"/>
      <c r="AI706" s="45"/>
      <c r="AJ706" s="45"/>
      <c r="AK706" s="45"/>
      <c r="AL706" s="45"/>
      <c r="AM706" s="45"/>
      <c r="AN706" s="45"/>
      <c r="AO706" s="45"/>
      <c r="AP706" s="45"/>
      <c r="AQ706" s="36"/>
      <c r="AR706" s="36"/>
      <c r="AS706" s="36"/>
      <c r="AT706" s="36"/>
      <c r="AU706" s="36"/>
      <c r="AV706" s="36"/>
      <c r="AW706" s="36"/>
      <c r="AX706" s="36"/>
      <c r="AY706" s="36"/>
      <c r="AZ706" s="36"/>
      <c r="BA706" s="36"/>
      <c r="BB706" s="36"/>
      <c r="BC706" s="36"/>
      <c r="BD706" s="36"/>
      <c r="BE706" s="36"/>
      <c r="BF706" s="36"/>
      <c r="BG706" s="36"/>
      <c r="BH706" s="36"/>
      <c r="BI706" s="36"/>
      <c r="BJ706" s="36"/>
      <c r="BK706" s="36"/>
      <c r="BL706" s="36"/>
      <c r="BM706" s="36"/>
      <c r="BN706" s="36"/>
      <c r="BO706" s="36"/>
      <c r="BP706" s="36"/>
      <c r="BQ706" s="36"/>
    </row>
    <row r="707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51"/>
      <c r="S707" s="51"/>
      <c r="T707" s="51"/>
      <c r="U707" s="51"/>
      <c r="V707" s="51"/>
      <c r="W707" s="51"/>
      <c r="X707" s="51"/>
      <c r="Y707" s="45"/>
      <c r="Z707" s="45"/>
      <c r="AA707" s="45"/>
      <c r="AB707" s="45"/>
      <c r="AC707" s="45"/>
      <c r="AD707" s="45"/>
      <c r="AE707" s="45"/>
      <c r="AF707" s="45"/>
      <c r="AG707" s="45"/>
      <c r="AH707" s="45"/>
      <c r="AI707" s="45"/>
      <c r="AJ707" s="45"/>
      <c r="AK707" s="45"/>
      <c r="AL707" s="45"/>
      <c r="AM707" s="45"/>
      <c r="AN707" s="45"/>
      <c r="AO707" s="45"/>
      <c r="AP707" s="45"/>
      <c r="AQ707" s="36"/>
      <c r="AR707" s="36"/>
      <c r="AS707" s="36"/>
      <c r="AT707" s="36"/>
      <c r="AU707" s="36"/>
      <c r="AV707" s="36"/>
      <c r="AW707" s="36"/>
      <c r="AX707" s="36"/>
      <c r="AY707" s="36"/>
      <c r="AZ707" s="36"/>
      <c r="BA707" s="36"/>
      <c r="BB707" s="36"/>
      <c r="BC707" s="36"/>
      <c r="BD707" s="36"/>
      <c r="BE707" s="36"/>
      <c r="BF707" s="36"/>
      <c r="BG707" s="36"/>
      <c r="BH707" s="36"/>
      <c r="BI707" s="36"/>
      <c r="BJ707" s="36"/>
      <c r="BK707" s="36"/>
      <c r="BL707" s="36"/>
      <c r="BM707" s="36"/>
      <c r="BN707" s="36"/>
      <c r="BO707" s="36"/>
      <c r="BP707" s="36"/>
      <c r="BQ707" s="36"/>
    </row>
    <row r="708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51"/>
      <c r="S708" s="51"/>
      <c r="T708" s="51"/>
      <c r="U708" s="51"/>
      <c r="V708" s="51"/>
      <c r="W708" s="51"/>
      <c r="X708" s="51"/>
      <c r="Y708" s="45"/>
      <c r="Z708" s="45"/>
      <c r="AA708" s="45"/>
      <c r="AB708" s="45"/>
      <c r="AC708" s="45"/>
      <c r="AD708" s="45"/>
      <c r="AE708" s="45"/>
      <c r="AF708" s="45"/>
      <c r="AG708" s="45"/>
      <c r="AH708" s="45"/>
      <c r="AI708" s="45"/>
      <c r="AJ708" s="45"/>
      <c r="AK708" s="45"/>
      <c r="AL708" s="45"/>
      <c r="AM708" s="45"/>
      <c r="AN708" s="45"/>
      <c r="AO708" s="45"/>
      <c r="AP708" s="45"/>
      <c r="AQ708" s="36"/>
      <c r="AR708" s="36"/>
      <c r="AS708" s="36"/>
      <c r="AT708" s="36"/>
      <c r="AU708" s="36"/>
      <c r="AV708" s="36"/>
      <c r="AW708" s="36"/>
      <c r="AX708" s="36"/>
      <c r="AY708" s="36"/>
      <c r="AZ708" s="36"/>
      <c r="BA708" s="36"/>
      <c r="BB708" s="36"/>
      <c r="BC708" s="36"/>
      <c r="BD708" s="36"/>
      <c r="BE708" s="36"/>
      <c r="BF708" s="36"/>
      <c r="BG708" s="36"/>
      <c r="BH708" s="36"/>
      <c r="BI708" s="36"/>
      <c r="BJ708" s="36"/>
      <c r="BK708" s="36"/>
      <c r="BL708" s="36"/>
      <c r="BM708" s="36"/>
      <c r="BN708" s="36"/>
      <c r="BO708" s="36"/>
      <c r="BP708" s="36"/>
      <c r="BQ708" s="36"/>
    </row>
    <row r="709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51"/>
      <c r="S709" s="51"/>
      <c r="T709" s="51"/>
      <c r="U709" s="51"/>
      <c r="V709" s="51"/>
      <c r="W709" s="51"/>
      <c r="X709" s="51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5"/>
      <c r="AM709" s="45"/>
      <c r="AN709" s="45"/>
      <c r="AO709" s="45"/>
      <c r="AP709" s="45"/>
      <c r="AQ709" s="36"/>
      <c r="AR709" s="36"/>
      <c r="AS709" s="36"/>
      <c r="AT709" s="36"/>
      <c r="AU709" s="36"/>
      <c r="AV709" s="36"/>
      <c r="AW709" s="36"/>
      <c r="AX709" s="36"/>
      <c r="AY709" s="36"/>
      <c r="AZ709" s="36"/>
      <c r="BA709" s="36"/>
      <c r="BB709" s="36"/>
      <c r="BC709" s="36"/>
      <c r="BD709" s="36"/>
      <c r="BE709" s="36"/>
      <c r="BF709" s="36"/>
      <c r="BG709" s="36"/>
      <c r="BH709" s="36"/>
      <c r="BI709" s="36"/>
      <c r="BJ709" s="36"/>
      <c r="BK709" s="36"/>
      <c r="BL709" s="36"/>
      <c r="BM709" s="36"/>
      <c r="BN709" s="36"/>
      <c r="BO709" s="36"/>
      <c r="BP709" s="36"/>
      <c r="BQ709" s="36"/>
    </row>
    <row r="710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51"/>
      <c r="S710" s="51"/>
      <c r="T710" s="51"/>
      <c r="U710" s="51"/>
      <c r="V710" s="51"/>
      <c r="W710" s="51"/>
      <c r="X710" s="51"/>
      <c r="Y710" s="45"/>
      <c r="Z710" s="45"/>
      <c r="AA710" s="45"/>
      <c r="AB710" s="45"/>
      <c r="AC710" s="45"/>
      <c r="AD710" s="45"/>
      <c r="AE710" s="45"/>
      <c r="AF710" s="45"/>
      <c r="AG710" s="45"/>
      <c r="AH710" s="45"/>
      <c r="AI710" s="45"/>
      <c r="AJ710" s="45"/>
      <c r="AK710" s="45"/>
      <c r="AL710" s="45"/>
      <c r="AM710" s="45"/>
      <c r="AN710" s="45"/>
      <c r="AO710" s="45"/>
      <c r="AP710" s="45"/>
      <c r="AQ710" s="36"/>
      <c r="AR710" s="36"/>
      <c r="AS710" s="36"/>
      <c r="AT710" s="36"/>
      <c r="AU710" s="36"/>
      <c r="AV710" s="36"/>
      <c r="AW710" s="36"/>
      <c r="AX710" s="36"/>
      <c r="AY710" s="36"/>
      <c r="AZ710" s="36"/>
      <c r="BA710" s="36"/>
      <c r="BB710" s="36"/>
      <c r="BC710" s="36"/>
      <c r="BD710" s="36"/>
      <c r="BE710" s="36"/>
      <c r="BF710" s="36"/>
      <c r="BG710" s="36"/>
      <c r="BH710" s="36"/>
      <c r="BI710" s="36"/>
      <c r="BJ710" s="36"/>
      <c r="BK710" s="36"/>
      <c r="BL710" s="36"/>
      <c r="BM710" s="36"/>
      <c r="BN710" s="36"/>
      <c r="BO710" s="36"/>
      <c r="BP710" s="36"/>
      <c r="BQ710" s="36"/>
    </row>
    <row r="71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51"/>
      <c r="S711" s="51"/>
      <c r="T711" s="51"/>
      <c r="U711" s="51"/>
      <c r="V711" s="51"/>
      <c r="W711" s="51"/>
      <c r="X711" s="51"/>
      <c r="Y711" s="45"/>
      <c r="Z711" s="45"/>
      <c r="AA711" s="45"/>
      <c r="AB711" s="45"/>
      <c r="AC711" s="45"/>
      <c r="AD711" s="45"/>
      <c r="AE711" s="45"/>
      <c r="AF711" s="45"/>
      <c r="AG711" s="45"/>
      <c r="AH711" s="45"/>
      <c r="AI711" s="45"/>
      <c r="AJ711" s="45"/>
      <c r="AK711" s="45"/>
      <c r="AL711" s="45"/>
      <c r="AM711" s="45"/>
      <c r="AN711" s="45"/>
      <c r="AO711" s="45"/>
      <c r="AP711" s="45"/>
      <c r="AQ711" s="36"/>
      <c r="AR711" s="36"/>
      <c r="AS711" s="36"/>
      <c r="AT711" s="36"/>
      <c r="AU711" s="36"/>
      <c r="AV711" s="36"/>
      <c r="AW711" s="36"/>
      <c r="AX711" s="36"/>
      <c r="AY711" s="36"/>
      <c r="AZ711" s="36"/>
      <c r="BA711" s="36"/>
      <c r="BB711" s="36"/>
      <c r="BC711" s="36"/>
      <c r="BD711" s="36"/>
      <c r="BE711" s="36"/>
      <c r="BF711" s="36"/>
      <c r="BG711" s="36"/>
      <c r="BH711" s="36"/>
      <c r="BI711" s="36"/>
      <c r="BJ711" s="36"/>
      <c r="BK711" s="36"/>
      <c r="BL711" s="36"/>
      <c r="BM711" s="36"/>
      <c r="BN711" s="36"/>
      <c r="BO711" s="36"/>
      <c r="BP711" s="36"/>
      <c r="BQ711" s="36"/>
    </row>
    <row r="71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51"/>
      <c r="S712" s="51"/>
      <c r="T712" s="51"/>
      <c r="U712" s="51"/>
      <c r="V712" s="51"/>
      <c r="W712" s="51"/>
      <c r="X712" s="51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5"/>
      <c r="AM712" s="45"/>
      <c r="AN712" s="45"/>
      <c r="AO712" s="45"/>
      <c r="AP712" s="45"/>
      <c r="AQ712" s="36"/>
      <c r="AR712" s="36"/>
      <c r="AS712" s="36"/>
      <c r="AT712" s="36"/>
      <c r="AU712" s="36"/>
      <c r="AV712" s="36"/>
      <c r="AW712" s="36"/>
      <c r="AX712" s="36"/>
      <c r="AY712" s="36"/>
      <c r="AZ712" s="36"/>
      <c r="BA712" s="36"/>
      <c r="BB712" s="36"/>
      <c r="BC712" s="36"/>
      <c r="BD712" s="36"/>
      <c r="BE712" s="36"/>
      <c r="BF712" s="36"/>
      <c r="BG712" s="36"/>
      <c r="BH712" s="36"/>
      <c r="BI712" s="36"/>
      <c r="BJ712" s="36"/>
      <c r="BK712" s="36"/>
      <c r="BL712" s="36"/>
      <c r="BM712" s="36"/>
      <c r="BN712" s="36"/>
      <c r="BO712" s="36"/>
      <c r="BP712" s="36"/>
      <c r="BQ712" s="36"/>
    </row>
    <row r="713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51"/>
      <c r="S713" s="51"/>
      <c r="T713" s="51"/>
      <c r="U713" s="51"/>
      <c r="V713" s="51"/>
      <c r="W713" s="51"/>
      <c r="X713" s="51"/>
      <c r="Y713" s="45"/>
      <c r="Z713" s="45"/>
      <c r="AA713" s="45"/>
      <c r="AB713" s="45"/>
      <c r="AC713" s="45"/>
      <c r="AD713" s="45"/>
      <c r="AE713" s="45"/>
      <c r="AF713" s="45"/>
      <c r="AG713" s="45"/>
      <c r="AH713" s="45"/>
      <c r="AI713" s="45"/>
      <c r="AJ713" s="45"/>
      <c r="AK713" s="45"/>
      <c r="AL713" s="45"/>
      <c r="AM713" s="45"/>
      <c r="AN713" s="45"/>
      <c r="AO713" s="45"/>
      <c r="AP713" s="45"/>
      <c r="AQ713" s="36"/>
      <c r="AR713" s="36"/>
      <c r="AS713" s="36"/>
      <c r="AT713" s="36"/>
      <c r="AU713" s="36"/>
      <c r="AV713" s="36"/>
      <c r="AW713" s="36"/>
      <c r="AX713" s="36"/>
      <c r="AY713" s="36"/>
      <c r="AZ713" s="36"/>
      <c r="BA713" s="36"/>
      <c r="BB713" s="36"/>
      <c r="BC713" s="36"/>
      <c r="BD713" s="36"/>
      <c r="BE713" s="36"/>
      <c r="BF713" s="36"/>
      <c r="BG713" s="36"/>
      <c r="BH713" s="36"/>
      <c r="BI713" s="36"/>
      <c r="BJ713" s="36"/>
      <c r="BK713" s="36"/>
      <c r="BL713" s="36"/>
      <c r="BM713" s="36"/>
      <c r="BN713" s="36"/>
      <c r="BO713" s="36"/>
      <c r="BP713" s="36"/>
      <c r="BQ713" s="36"/>
    </row>
    <row r="714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51"/>
      <c r="S714" s="51"/>
      <c r="T714" s="51"/>
      <c r="U714" s="51"/>
      <c r="V714" s="51"/>
      <c r="W714" s="51"/>
      <c r="X714" s="51"/>
      <c r="Y714" s="45"/>
      <c r="Z714" s="45"/>
      <c r="AA714" s="45"/>
      <c r="AB714" s="45"/>
      <c r="AC714" s="45"/>
      <c r="AD714" s="45"/>
      <c r="AE714" s="45"/>
      <c r="AF714" s="45"/>
      <c r="AG714" s="45"/>
      <c r="AH714" s="45"/>
      <c r="AI714" s="45"/>
      <c r="AJ714" s="45"/>
      <c r="AK714" s="45"/>
      <c r="AL714" s="45"/>
      <c r="AM714" s="45"/>
      <c r="AN714" s="45"/>
      <c r="AO714" s="45"/>
      <c r="AP714" s="45"/>
      <c r="AQ714" s="36"/>
      <c r="AR714" s="36"/>
      <c r="AS714" s="36"/>
      <c r="AT714" s="36"/>
      <c r="AU714" s="36"/>
      <c r="AV714" s="36"/>
      <c r="AW714" s="36"/>
      <c r="AX714" s="36"/>
      <c r="AY714" s="36"/>
      <c r="AZ714" s="36"/>
      <c r="BA714" s="36"/>
      <c r="BB714" s="36"/>
      <c r="BC714" s="36"/>
      <c r="BD714" s="36"/>
      <c r="BE714" s="36"/>
      <c r="BF714" s="36"/>
      <c r="BG714" s="36"/>
      <c r="BH714" s="36"/>
      <c r="BI714" s="36"/>
      <c r="BJ714" s="36"/>
      <c r="BK714" s="36"/>
      <c r="BL714" s="36"/>
      <c r="BM714" s="36"/>
      <c r="BN714" s="36"/>
      <c r="BO714" s="36"/>
      <c r="BP714" s="36"/>
      <c r="BQ714" s="36"/>
    </row>
    <row r="71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51"/>
      <c r="S715" s="51"/>
      <c r="T715" s="51"/>
      <c r="U715" s="51"/>
      <c r="V715" s="51"/>
      <c r="W715" s="51"/>
      <c r="X715" s="51"/>
      <c r="Y715" s="45"/>
      <c r="Z715" s="45"/>
      <c r="AA715" s="45"/>
      <c r="AB715" s="45"/>
      <c r="AC715" s="45"/>
      <c r="AD715" s="45"/>
      <c r="AE715" s="45"/>
      <c r="AF715" s="45"/>
      <c r="AG715" s="45"/>
      <c r="AH715" s="45"/>
      <c r="AI715" s="45"/>
      <c r="AJ715" s="45"/>
      <c r="AK715" s="45"/>
      <c r="AL715" s="45"/>
      <c r="AM715" s="45"/>
      <c r="AN715" s="45"/>
      <c r="AO715" s="45"/>
      <c r="AP715" s="45"/>
      <c r="AQ715" s="36"/>
      <c r="AR715" s="36"/>
      <c r="AS715" s="36"/>
      <c r="AT715" s="36"/>
      <c r="AU715" s="36"/>
      <c r="AV715" s="36"/>
      <c r="AW715" s="36"/>
      <c r="AX715" s="36"/>
      <c r="AY715" s="36"/>
      <c r="AZ715" s="36"/>
      <c r="BA715" s="36"/>
      <c r="BB715" s="36"/>
      <c r="BC715" s="36"/>
      <c r="BD715" s="36"/>
      <c r="BE715" s="36"/>
      <c r="BF715" s="36"/>
      <c r="BG715" s="36"/>
      <c r="BH715" s="36"/>
      <c r="BI715" s="36"/>
      <c r="BJ715" s="36"/>
      <c r="BK715" s="36"/>
      <c r="BL715" s="36"/>
      <c r="BM715" s="36"/>
      <c r="BN715" s="36"/>
      <c r="BO715" s="36"/>
      <c r="BP715" s="36"/>
      <c r="BQ715" s="36"/>
    </row>
    <row r="716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51"/>
      <c r="S716" s="51"/>
      <c r="T716" s="51"/>
      <c r="U716" s="51"/>
      <c r="V716" s="51"/>
      <c r="W716" s="51"/>
      <c r="X716" s="51"/>
      <c r="Y716" s="45"/>
      <c r="Z716" s="45"/>
      <c r="AA716" s="45"/>
      <c r="AB716" s="45"/>
      <c r="AC716" s="45"/>
      <c r="AD716" s="45"/>
      <c r="AE716" s="45"/>
      <c r="AF716" s="45"/>
      <c r="AG716" s="45"/>
      <c r="AH716" s="45"/>
      <c r="AI716" s="45"/>
      <c r="AJ716" s="45"/>
      <c r="AK716" s="45"/>
      <c r="AL716" s="45"/>
      <c r="AM716" s="45"/>
      <c r="AN716" s="45"/>
      <c r="AO716" s="45"/>
      <c r="AP716" s="45"/>
      <c r="AQ716" s="36"/>
      <c r="AR716" s="36"/>
      <c r="AS716" s="36"/>
      <c r="AT716" s="36"/>
      <c r="AU716" s="36"/>
      <c r="AV716" s="36"/>
      <c r="AW716" s="36"/>
      <c r="AX716" s="36"/>
      <c r="AY716" s="36"/>
      <c r="AZ716" s="36"/>
      <c r="BA716" s="36"/>
      <c r="BB716" s="36"/>
      <c r="BC716" s="36"/>
      <c r="BD716" s="36"/>
      <c r="BE716" s="36"/>
      <c r="BF716" s="36"/>
      <c r="BG716" s="36"/>
      <c r="BH716" s="36"/>
      <c r="BI716" s="36"/>
      <c r="BJ716" s="36"/>
      <c r="BK716" s="36"/>
      <c r="BL716" s="36"/>
      <c r="BM716" s="36"/>
      <c r="BN716" s="36"/>
      <c r="BO716" s="36"/>
      <c r="BP716" s="36"/>
      <c r="BQ716" s="36"/>
    </row>
    <row r="717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51"/>
      <c r="S717" s="51"/>
      <c r="T717" s="51"/>
      <c r="U717" s="51"/>
      <c r="V717" s="51"/>
      <c r="W717" s="51"/>
      <c r="X717" s="51"/>
      <c r="Y717" s="45"/>
      <c r="Z717" s="45"/>
      <c r="AA717" s="45"/>
      <c r="AB717" s="45"/>
      <c r="AC717" s="45"/>
      <c r="AD717" s="45"/>
      <c r="AE717" s="45"/>
      <c r="AF717" s="45"/>
      <c r="AG717" s="45"/>
      <c r="AH717" s="45"/>
      <c r="AI717" s="45"/>
      <c r="AJ717" s="45"/>
      <c r="AK717" s="45"/>
      <c r="AL717" s="45"/>
      <c r="AM717" s="45"/>
      <c r="AN717" s="45"/>
      <c r="AO717" s="45"/>
      <c r="AP717" s="45"/>
      <c r="AQ717" s="36"/>
      <c r="AR717" s="36"/>
      <c r="AS717" s="36"/>
      <c r="AT717" s="36"/>
      <c r="AU717" s="36"/>
      <c r="AV717" s="36"/>
      <c r="AW717" s="36"/>
      <c r="AX717" s="36"/>
      <c r="AY717" s="36"/>
      <c r="AZ717" s="36"/>
      <c r="BA717" s="36"/>
      <c r="BB717" s="36"/>
      <c r="BC717" s="36"/>
      <c r="BD717" s="36"/>
      <c r="BE717" s="36"/>
      <c r="BF717" s="36"/>
      <c r="BG717" s="36"/>
      <c r="BH717" s="36"/>
      <c r="BI717" s="36"/>
      <c r="BJ717" s="36"/>
      <c r="BK717" s="36"/>
      <c r="BL717" s="36"/>
      <c r="BM717" s="36"/>
      <c r="BN717" s="36"/>
      <c r="BO717" s="36"/>
      <c r="BP717" s="36"/>
      <c r="BQ717" s="36"/>
    </row>
    <row r="718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51"/>
      <c r="S718" s="51"/>
      <c r="T718" s="51"/>
      <c r="U718" s="51"/>
      <c r="V718" s="51"/>
      <c r="W718" s="51"/>
      <c r="X718" s="51"/>
      <c r="Y718" s="45"/>
      <c r="Z718" s="45"/>
      <c r="AA718" s="45"/>
      <c r="AB718" s="45"/>
      <c r="AC718" s="45"/>
      <c r="AD718" s="45"/>
      <c r="AE718" s="45"/>
      <c r="AF718" s="45"/>
      <c r="AG718" s="45"/>
      <c r="AH718" s="45"/>
      <c r="AI718" s="45"/>
      <c r="AJ718" s="45"/>
      <c r="AK718" s="45"/>
      <c r="AL718" s="45"/>
      <c r="AM718" s="45"/>
      <c r="AN718" s="45"/>
      <c r="AO718" s="45"/>
      <c r="AP718" s="45"/>
      <c r="AQ718" s="36"/>
      <c r="AR718" s="36"/>
      <c r="AS718" s="36"/>
      <c r="AT718" s="36"/>
      <c r="AU718" s="36"/>
      <c r="AV718" s="36"/>
      <c r="AW718" s="36"/>
      <c r="AX718" s="36"/>
      <c r="AY718" s="36"/>
      <c r="AZ718" s="36"/>
      <c r="BA718" s="36"/>
      <c r="BB718" s="36"/>
      <c r="BC718" s="36"/>
      <c r="BD718" s="36"/>
      <c r="BE718" s="36"/>
      <c r="BF718" s="36"/>
      <c r="BG718" s="36"/>
      <c r="BH718" s="36"/>
      <c r="BI718" s="36"/>
      <c r="BJ718" s="36"/>
      <c r="BK718" s="36"/>
      <c r="BL718" s="36"/>
      <c r="BM718" s="36"/>
      <c r="BN718" s="36"/>
      <c r="BO718" s="36"/>
      <c r="BP718" s="36"/>
      <c r="BQ718" s="36"/>
    </row>
    <row r="719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51"/>
      <c r="S719" s="51"/>
      <c r="T719" s="51"/>
      <c r="U719" s="51"/>
      <c r="V719" s="51"/>
      <c r="W719" s="51"/>
      <c r="X719" s="51"/>
      <c r="Y719" s="45"/>
      <c r="Z719" s="45"/>
      <c r="AA719" s="45"/>
      <c r="AB719" s="45"/>
      <c r="AC719" s="45"/>
      <c r="AD719" s="45"/>
      <c r="AE719" s="45"/>
      <c r="AF719" s="45"/>
      <c r="AG719" s="45"/>
      <c r="AH719" s="45"/>
      <c r="AI719" s="45"/>
      <c r="AJ719" s="45"/>
      <c r="AK719" s="45"/>
      <c r="AL719" s="45"/>
      <c r="AM719" s="45"/>
      <c r="AN719" s="45"/>
      <c r="AO719" s="45"/>
      <c r="AP719" s="45"/>
      <c r="AQ719" s="36"/>
      <c r="AR719" s="36"/>
      <c r="AS719" s="36"/>
      <c r="AT719" s="36"/>
      <c r="AU719" s="36"/>
      <c r="AV719" s="36"/>
      <c r="AW719" s="36"/>
      <c r="AX719" s="36"/>
      <c r="AY719" s="36"/>
      <c r="AZ719" s="36"/>
      <c r="BA719" s="36"/>
      <c r="BB719" s="36"/>
      <c r="BC719" s="36"/>
      <c r="BD719" s="36"/>
      <c r="BE719" s="36"/>
      <c r="BF719" s="36"/>
      <c r="BG719" s="36"/>
      <c r="BH719" s="36"/>
      <c r="BI719" s="36"/>
      <c r="BJ719" s="36"/>
      <c r="BK719" s="36"/>
      <c r="BL719" s="36"/>
      <c r="BM719" s="36"/>
      <c r="BN719" s="36"/>
      <c r="BO719" s="36"/>
      <c r="BP719" s="36"/>
      <c r="BQ719" s="36"/>
    </row>
    <row r="720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51"/>
      <c r="S720" s="51"/>
      <c r="T720" s="51"/>
      <c r="U720" s="51"/>
      <c r="V720" s="51"/>
      <c r="W720" s="51"/>
      <c r="X720" s="51"/>
      <c r="Y720" s="45"/>
      <c r="Z720" s="45"/>
      <c r="AA720" s="45"/>
      <c r="AB720" s="45"/>
      <c r="AC720" s="45"/>
      <c r="AD720" s="45"/>
      <c r="AE720" s="45"/>
      <c r="AF720" s="45"/>
      <c r="AG720" s="45"/>
      <c r="AH720" s="45"/>
      <c r="AI720" s="45"/>
      <c r="AJ720" s="45"/>
      <c r="AK720" s="45"/>
      <c r="AL720" s="45"/>
      <c r="AM720" s="45"/>
      <c r="AN720" s="45"/>
      <c r="AO720" s="45"/>
      <c r="AP720" s="45"/>
      <c r="AQ720" s="36"/>
      <c r="AR720" s="36"/>
      <c r="AS720" s="36"/>
      <c r="AT720" s="36"/>
      <c r="AU720" s="36"/>
      <c r="AV720" s="36"/>
      <c r="AW720" s="36"/>
      <c r="AX720" s="36"/>
      <c r="AY720" s="36"/>
      <c r="AZ720" s="36"/>
      <c r="BA720" s="36"/>
      <c r="BB720" s="36"/>
      <c r="BC720" s="36"/>
      <c r="BD720" s="36"/>
      <c r="BE720" s="36"/>
      <c r="BF720" s="36"/>
      <c r="BG720" s="36"/>
      <c r="BH720" s="36"/>
      <c r="BI720" s="36"/>
      <c r="BJ720" s="36"/>
      <c r="BK720" s="36"/>
      <c r="BL720" s="36"/>
      <c r="BM720" s="36"/>
      <c r="BN720" s="36"/>
      <c r="BO720" s="36"/>
      <c r="BP720" s="36"/>
      <c r="BQ720" s="36"/>
    </row>
    <row r="72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51"/>
      <c r="S721" s="51"/>
      <c r="T721" s="51"/>
      <c r="U721" s="51"/>
      <c r="V721" s="51"/>
      <c r="W721" s="51"/>
      <c r="X721" s="51"/>
      <c r="Y721" s="45"/>
      <c r="Z721" s="45"/>
      <c r="AA721" s="45"/>
      <c r="AB721" s="45"/>
      <c r="AC721" s="45"/>
      <c r="AD721" s="45"/>
      <c r="AE721" s="45"/>
      <c r="AF721" s="45"/>
      <c r="AG721" s="45"/>
      <c r="AH721" s="45"/>
      <c r="AI721" s="45"/>
      <c r="AJ721" s="45"/>
      <c r="AK721" s="45"/>
      <c r="AL721" s="45"/>
      <c r="AM721" s="45"/>
      <c r="AN721" s="45"/>
      <c r="AO721" s="45"/>
      <c r="AP721" s="45"/>
      <c r="AQ721" s="36"/>
      <c r="AR721" s="36"/>
      <c r="AS721" s="36"/>
      <c r="AT721" s="36"/>
      <c r="AU721" s="36"/>
      <c r="AV721" s="36"/>
      <c r="AW721" s="36"/>
      <c r="AX721" s="36"/>
      <c r="AY721" s="36"/>
      <c r="AZ721" s="36"/>
      <c r="BA721" s="36"/>
      <c r="BB721" s="36"/>
      <c r="BC721" s="36"/>
      <c r="BD721" s="36"/>
      <c r="BE721" s="36"/>
      <c r="BF721" s="36"/>
      <c r="BG721" s="36"/>
      <c r="BH721" s="36"/>
      <c r="BI721" s="36"/>
      <c r="BJ721" s="36"/>
      <c r="BK721" s="36"/>
      <c r="BL721" s="36"/>
      <c r="BM721" s="36"/>
      <c r="BN721" s="36"/>
      <c r="BO721" s="36"/>
      <c r="BP721" s="36"/>
      <c r="BQ721" s="36"/>
    </row>
    <row r="72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51"/>
      <c r="S722" s="51"/>
      <c r="T722" s="51"/>
      <c r="U722" s="51"/>
      <c r="V722" s="51"/>
      <c r="W722" s="51"/>
      <c r="X722" s="51"/>
      <c r="Y722" s="45"/>
      <c r="Z722" s="45"/>
      <c r="AA722" s="45"/>
      <c r="AB722" s="45"/>
      <c r="AC722" s="45"/>
      <c r="AD722" s="45"/>
      <c r="AE722" s="45"/>
      <c r="AF722" s="45"/>
      <c r="AG722" s="45"/>
      <c r="AH722" s="45"/>
      <c r="AI722" s="45"/>
      <c r="AJ722" s="45"/>
      <c r="AK722" s="45"/>
      <c r="AL722" s="45"/>
      <c r="AM722" s="45"/>
      <c r="AN722" s="45"/>
      <c r="AO722" s="45"/>
      <c r="AP722" s="45"/>
      <c r="AQ722" s="36"/>
      <c r="AR722" s="36"/>
      <c r="AS722" s="36"/>
      <c r="AT722" s="36"/>
      <c r="AU722" s="36"/>
      <c r="AV722" s="36"/>
      <c r="AW722" s="36"/>
      <c r="AX722" s="36"/>
      <c r="AY722" s="36"/>
      <c r="AZ722" s="36"/>
      <c r="BA722" s="36"/>
      <c r="BB722" s="36"/>
      <c r="BC722" s="36"/>
      <c r="BD722" s="36"/>
      <c r="BE722" s="36"/>
      <c r="BF722" s="36"/>
      <c r="BG722" s="36"/>
      <c r="BH722" s="36"/>
      <c r="BI722" s="36"/>
      <c r="BJ722" s="36"/>
      <c r="BK722" s="36"/>
      <c r="BL722" s="36"/>
      <c r="BM722" s="36"/>
      <c r="BN722" s="36"/>
      <c r="BO722" s="36"/>
      <c r="BP722" s="36"/>
      <c r="BQ722" s="36"/>
    </row>
    <row r="723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51"/>
      <c r="S723" s="51"/>
      <c r="T723" s="51"/>
      <c r="U723" s="51"/>
      <c r="V723" s="51"/>
      <c r="W723" s="51"/>
      <c r="X723" s="51"/>
      <c r="Y723" s="45"/>
      <c r="Z723" s="45"/>
      <c r="AA723" s="45"/>
      <c r="AB723" s="45"/>
      <c r="AC723" s="45"/>
      <c r="AD723" s="45"/>
      <c r="AE723" s="45"/>
      <c r="AF723" s="45"/>
      <c r="AG723" s="45"/>
      <c r="AH723" s="45"/>
      <c r="AI723" s="45"/>
      <c r="AJ723" s="45"/>
      <c r="AK723" s="45"/>
      <c r="AL723" s="45"/>
      <c r="AM723" s="45"/>
      <c r="AN723" s="45"/>
      <c r="AO723" s="45"/>
      <c r="AP723" s="45"/>
      <c r="AQ723" s="36"/>
      <c r="AR723" s="36"/>
      <c r="AS723" s="36"/>
      <c r="AT723" s="36"/>
      <c r="AU723" s="36"/>
      <c r="AV723" s="36"/>
      <c r="AW723" s="36"/>
      <c r="AX723" s="36"/>
      <c r="AY723" s="36"/>
      <c r="AZ723" s="36"/>
      <c r="BA723" s="36"/>
      <c r="BB723" s="36"/>
      <c r="BC723" s="36"/>
      <c r="BD723" s="36"/>
      <c r="BE723" s="36"/>
      <c r="BF723" s="36"/>
      <c r="BG723" s="36"/>
      <c r="BH723" s="36"/>
      <c r="BI723" s="36"/>
      <c r="BJ723" s="36"/>
      <c r="BK723" s="36"/>
      <c r="BL723" s="36"/>
      <c r="BM723" s="36"/>
      <c r="BN723" s="36"/>
      <c r="BO723" s="36"/>
      <c r="BP723" s="36"/>
      <c r="BQ723" s="36"/>
    </row>
    <row r="724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51"/>
      <c r="S724" s="51"/>
      <c r="T724" s="51"/>
      <c r="U724" s="51"/>
      <c r="V724" s="51"/>
      <c r="W724" s="51"/>
      <c r="X724" s="51"/>
      <c r="Y724" s="45"/>
      <c r="Z724" s="45"/>
      <c r="AA724" s="45"/>
      <c r="AB724" s="45"/>
      <c r="AC724" s="45"/>
      <c r="AD724" s="45"/>
      <c r="AE724" s="45"/>
      <c r="AF724" s="45"/>
      <c r="AG724" s="45"/>
      <c r="AH724" s="45"/>
      <c r="AI724" s="45"/>
      <c r="AJ724" s="45"/>
      <c r="AK724" s="45"/>
      <c r="AL724" s="45"/>
      <c r="AM724" s="45"/>
      <c r="AN724" s="45"/>
      <c r="AO724" s="45"/>
      <c r="AP724" s="45"/>
      <c r="AQ724" s="36"/>
      <c r="AR724" s="36"/>
      <c r="AS724" s="36"/>
      <c r="AT724" s="36"/>
      <c r="AU724" s="36"/>
      <c r="AV724" s="36"/>
      <c r="AW724" s="36"/>
      <c r="AX724" s="36"/>
      <c r="AY724" s="36"/>
      <c r="AZ724" s="36"/>
      <c r="BA724" s="36"/>
      <c r="BB724" s="36"/>
      <c r="BC724" s="36"/>
      <c r="BD724" s="36"/>
      <c r="BE724" s="36"/>
      <c r="BF724" s="36"/>
      <c r="BG724" s="36"/>
      <c r="BH724" s="36"/>
      <c r="BI724" s="36"/>
      <c r="BJ724" s="36"/>
      <c r="BK724" s="36"/>
      <c r="BL724" s="36"/>
      <c r="BM724" s="36"/>
      <c r="BN724" s="36"/>
      <c r="BO724" s="36"/>
      <c r="BP724" s="36"/>
      <c r="BQ724" s="36"/>
    </row>
    <row r="7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51"/>
      <c r="S725" s="51"/>
      <c r="T725" s="51"/>
      <c r="U725" s="51"/>
      <c r="V725" s="51"/>
      <c r="W725" s="51"/>
      <c r="X725" s="51"/>
      <c r="Y725" s="45"/>
      <c r="Z725" s="45"/>
      <c r="AA725" s="45"/>
      <c r="AB725" s="45"/>
      <c r="AC725" s="45"/>
      <c r="AD725" s="45"/>
      <c r="AE725" s="45"/>
      <c r="AF725" s="45"/>
      <c r="AG725" s="45"/>
      <c r="AH725" s="45"/>
      <c r="AI725" s="45"/>
      <c r="AJ725" s="45"/>
      <c r="AK725" s="45"/>
      <c r="AL725" s="45"/>
      <c r="AM725" s="45"/>
      <c r="AN725" s="45"/>
      <c r="AO725" s="45"/>
      <c r="AP725" s="45"/>
      <c r="AQ725" s="36"/>
      <c r="AR725" s="36"/>
      <c r="AS725" s="36"/>
      <c r="AT725" s="36"/>
      <c r="AU725" s="36"/>
      <c r="AV725" s="36"/>
      <c r="AW725" s="36"/>
      <c r="AX725" s="36"/>
      <c r="AY725" s="36"/>
      <c r="AZ725" s="36"/>
      <c r="BA725" s="36"/>
      <c r="BB725" s="36"/>
      <c r="BC725" s="36"/>
      <c r="BD725" s="36"/>
      <c r="BE725" s="36"/>
      <c r="BF725" s="36"/>
      <c r="BG725" s="36"/>
      <c r="BH725" s="36"/>
      <c r="BI725" s="36"/>
      <c r="BJ725" s="36"/>
      <c r="BK725" s="36"/>
      <c r="BL725" s="36"/>
      <c r="BM725" s="36"/>
      <c r="BN725" s="36"/>
      <c r="BO725" s="36"/>
      <c r="BP725" s="36"/>
      <c r="BQ725" s="36"/>
    </row>
    <row r="726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51"/>
      <c r="S726" s="51"/>
      <c r="T726" s="51"/>
      <c r="U726" s="51"/>
      <c r="V726" s="51"/>
      <c r="W726" s="51"/>
      <c r="X726" s="51"/>
      <c r="Y726" s="45"/>
      <c r="Z726" s="45"/>
      <c r="AA726" s="45"/>
      <c r="AB726" s="45"/>
      <c r="AC726" s="45"/>
      <c r="AD726" s="45"/>
      <c r="AE726" s="45"/>
      <c r="AF726" s="45"/>
      <c r="AG726" s="45"/>
      <c r="AH726" s="45"/>
      <c r="AI726" s="45"/>
      <c r="AJ726" s="45"/>
      <c r="AK726" s="45"/>
      <c r="AL726" s="45"/>
      <c r="AM726" s="45"/>
      <c r="AN726" s="45"/>
      <c r="AO726" s="45"/>
      <c r="AP726" s="45"/>
      <c r="AQ726" s="36"/>
      <c r="AR726" s="36"/>
      <c r="AS726" s="36"/>
      <c r="AT726" s="36"/>
      <c r="AU726" s="36"/>
      <c r="AV726" s="36"/>
      <c r="AW726" s="36"/>
      <c r="AX726" s="36"/>
      <c r="AY726" s="36"/>
      <c r="AZ726" s="36"/>
      <c r="BA726" s="36"/>
      <c r="BB726" s="36"/>
      <c r="BC726" s="36"/>
      <c r="BD726" s="36"/>
      <c r="BE726" s="36"/>
      <c r="BF726" s="36"/>
      <c r="BG726" s="36"/>
      <c r="BH726" s="36"/>
      <c r="BI726" s="36"/>
      <c r="BJ726" s="36"/>
      <c r="BK726" s="36"/>
      <c r="BL726" s="36"/>
      <c r="BM726" s="36"/>
      <c r="BN726" s="36"/>
      <c r="BO726" s="36"/>
      <c r="BP726" s="36"/>
      <c r="BQ726" s="36"/>
    </row>
    <row r="727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51"/>
      <c r="S727" s="51"/>
      <c r="T727" s="51"/>
      <c r="U727" s="51"/>
      <c r="V727" s="51"/>
      <c r="W727" s="51"/>
      <c r="X727" s="51"/>
      <c r="Y727" s="45"/>
      <c r="Z727" s="45"/>
      <c r="AA727" s="45"/>
      <c r="AB727" s="45"/>
      <c r="AC727" s="45"/>
      <c r="AD727" s="45"/>
      <c r="AE727" s="45"/>
      <c r="AF727" s="45"/>
      <c r="AG727" s="45"/>
      <c r="AH727" s="45"/>
      <c r="AI727" s="45"/>
      <c r="AJ727" s="45"/>
      <c r="AK727" s="45"/>
      <c r="AL727" s="45"/>
      <c r="AM727" s="45"/>
      <c r="AN727" s="45"/>
      <c r="AO727" s="45"/>
      <c r="AP727" s="45"/>
      <c r="AQ727" s="36"/>
      <c r="AR727" s="36"/>
      <c r="AS727" s="36"/>
      <c r="AT727" s="36"/>
      <c r="AU727" s="36"/>
      <c r="AV727" s="36"/>
      <c r="AW727" s="36"/>
      <c r="AX727" s="36"/>
      <c r="AY727" s="36"/>
      <c r="AZ727" s="36"/>
      <c r="BA727" s="36"/>
      <c r="BB727" s="36"/>
      <c r="BC727" s="36"/>
      <c r="BD727" s="36"/>
      <c r="BE727" s="36"/>
      <c r="BF727" s="36"/>
      <c r="BG727" s="36"/>
      <c r="BH727" s="36"/>
      <c r="BI727" s="36"/>
      <c r="BJ727" s="36"/>
      <c r="BK727" s="36"/>
      <c r="BL727" s="36"/>
      <c r="BM727" s="36"/>
      <c r="BN727" s="36"/>
      <c r="BO727" s="36"/>
      <c r="BP727" s="36"/>
      <c r="BQ727" s="36"/>
    </row>
    <row r="728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51"/>
      <c r="S728" s="51"/>
      <c r="T728" s="51"/>
      <c r="U728" s="51"/>
      <c r="V728" s="51"/>
      <c r="W728" s="51"/>
      <c r="X728" s="51"/>
      <c r="Y728" s="45"/>
      <c r="Z728" s="45"/>
      <c r="AA728" s="45"/>
      <c r="AB728" s="45"/>
      <c r="AC728" s="45"/>
      <c r="AD728" s="45"/>
      <c r="AE728" s="45"/>
      <c r="AF728" s="45"/>
      <c r="AG728" s="45"/>
      <c r="AH728" s="45"/>
      <c r="AI728" s="45"/>
      <c r="AJ728" s="45"/>
      <c r="AK728" s="45"/>
      <c r="AL728" s="45"/>
      <c r="AM728" s="45"/>
      <c r="AN728" s="45"/>
      <c r="AO728" s="45"/>
      <c r="AP728" s="45"/>
      <c r="AQ728" s="36"/>
      <c r="AR728" s="36"/>
      <c r="AS728" s="36"/>
      <c r="AT728" s="36"/>
      <c r="AU728" s="36"/>
      <c r="AV728" s="36"/>
      <c r="AW728" s="36"/>
      <c r="AX728" s="36"/>
      <c r="AY728" s="36"/>
      <c r="AZ728" s="36"/>
      <c r="BA728" s="36"/>
      <c r="BB728" s="36"/>
      <c r="BC728" s="36"/>
      <c r="BD728" s="36"/>
      <c r="BE728" s="36"/>
      <c r="BF728" s="36"/>
      <c r="BG728" s="36"/>
      <c r="BH728" s="36"/>
      <c r="BI728" s="36"/>
      <c r="BJ728" s="36"/>
      <c r="BK728" s="36"/>
      <c r="BL728" s="36"/>
      <c r="BM728" s="36"/>
      <c r="BN728" s="36"/>
      <c r="BO728" s="36"/>
      <c r="BP728" s="36"/>
      <c r="BQ728" s="36"/>
    </row>
    <row r="729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51"/>
      <c r="S729" s="51"/>
      <c r="T729" s="51"/>
      <c r="U729" s="51"/>
      <c r="V729" s="51"/>
      <c r="W729" s="51"/>
      <c r="X729" s="51"/>
      <c r="Y729" s="45"/>
      <c r="Z729" s="45"/>
      <c r="AA729" s="45"/>
      <c r="AB729" s="45"/>
      <c r="AC729" s="45"/>
      <c r="AD729" s="45"/>
      <c r="AE729" s="45"/>
      <c r="AF729" s="45"/>
      <c r="AG729" s="45"/>
      <c r="AH729" s="45"/>
      <c r="AI729" s="45"/>
      <c r="AJ729" s="45"/>
      <c r="AK729" s="45"/>
      <c r="AL729" s="45"/>
      <c r="AM729" s="45"/>
      <c r="AN729" s="45"/>
      <c r="AO729" s="45"/>
      <c r="AP729" s="45"/>
      <c r="AQ729" s="36"/>
      <c r="AR729" s="36"/>
      <c r="AS729" s="36"/>
      <c r="AT729" s="36"/>
      <c r="AU729" s="36"/>
      <c r="AV729" s="36"/>
      <c r="AW729" s="36"/>
      <c r="AX729" s="36"/>
      <c r="AY729" s="36"/>
      <c r="AZ729" s="36"/>
      <c r="BA729" s="36"/>
      <c r="BB729" s="36"/>
      <c r="BC729" s="36"/>
      <c r="BD729" s="36"/>
      <c r="BE729" s="36"/>
      <c r="BF729" s="36"/>
      <c r="BG729" s="36"/>
      <c r="BH729" s="36"/>
      <c r="BI729" s="36"/>
      <c r="BJ729" s="36"/>
      <c r="BK729" s="36"/>
      <c r="BL729" s="36"/>
      <c r="BM729" s="36"/>
      <c r="BN729" s="36"/>
      <c r="BO729" s="36"/>
      <c r="BP729" s="36"/>
      <c r="BQ729" s="36"/>
    </row>
    <row r="730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51"/>
      <c r="S730" s="51"/>
      <c r="T730" s="51"/>
      <c r="U730" s="51"/>
      <c r="V730" s="51"/>
      <c r="W730" s="51"/>
      <c r="X730" s="51"/>
      <c r="Y730" s="45"/>
      <c r="Z730" s="45"/>
      <c r="AA730" s="45"/>
      <c r="AB730" s="45"/>
      <c r="AC730" s="45"/>
      <c r="AD730" s="45"/>
      <c r="AE730" s="45"/>
      <c r="AF730" s="45"/>
      <c r="AG730" s="45"/>
      <c r="AH730" s="45"/>
      <c r="AI730" s="45"/>
      <c r="AJ730" s="45"/>
      <c r="AK730" s="45"/>
      <c r="AL730" s="45"/>
      <c r="AM730" s="45"/>
      <c r="AN730" s="45"/>
      <c r="AO730" s="45"/>
      <c r="AP730" s="45"/>
      <c r="AQ730" s="36"/>
      <c r="AR730" s="36"/>
      <c r="AS730" s="36"/>
      <c r="AT730" s="36"/>
      <c r="AU730" s="36"/>
      <c r="AV730" s="36"/>
      <c r="AW730" s="36"/>
      <c r="AX730" s="36"/>
      <c r="AY730" s="36"/>
      <c r="AZ730" s="36"/>
      <c r="BA730" s="36"/>
      <c r="BB730" s="36"/>
      <c r="BC730" s="36"/>
      <c r="BD730" s="36"/>
      <c r="BE730" s="36"/>
      <c r="BF730" s="36"/>
      <c r="BG730" s="36"/>
      <c r="BH730" s="36"/>
      <c r="BI730" s="36"/>
      <c r="BJ730" s="36"/>
      <c r="BK730" s="36"/>
      <c r="BL730" s="36"/>
      <c r="BM730" s="36"/>
      <c r="BN730" s="36"/>
      <c r="BO730" s="36"/>
      <c r="BP730" s="36"/>
      <c r="BQ730" s="36"/>
    </row>
    <row r="73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51"/>
      <c r="S731" s="51"/>
      <c r="T731" s="51"/>
      <c r="U731" s="51"/>
      <c r="V731" s="51"/>
      <c r="W731" s="51"/>
      <c r="X731" s="51"/>
      <c r="Y731" s="45"/>
      <c r="Z731" s="45"/>
      <c r="AA731" s="45"/>
      <c r="AB731" s="45"/>
      <c r="AC731" s="45"/>
      <c r="AD731" s="45"/>
      <c r="AE731" s="45"/>
      <c r="AF731" s="45"/>
      <c r="AG731" s="45"/>
      <c r="AH731" s="45"/>
      <c r="AI731" s="45"/>
      <c r="AJ731" s="45"/>
      <c r="AK731" s="45"/>
      <c r="AL731" s="45"/>
      <c r="AM731" s="45"/>
      <c r="AN731" s="45"/>
      <c r="AO731" s="45"/>
      <c r="AP731" s="45"/>
      <c r="AQ731" s="36"/>
      <c r="AR731" s="36"/>
      <c r="AS731" s="36"/>
      <c r="AT731" s="36"/>
      <c r="AU731" s="36"/>
      <c r="AV731" s="36"/>
      <c r="AW731" s="36"/>
      <c r="AX731" s="36"/>
      <c r="AY731" s="36"/>
      <c r="AZ731" s="36"/>
      <c r="BA731" s="36"/>
      <c r="BB731" s="36"/>
      <c r="BC731" s="36"/>
      <c r="BD731" s="36"/>
      <c r="BE731" s="36"/>
      <c r="BF731" s="36"/>
      <c r="BG731" s="36"/>
      <c r="BH731" s="36"/>
      <c r="BI731" s="36"/>
      <c r="BJ731" s="36"/>
      <c r="BK731" s="36"/>
      <c r="BL731" s="36"/>
      <c r="BM731" s="36"/>
      <c r="BN731" s="36"/>
      <c r="BO731" s="36"/>
      <c r="BP731" s="36"/>
      <c r="BQ731" s="36"/>
    </row>
    <row r="73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51"/>
      <c r="S732" s="51"/>
      <c r="T732" s="51"/>
      <c r="U732" s="51"/>
      <c r="V732" s="51"/>
      <c r="W732" s="51"/>
      <c r="X732" s="51"/>
      <c r="Y732" s="45"/>
      <c r="Z732" s="45"/>
      <c r="AA732" s="45"/>
      <c r="AB732" s="45"/>
      <c r="AC732" s="45"/>
      <c r="AD732" s="45"/>
      <c r="AE732" s="45"/>
      <c r="AF732" s="45"/>
      <c r="AG732" s="45"/>
      <c r="AH732" s="45"/>
      <c r="AI732" s="45"/>
      <c r="AJ732" s="45"/>
      <c r="AK732" s="45"/>
      <c r="AL732" s="45"/>
      <c r="AM732" s="45"/>
      <c r="AN732" s="45"/>
      <c r="AO732" s="45"/>
      <c r="AP732" s="45"/>
      <c r="AQ732" s="36"/>
      <c r="AR732" s="36"/>
      <c r="AS732" s="36"/>
      <c r="AT732" s="36"/>
      <c r="AU732" s="36"/>
      <c r="AV732" s="36"/>
      <c r="AW732" s="36"/>
      <c r="AX732" s="36"/>
      <c r="AY732" s="36"/>
      <c r="AZ732" s="36"/>
      <c r="BA732" s="36"/>
      <c r="BB732" s="36"/>
      <c r="BC732" s="36"/>
      <c r="BD732" s="36"/>
      <c r="BE732" s="36"/>
      <c r="BF732" s="36"/>
      <c r="BG732" s="36"/>
      <c r="BH732" s="36"/>
      <c r="BI732" s="36"/>
      <c r="BJ732" s="36"/>
      <c r="BK732" s="36"/>
      <c r="BL732" s="36"/>
      <c r="BM732" s="36"/>
      <c r="BN732" s="36"/>
      <c r="BO732" s="36"/>
      <c r="BP732" s="36"/>
      <c r="BQ732" s="36"/>
    </row>
    <row r="733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51"/>
      <c r="S733" s="51"/>
      <c r="T733" s="51"/>
      <c r="U733" s="51"/>
      <c r="V733" s="51"/>
      <c r="W733" s="51"/>
      <c r="X733" s="51"/>
      <c r="Y733" s="45"/>
      <c r="Z733" s="45"/>
      <c r="AA733" s="45"/>
      <c r="AB733" s="45"/>
      <c r="AC733" s="45"/>
      <c r="AD733" s="45"/>
      <c r="AE733" s="45"/>
      <c r="AF733" s="45"/>
      <c r="AG733" s="45"/>
      <c r="AH733" s="45"/>
      <c r="AI733" s="45"/>
      <c r="AJ733" s="45"/>
      <c r="AK733" s="45"/>
      <c r="AL733" s="45"/>
      <c r="AM733" s="45"/>
      <c r="AN733" s="45"/>
      <c r="AO733" s="45"/>
      <c r="AP733" s="45"/>
      <c r="AQ733" s="36"/>
      <c r="AR733" s="36"/>
      <c r="AS733" s="36"/>
      <c r="AT733" s="36"/>
      <c r="AU733" s="36"/>
      <c r="AV733" s="36"/>
      <c r="AW733" s="36"/>
      <c r="AX733" s="36"/>
      <c r="AY733" s="36"/>
      <c r="AZ733" s="36"/>
      <c r="BA733" s="36"/>
      <c r="BB733" s="36"/>
      <c r="BC733" s="36"/>
      <c r="BD733" s="36"/>
      <c r="BE733" s="36"/>
      <c r="BF733" s="36"/>
      <c r="BG733" s="36"/>
      <c r="BH733" s="36"/>
      <c r="BI733" s="36"/>
      <c r="BJ733" s="36"/>
      <c r="BK733" s="36"/>
      <c r="BL733" s="36"/>
      <c r="BM733" s="36"/>
      <c r="BN733" s="36"/>
      <c r="BO733" s="36"/>
      <c r="BP733" s="36"/>
      <c r="BQ733" s="36"/>
    </row>
    <row r="734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51"/>
      <c r="S734" s="51"/>
      <c r="T734" s="51"/>
      <c r="U734" s="51"/>
      <c r="V734" s="51"/>
      <c r="W734" s="51"/>
      <c r="X734" s="51"/>
      <c r="Y734" s="45"/>
      <c r="Z734" s="45"/>
      <c r="AA734" s="45"/>
      <c r="AB734" s="45"/>
      <c r="AC734" s="45"/>
      <c r="AD734" s="45"/>
      <c r="AE734" s="45"/>
      <c r="AF734" s="45"/>
      <c r="AG734" s="45"/>
      <c r="AH734" s="45"/>
      <c r="AI734" s="45"/>
      <c r="AJ734" s="45"/>
      <c r="AK734" s="45"/>
      <c r="AL734" s="45"/>
      <c r="AM734" s="45"/>
      <c r="AN734" s="45"/>
      <c r="AO734" s="45"/>
      <c r="AP734" s="45"/>
      <c r="AQ734" s="36"/>
      <c r="AR734" s="36"/>
      <c r="AS734" s="36"/>
      <c r="AT734" s="36"/>
      <c r="AU734" s="36"/>
      <c r="AV734" s="36"/>
      <c r="AW734" s="36"/>
      <c r="AX734" s="36"/>
      <c r="AY734" s="36"/>
      <c r="AZ734" s="36"/>
      <c r="BA734" s="36"/>
      <c r="BB734" s="36"/>
      <c r="BC734" s="36"/>
      <c r="BD734" s="36"/>
      <c r="BE734" s="36"/>
      <c r="BF734" s="36"/>
      <c r="BG734" s="36"/>
      <c r="BH734" s="36"/>
      <c r="BI734" s="36"/>
      <c r="BJ734" s="36"/>
      <c r="BK734" s="36"/>
      <c r="BL734" s="36"/>
      <c r="BM734" s="36"/>
      <c r="BN734" s="36"/>
      <c r="BO734" s="36"/>
      <c r="BP734" s="36"/>
      <c r="BQ734" s="36"/>
    </row>
    <row r="7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51"/>
      <c r="S735" s="51"/>
      <c r="T735" s="51"/>
      <c r="U735" s="51"/>
      <c r="V735" s="51"/>
      <c r="W735" s="51"/>
      <c r="X735" s="51"/>
      <c r="Y735" s="45"/>
      <c r="Z735" s="45"/>
      <c r="AA735" s="45"/>
      <c r="AB735" s="45"/>
      <c r="AC735" s="45"/>
      <c r="AD735" s="45"/>
      <c r="AE735" s="45"/>
      <c r="AF735" s="45"/>
      <c r="AG735" s="45"/>
      <c r="AH735" s="45"/>
      <c r="AI735" s="45"/>
      <c r="AJ735" s="45"/>
      <c r="AK735" s="45"/>
      <c r="AL735" s="45"/>
      <c r="AM735" s="45"/>
      <c r="AN735" s="45"/>
      <c r="AO735" s="45"/>
      <c r="AP735" s="45"/>
      <c r="AQ735" s="36"/>
      <c r="AR735" s="36"/>
      <c r="AS735" s="36"/>
      <c r="AT735" s="36"/>
      <c r="AU735" s="36"/>
      <c r="AV735" s="36"/>
      <c r="AW735" s="36"/>
      <c r="AX735" s="36"/>
      <c r="AY735" s="36"/>
      <c r="AZ735" s="36"/>
      <c r="BA735" s="36"/>
      <c r="BB735" s="36"/>
      <c r="BC735" s="36"/>
      <c r="BD735" s="36"/>
      <c r="BE735" s="36"/>
      <c r="BF735" s="36"/>
      <c r="BG735" s="36"/>
      <c r="BH735" s="36"/>
      <c r="BI735" s="36"/>
      <c r="BJ735" s="36"/>
      <c r="BK735" s="36"/>
      <c r="BL735" s="36"/>
      <c r="BM735" s="36"/>
      <c r="BN735" s="36"/>
      <c r="BO735" s="36"/>
      <c r="BP735" s="36"/>
      <c r="BQ735" s="36"/>
    </row>
    <row r="736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51"/>
      <c r="S736" s="51"/>
      <c r="T736" s="51"/>
      <c r="U736" s="51"/>
      <c r="V736" s="51"/>
      <c r="W736" s="51"/>
      <c r="X736" s="51"/>
      <c r="Y736" s="45"/>
      <c r="Z736" s="45"/>
      <c r="AA736" s="45"/>
      <c r="AB736" s="45"/>
      <c r="AC736" s="45"/>
      <c r="AD736" s="45"/>
      <c r="AE736" s="45"/>
      <c r="AF736" s="45"/>
      <c r="AG736" s="45"/>
      <c r="AH736" s="45"/>
      <c r="AI736" s="45"/>
      <c r="AJ736" s="45"/>
      <c r="AK736" s="45"/>
      <c r="AL736" s="45"/>
      <c r="AM736" s="45"/>
      <c r="AN736" s="45"/>
      <c r="AO736" s="45"/>
      <c r="AP736" s="45"/>
      <c r="AQ736" s="36"/>
      <c r="AR736" s="36"/>
      <c r="AS736" s="36"/>
      <c r="AT736" s="36"/>
      <c r="AU736" s="36"/>
      <c r="AV736" s="36"/>
      <c r="AW736" s="36"/>
      <c r="AX736" s="36"/>
      <c r="AY736" s="36"/>
      <c r="AZ736" s="36"/>
      <c r="BA736" s="36"/>
      <c r="BB736" s="36"/>
      <c r="BC736" s="36"/>
      <c r="BD736" s="36"/>
      <c r="BE736" s="36"/>
      <c r="BF736" s="36"/>
      <c r="BG736" s="36"/>
      <c r="BH736" s="36"/>
      <c r="BI736" s="36"/>
      <c r="BJ736" s="36"/>
      <c r="BK736" s="36"/>
      <c r="BL736" s="36"/>
      <c r="BM736" s="36"/>
      <c r="BN736" s="36"/>
      <c r="BO736" s="36"/>
      <c r="BP736" s="36"/>
      <c r="BQ736" s="36"/>
    </row>
    <row r="737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51"/>
      <c r="S737" s="51"/>
      <c r="T737" s="51"/>
      <c r="U737" s="51"/>
      <c r="V737" s="51"/>
      <c r="W737" s="51"/>
      <c r="X737" s="51"/>
      <c r="Y737" s="45"/>
      <c r="Z737" s="45"/>
      <c r="AA737" s="45"/>
      <c r="AB737" s="45"/>
      <c r="AC737" s="45"/>
      <c r="AD737" s="45"/>
      <c r="AE737" s="45"/>
      <c r="AF737" s="45"/>
      <c r="AG737" s="45"/>
      <c r="AH737" s="45"/>
      <c r="AI737" s="45"/>
      <c r="AJ737" s="45"/>
      <c r="AK737" s="45"/>
      <c r="AL737" s="45"/>
      <c r="AM737" s="45"/>
      <c r="AN737" s="45"/>
      <c r="AO737" s="45"/>
      <c r="AP737" s="45"/>
      <c r="AQ737" s="36"/>
      <c r="AR737" s="36"/>
      <c r="AS737" s="36"/>
      <c r="AT737" s="36"/>
      <c r="AU737" s="36"/>
      <c r="AV737" s="36"/>
      <c r="AW737" s="36"/>
      <c r="AX737" s="36"/>
      <c r="AY737" s="36"/>
      <c r="AZ737" s="36"/>
      <c r="BA737" s="36"/>
      <c r="BB737" s="36"/>
      <c r="BC737" s="36"/>
      <c r="BD737" s="36"/>
      <c r="BE737" s="36"/>
      <c r="BF737" s="36"/>
      <c r="BG737" s="36"/>
      <c r="BH737" s="36"/>
      <c r="BI737" s="36"/>
      <c r="BJ737" s="36"/>
      <c r="BK737" s="36"/>
      <c r="BL737" s="36"/>
      <c r="BM737" s="36"/>
      <c r="BN737" s="36"/>
      <c r="BO737" s="36"/>
      <c r="BP737" s="36"/>
      <c r="BQ737" s="36"/>
    </row>
    <row r="738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51"/>
      <c r="S738" s="51"/>
      <c r="T738" s="51"/>
      <c r="U738" s="51"/>
      <c r="V738" s="51"/>
      <c r="W738" s="51"/>
      <c r="X738" s="51"/>
      <c r="Y738" s="45"/>
      <c r="Z738" s="45"/>
      <c r="AA738" s="45"/>
      <c r="AB738" s="45"/>
      <c r="AC738" s="45"/>
      <c r="AD738" s="45"/>
      <c r="AE738" s="45"/>
      <c r="AF738" s="45"/>
      <c r="AG738" s="45"/>
      <c r="AH738" s="45"/>
      <c r="AI738" s="45"/>
      <c r="AJ738" s="45"/>
      <c r="AK738" s="45"/>
      <c r="AL738" s="45"/>
      <c r="AM738" s="45"/>
      <c r="AN738" s="45"/>
      <c r="AO738" s="45"/>
      <c r="AP738" s="45"/>
      <c r="AQ738" s="36"/>
      <c r="AR738" s="36"/>
      <c r="AS738" s="36"/>
      <c r="AT738" s="36"/>
      <c r="AU738" s="36"/>
      <c r="AV738" s="36"/>
      <c r="AW738" s="36"/>
      <c r="AX738" s="36"/>
      <c r="AY738" s="36"/>
      <c r="AZ738" s="36"/>
      <c r="BA738" s="36"/>
      <c r="BB738" s="36"/>
      <c r="BC738" s="36"/>
      <c r="BD738" s="36"/>
      <c r="BE738" s="36"/>
      <c r="BF738" s="36"/>
      <c r="BG738" s="36"/>
      <c r="BH738" s="36"/>
      <c r="BI738" s="36"/>
      <c r="BJ738" s="36"/>
      <c r="BK738" s="36"/>
      <c r="BL738" s="36"/>
      <c r="BM738" s="36"/>
      <c r="BN738" s="36"/>
      <c r="BO738" s="36"/>
      <c r="BP738" s="36"/>
      <c r="BQ738" s="36"/>
    </row>
    <row r="739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51"/>
      <c r="S739" s="51"/>
      <c r="T739" s="51"/>
      <c r="U739" s="51"/>
      <c r="V739" s="51"/>
      <c r="W739" s="51"/>
      <c r="X739" s="51"/>
      <c r="Y739" s="45"/>
      <c r="Z739" s="45"/>
      <c r="AA739" s="45"/>
      <c r="AB739" s="45"/>
      <c r="AC739" s="45"/>
      <c r="AD739" s="45"/>
      <c r="AE739" s="45"/>
      <c r="AF739" s="45"/>
      <c r="AG739" s="45"/>
      <c r="AH739" s="45"/>
      <c r="AI739" s="45"/>
      <c r="AJ739" s="45"/>
      <c r="AK739" s="45"/>
      <c r="AL739" s="45"/>
      <c r="AM739" s="45"/>
      <c r="AN739" s="45"/>
      <c r="AO739" s="45"/>
      <c r="AP739" s="45"/>
      <c r="AQ739" s="36"/>
      <c r="AR739" s="36"/>
      <c r="AS739" s="36"/>
      <c r="AT739" s="36"/>
      <c r="AU739" s="36"/>
      <c r="AV739" s="36"/>
      <c r="AW739" s="36"/>
      <c r="AX739" s="36"/>
      <c r="AY739" s="36"/>
      <c r="AZ739" s="36"/>
      <c r="BA739" s="36"/>
      <c r="BB739" s="36"/>
      <c r="BC739" s="36"/>
      <c r="BD739" s="36"/>
      <c r="BE739" s="36"/>
      <c r="BF739" s="36"/>
      <c r="BG739" s="36"/>
      <c r="BH739" s="36"/>
      <c r="BI739" s="36"/>
      <c r="BJ739" s="36"/>
      <c r="BK739" s="36"/>
      <c r="BL739" s="36"/>
      <c r="BM739" s="36"/>
      <c r="BN739" s="36"/>
      <c r="BO739" s="36"/>
      <c r="BP739" s="36"/>
      <c r="BQ739" s="36"/>
    </row>
    <row r="740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51"/>
      <c r="S740" s="51"/>
      <c r="T740" s="51"/>
      <c r="U740" s="51"/>
      <c r="V740" s="51"/>
      <c r="W740" s="51"/>
      <c r="X740" s="51"/>
      <c r="Y740" s="45"/>
      <c r="Z740" s="45"/>
      <c r="AA740" s="45"/>
      <c r="AB740" s="45"/>
      <c r="AC740" s="45"/>
      <c r="AD740" s="45"/>
      <c r="AE740" s="45"/>
      <c r="AF740" s="45"/>
      <c r="AG740" s="45"/>
      <c r="AH740" s="45"/>
      <c r="AI740" s="45"/>
      <c r="AJ740" s="45"/>
      <c r="AK740" s="45"/>
      <c r="AL740" s="45"/>
      <c r="AM740" s="45"/>
      <c r="AN740" s="45"/>
      <c r="AO740" s="45"/>
      <c r="AP740" s="45"/>
      <c r="AQ740" s="36"/>
      <c r="AR740" s="36"/>
      <c r="AS740" s="36"/>
      <c r="AT740" s="36"/>
      <c r="AU740" s="36"/>
      <c r="AV740" s="36"/>
      <c r="AW740" s="36"/>
      <c r="AX740" s="36"/>
      <c r="AY740" s="36"/>
      <c r="AZ740" s="36"/>
      <c r="BA740" s="36"/>
      <c r="BB740" s="36"/>
      <c r="BC740" s="36"/>
      <c r="BD740" s="36"/>
      <c r="BE740" s="36"/>
      <c r="BF740" s="36"/>
      <c r="BG740" s="36"/>
      <c r="BH740" s="36"/>
      <c r="BI740" s="36"/>
      <c r="BJ740" s="36"/>
      <c r="BK740" s="36"/>
      <c r="BL740" s="36"/>
      <c r="BM740" s="36"/>
      <c r="BN740" s="36"/>
      <c r="BO740" s="36"/>
      <c r="BP740" s="36"/>
      <c r="BQ740" s="36"/>
    </row>
    <row r="74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51"/>
      <c r="S741" s="51"/>
      <c r="T741" s="51"/>
      <c r="U741" s="51"/>
      <c r="V741" s="51"/>
      <c r="W741" s="51"/>
      <c r="X741" s="51"/>
      <c r="Y741" s="45"/>
      <c r="Z741" s="45"/>
      <c r="AA741" s="45"/>
      <c r="AB741" s="45"/>
      <c r="AC741" s="45"/>
      <c r="AD741" s="45"/>
      <c r="AE741" s="45"/>
      <c r="AF741" s="45"/>
      <c r="AG741" s="45"/>
      <c r="AH741" s="45"/>
      <c r="AI741" s="45"/>
      <c r="AJ741" s="45"/>
      <c r="AK741" s="45"/>
      <c r="AL741" s="45"/>
      <c r="AM741" s="45"/>
      <c r="AN741" s="45"/>
      <c r="AO741" s="45"/>
      <c r="AP741" s="45"/>
      <c r="AQ741" s="36"/>
      <c r="AR741" s="36"/>
      <c r="AS741" s="36"/>
      <c r="AT741" s="36"/>
      <c r="AU741" s="36"/>
      <c r="AV741" s="36"/>
      <c r="AW741" s="36"/>
      <c r="AX741" s="36"/>
      <c r="AY741" s="36"/>
      <c r="AZ741" s="36"/>
      <c r="BA741" s="36"/>
      <c r="BB741" s="36"/>
      <c r="BC741" s="36"/>
      <c r="BD741" s="36"/>
      <c r="BE741" s="36"/>
      <c r="BF741" s="36"/>
      <c r="BG741" s="36"/>
      <c r="BH741" s="36"/>
      <c r="BI741" s="36"/>
      <c r="BJ741" s="36"/>
      <c r="BK741" s="36"/>
      <c r="BL741" s="36"/>
      <c r="BM741" s="36"/>
      <c r="BN741" s="36"/>
      <c r="BO741" s="36"/>
      <c r="BP741" s="36"/>
      <c r="BQ741" s="36"/>
    </row>
    <row r="742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51"/>
      <c r="S742" s="51"/>
      <c r="T742" s="51"/>
      <c r="U742" s="51"/>
      <c r="V742" s="51"/>
      <c r="W742" s="51"/>
      <c r="X742" s="51"/>
      <c r="Y742" s="45"/>
      <c r="Z742" s="45"/>
      <c r="AA742" s="45"/>
      <c r="AB742" s="45"/>
      <c r="AC742" s="45"/>
      <c r="AD742" s="45"/>
      <c r="AE742" s="45"/>
      <c r="AF742" s="45"/>
      <c r="AG742" s="45"/>
      <c r="AH742" s="45"/>
      <c r="AI742" s="45"/>
      <c r="AJ742" s="45"/>
      <c r="AK742" s="45"/>
      <c r="AL742" s="45"/>
      <c r="AM742" s="45"/>
      <c r="AN742" s="45"/>
      <c r="AO742" s="45"/>
      <c r="AP742" s="45"/>
      <c r="AQ742" s="36"/>
      <c r="AR742" s="36"/>
      <c r="AS742" s="36"/>
      <c r="AT742" s="36"/>
      <c r="AU742" s="36"/>
      <c r="AV742" s="36"/>
      <c r="AW742" s="36"/>
      <c r="AX742" s="36"/>
      <c r="AY742" s="36"/>
      <c r="AZ742" s="36"/>
      <c r="BA742" s="36"/>
      <c r="BB742" s="36"/>
      <c r="BC742" s="36"/>
      <c r="BD742" s="36"/>
      <c r="BE742" s="36"/>
      <c r="BF742" s="36"/>
      <c r="BG742" s="36"/>
      <c r="BH742" s="36"/>
      <c r="BI742" s="36"/>
      <c r="BJ742" s="36"/>
      <c r="BK742" s="36"/>
      <c r="BL742" s="36"/>
      <c r="BM742" s="36"/>
      <c r="BN742" s="36"/>
      <c r="BO742" s="36"/>
      <c r="BP742" s="36"/>
      <c r="BQ742" s="36"/>
    </row>
    <row r="743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51"/>
      <c r="S743" s="51"/>
      <c r="T743" s="51"/>
      <c r="U743" s="51"/>
      <c r="V743" s="51"/>
      <c r="W743" s="51"/>
      <c r="X743" s="51"/>
      <c r="Y743" s="45"/>
      <c r="Z743" s="45"/>
      <c r="AA743" s="45"/>
      <c r="AB743" s="45"/>
      <c r="AC743" s="45"/>
      <c r="AD743" s="45"/>
      <c r="AE743" s="45"/>
      <c r="AF743" s="45"/>
      <c r="AG743" s="45"/>
      <c r="AH743" s="45"/>
      <c r="AI743" s="45"/>
      <c r="AJ743" s="45"/>
      <c r="AK743" s="45"/>
      <c r="AL743" s="45"/>
      <c r="AM743" s="45"/>
      <c r="AN743" s="45"/>
      <c r="AO743" s="45"/>
      <c r="AP743" s="45"/>
      <c r="AQ743" s="36"/>
      <c r="AR743" s="36"/>
      <c r="AS743" s="36"/>
      <c r="AT743" s="36"/>
      <c r="AU743" s="36"/>
      <c r="AV743" s="36"/>
      <c r="AW743" s="36"/>
      <c r="AX743" s="36"/>
      <c r="AY743" s="36"/>
      <c r="AZ743" s="36"/>
      <c r="BA743" s="36"/>
      <c r="BB743" s="36"/>
      <c r="BC743" s="36"/>
      <c r="BD743" s="36"/>
      <c r="BE743" s="36"/>
      <c r="BF743" s="36"/>
      <c r="BG743" s="36"/>
      <c r="BH743" s="36"/>
      <c r="BI743" s="36"/>
      <c r="BJ743" s="36"/>
      <c r="BK743" s="36"/>
      <c r="BL743" s="36"/>
      <c r="BM743" s="36"/>
      <c r="BN743" s="36"/>
      <c r="BO743" s="36"/>
      <c r="BP743" s="36"/>
      <c r="BQ743" s="36"/>
    </row>
    <row r="744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51"/>
      <c r="S744" s="51"/>
      <c r="T744" s="51"/>
      <c r="U744" s="51"/>
      <c r="V744" s="51"/>
      <c r="W744" s="51"/>
      <c r="X744" s="51"/>
      <c r="Y744" s="45"/>
      <c r="Z744" s="45"/>
      <c r="AA744" s="45"/>
      <c r="AB744" s="45"/>
      <c r="AC744" s="45"/>
      <c r="AD744" s="45"/>
      <c r="AE744" s="45"/>
      <c r="AF744" s="45"/>
      <c r="AG744" s="45"/>
      <c r="AH744" s="45"/>
      <c r="AI744" s="45"/>
      <c r="AJ744" s="45"/>
      <c r="AK744" s="45"/>
      <c r="AL744" s="45"/>
      <c r="AM744" s="45"/>
      <c r="AN744" s="45"/>
      <c r="AO744" s="45"/>
      <c r="AP744" s="45"/>
      <c r="AQ744" s="36"/>
      <c r="AR744" s="36"/>
      <c r="AS744" s="36"/>
      <c r="AT744" s="36"/>
      <c r="AU744" s="36"/>
      <c r="AV744" s="36"/>
      <c r="AW744" s="36"/>
      <c r="AX744" s="36"/>
      <c r="AY744" s="36"/>
      <c r="AZ744" s="36"/>
      <c r="BA744" s="36"/>
      <c r="BB744" s="36"/>
      <c r="BC744" s="36"/>
      <c r="BD744" s="36"/>
      <c r="BE744" s="36"/>
      <c r="BF744" s="36"/>
      <c r="BG744" s="36"/>
      <c r="BH744" s="36"/>
      <c r="BI744" s="36"/>
      <c r="BJ744" s="36"/>
      <c r="BK744" s="36"/>
      <c r="BL744" s="36"/>
      <c r="BM744" s="36"/>
      <c r="BN744" s="36"/>
      <c r="BO744" s="36"/>
      <c r="BP744" s="36"/>
      <c r="BQ744" s="36"/>
    </row>
    <row r="74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51"/>
      <c r="S745" s="51"/>
      <c r="T745" s="51"/>
      <c r="U745" s="51"/>
      <c r="V745" s="51"/>
      <c r="W745" s="51"/>
      <c r="X745" s="51"/>
      <c r="Y745" s="45"/>
      <c r="Z745" s="45"/>
      <c r="AA745" s="45"/>
      <c r="AB745" s="45"/>
      <c r="AC745" s="45"/>
      <c r="AD745" s="45"/>
      <c r="AE745" s="45"/>
      <c r="AF745" s="45"/>
      <c r="AG745" s="45"/>
      <c r="AH745" s="45"/>
      <c r="AI745" s="45"/>
      <c r="AJ745" s="45"/>
      <c r="AK745" s="45"/>
      <c r="AL745" s="45"/>
      <c r="AM745" s="45"/>
      <c r="AN745" s="45"/>
      <c r="AO745" s="45"/>
      <c r="AP745" s="45"/>
      <c r="AQ745" s="36"/>
      <c r="AR745" s="36"/>
      <c r="AS745" s="36"/>
      <c r="AT745" s="36"/>
      <c r="AU745" s="36"/>
      <c r="AV745" s="36"/>
      <c r="AW745" s="36"/>
      <c r="AX745" s="36"/>
      <c r="AY745" s="36"/>
      <c r="AZ745" s="36"/>
      <c r="BA745" s="36"/>
      <c r="BB745" s="36"/>
      <c r="BC745" s="36"/>
      <c r="BD745" s="36"/>
      <c r="BE745" s="36"/>
      <c r="BF745" s="36"/>
      <c r="BG745" s="36"/>
      <c r="BH745" s="36"/>
      <c r="BI745" s="36"/>
      <c r="BJ745" s="36"/>
      <c r="BK745" s="36"/>
      <c r="BL745" s="36"/>
      <c r="BM745" s="36"/>
      <c r="BN745" s="36"/>
      <c r="BO745" s="36"/>
      <c r="BP745" s="36"/>
      <c r="BQ745" s="36"/>
    </row>
    <row r="746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51"/>
      <c r="S746" s="51"/>
      <c r="T746" s="51"/>
      <c r="U746" s="51"/>
      <c r="V746" s="51"/>
      <c r="W746" s="51"/>
      <c r="X746" s="51"/>
      <c r="Y746" s="45"/>
      <c r="Z746" s="45"/>
      <c r="AA746" s="45"/>
      <c r="AB746" s="45"/>
      <c r="AC746" s="45"/>
      <c r="AD746" s="45"/>
      <c r="AE746" s="45"/>
      <c r="AF746" s="45"/>
      <c r="AG746" s="45"/>
      <c r="AH746" s="45"/>
      <c r="AI746" s="45"/>
      <c r="AJ746" s="45"/>
      <c r="AK746" s="45"/>
      <c r="AL746" s="45"/>
      <c r="AM746" s="45"/>
      <c r="AN746" s="45"/>
      <c r="AO746" s="45"/>
      <c r="AP746" s="45"/>
      <c r="AQ746" s="36"/>
      <c r="AR746" s="36"/>
      <c r="AS746" s="36"/>
      <c r="AT746" s="36"/>
      <c r="AU746" s="36"/>
      <c r="AV746" s="36"/>
      <c r="AW746" s="36"/>
      <c r="AX746" s="36"/>
      <c r="AY746" s="36"/>
      <c r="AZ746" s="36"/>
      <c r="BA746" s="36"/>
      <c r="BB746" s="36"/>
      <c r="BC746" s="36"/>
      <c r="BD746" s="36"/>
      <c r="BE746" s="36"/>
      <c r="BF746" s="36"/>
      <c r="BG746" s="36"/>
      <c r="BH746" s="36"/>
      <c r="BI746" s="36"/>
      <c r="BJ746" s="36"/>
      <c r="BK746" s="36"/>
      <c r="BL746" s="36"/>
      <c r="BM746" s="36"/>
      <c r="BN746" s="36"/>
      <c r="BO746" s="36"/>
      <c r="BP746" s="36"/>
      <c r="BQ746" s="36"/>
    </row>
    <row r="747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51"/>
      <c r="S747" s="51"/>
      <c r="T747" s="51"/>
      <c r="U747" s="51"/>
      <c r="V747" s="51"/>
      <c r="W747" s="51"/>
      <c r="X747" s="51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5"/>
      <c r="AM747" s="45"/>
      <c r="AN747" s="45"/>
      <c r="AO747" s="45"/>
      <c r="AP747" s="45"/>
      <c r="AQ747" s="36"/>
      <c r="AR747" s="36"/>
      <c r="AS747" s="36"/>
      <c r="AT747" s="36"/>
      <c r="AU747" s="36"/>
      <c r="AV747" s="36"/>
      <c r="AW747" s="36"/>
      <c r="AX747" s="36"/>
      <c r="AY747" s="36"/>
      <c r="AZ747" s="36"/>
      <c r="BA747" s="36"/>
      <c r="BB747" s="36"/>
      <c r="BC747" s="36"/>
      <c r="BD747" s="36"/>
      <c r="BE747" s="36"/>
      <c r="BF747" s="36"/>
      <c r="BG747" s="36"/>
      <c r="BH747" s="36"/>
      <c r="BI747" s="36"/>
      <c r="BJ747" s="36"/>
      <c r="BK747" s="36"/>
      <c r="BL747" s="36"/>
      <c r="BM747" s="36"/>
      <c r="BN747" s="36"/>
      <c r="BO747" s="36"/>
      <c r="BP747" s="36"/>
      <c r="BQ747" s="36"/>
    </row>
    <row r="748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51"/>
      <c r="S748" s="51"/>
      <c r="T748" s="51"/>
      <c r="U748" s="51"/>
      <c r="V748" s="51"/>
      <c r="W748" s="51"/>
      <c r="X748" s="51"/>
      <c r="Y748" s="45"/>
      <c r="Z748" s="45"/>
      <c r="AA748" s="45"/>
      <c r="AB748" s="45"/>
      <c r="AC748" s="45"/>
      <c r="AD748" s="45"/>
      <c r="AE748" s="45"/>
      <c r="AF748" s="45"/>
      <c r="AG748" s="45"/>
      <c r="AH748" s="45"/>
      <c r="AI748" s="45"/>
      <c r="AJ748" s="45"/>
      <c r="AK748" s="45"/>
      <c r="AL748" s="45"/>
      <c r="AM748" s="45"/>
      <c r="AN748" s="45"/>
      <c r="AO748" s="45"/>
      <c r="AP748" s="45"/>
      <c r="AQ748" s="36"/>
      <c r="AR748" s="36"/>
      <c r="AS748" s="36"/>
      <c r="AT748" s="36"/>
      <c r="AU748" s="36"/>
      <c r="AV748" s="36"/>
      <c r="AW748" s="36"/>
      <c r="AX748" s="36"/>
      <c r="AY748" s="36"/>
      <c r="AZ748" s="36"/>
      <c r="BA748" s="36"/>
      <c r="BB748" s="36"/>
      <c r="BC748" s="36"/>
      <c r="BD748" s="36"/>
      <c r="BE748" s="36"/>
      <c r="BF748" s="36"/>
      <c r="BG748" s="36"/>
      <c r="BH748" s="36"/>
      <c r="BI748" s="36"/>
      <c r="BJ748" s="36"/>
      <c r="BK748" s="36"/>
      <c r="BL748" s="36"/>
      <c r="BM748" s="36"/>
      <c r="BN748" s="36"/>
      <c r="BO748" s="36"/>
      <c r="BP748" s="36"/>
      <c r="BQ748" s="36"/>
    </row>
    <row r="749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51"/>
      <c r="S749" s="51"/>
      <c r="T749" s="51"/>
      <c r="U749" s="51"/>
      <c r="V749" s="51"/>
      <c r="W749" s="51"/>
      <c r="X749" s="51"/>
      <c r="Y749" s="45"/>
      <c r="Z749" s="45"/>
      <c r="AA749" s="45"/>
      <c r="AB749" s="45"/>
      <c r="AC749" s="45"/>
      <c r="AD749" s="45"/>
      <c r="AE749" s="45"/>
      <c r="AF749" s="45"/>
      <c r="AG749" s="45"/>
      <c r="AH749" s="45"/>
      <c r="AI749" s="45"/>
      <c r="AJ749" s="45"/>
      <c r="AK749" s="45"/>
      <c r="AL749" s="45"/>
      <c r="AM749" s="45"/>
      <c r="AN749" s="45"/>
      <c r="AO749" s="45"/>
      <c r="AP749" s="45"/>
      <c r="AQ749" s="36"/>
      <c r="AR749" s="36"/>
      <c r="AS749" s="36"/>
      <c r="AT749" s="36"/>
      <c r="AU749" s="36"/>
      <c r="AV749" s="36"/>
      <c r="AW749" s="36"/>
      <c r="AX749" s="36"/>
      <c r="AY749" s="36"/>
      <c r="AZ749" s="36"/>
      <c r="BA749" s="36"/>
      <c r="BB749" s="36"/>
      <c r="BC749" s="36"/>
      <c r="BD749" s="36"/>
      <c r="BE749" s="36"/>
      <c r="BF749" s="36"/>
      <c r="BG749" s="36"/>
      <c r="BH749" s="36"/>
      <c r="BI749" s="36"/>
      <c r="BJ749" s="36"/>
      <c r="BK749" s="36"/>
      <c r="BL749" s="36"/>
      <c r="BM749" s="36"/>
      <c r="BN749" s="36"/>
      <c r="BO749" s="36"/>
      <c r="BP749" s="36"/>
      <c r="BQ749" s="36"/>
    </row>
    <row r="750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51"/>
      <c r="S750" s="51"/>
      <c r="T750" s="51"/>
      <c r="U750" s="51"/>
      <c r="V750" s="51"/>
      <c r="W750" s="51"/>
      <c r="X750" s="51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5"/>
      <c r="AM750" s="45"/>
      <c r="AN750" s="45"/>
      <c r="AO750" s="45"/>
      <c r="AP750" s="45"/>
      <c r="AQ750" s="36"/>
      <c r="AR750" s="36"/>
      <c r="AS750" s="36"/>
      <c r="AT750" s="36"/>
      <c r="AU750" s="36"/>
      <c r="AV750" s="36"/>
      <c r="AW750" s="36"/>
      <c r="AX750" s="36"/>
      <c r="AY750" s="36"/>
      <c r="AZ750" s="36"/>
      <c r="BA750" s="36"/>
      <c r="BB750" s="36"/>
      <c r="BC750" s="36"/>
      <c r="BD750" s="36"/>
      <c r="BE750" s="36"/>
      <c r="BF750" s="36"/>
      <c r="BG750" s="36"/>
      <c r="BH750" s="36"/>
      <c r="BI750" s="36"/>
      <c r="BJ750" s="36"/>
      <c r="BK750" s="36"/>
      <c r="BL750" s="36"/>
      <c r="BM750" s="36"/>
      <c r="BN750" s="36"/>
      <c r="BO750" s="36"/>
      <c r="BP750" s="36"/>
      <c r="BQ750" s="36"/>
    </row>
    <row r="75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51"/>
      <c r="S751" s="51"/>
      <c r="T751" s="51"/>
      <c r="U751" s="51"/>
      <c r="V751" s="51"/>
      <c r="W751" s="51"/>
      <c r="X751" s="51"/>
      <c r="Y751" s="45"/>
      <c r="Z751" s="45"/>
      <c r="AA751" s="45"/>
      <c r="AB751" s="45"/>
      <c r="AC751" s="45"/>
      <c r="AD751" s="45"/>
      <c r="AE751" s="45"/>
      <c r="AF751" s="45"/>
      <c r="AG751" s="45"/>
      <c r="AH751" s="45"/>
      <c r="AI751" s="45"/>
      <c r="AJ751" s="45"/>
      <c r="AK751" s="45"/>
      <c r="AL751" s="45"/>
      <c r="AM751" s="45"/>
      <c r="AN751" s="45"/>
      <c r="AO751" s="45"/>
      <c r="AP751" s="45"/>
      <c r="AQ751" s="36"/>
      <c r="AR751" s="36"/>
      <c r="AS751" s="36"/>
      <c r="AT751" s="36"/>
      <c r="AU751" s="36"/>
      <c r="AV751" s="36"/>
      <c r="AW751" s="36"/>
      <c r="AX751" s="36"/>
      <c r="AY751" s="36"/>
      <c r="AZ751" s="36"/>
      <c r="BA751" s="36"/>
      <c r="BB751" s="36"/>
      <c r="BC751" s="36"/>
      <c r="BD751" s="36"/>
      <c r="BE751" s="36"/>
      <c r="BF751" s="36"/>
      <c r="BG751" s="36"/>
      <c r="BH751" s="36"/>
      <c r="BI751" s="36"/>
      <c r="BJ751" s="36"/>
      <c r="BK751" s="36"/>
      <c r="BL751" s="36"/>
      <c r="BM751" s="36"/>
      <c r="BN751" s="36"/>
      <c r="BO751" s="36"/>
      <c r="BP751" s="36"/>
      <c r="BQ751" s="36"/>
    </row>
    <row r="75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51"/>
      <c r="S752" s="51"/>
      <c r="T752" s="51"/>
      <c r="U752" s="51"/>
      <c r="V752" s="51"/>
      <c r="W752" s="51"/>
      <c r="X752" s="51"/>
      <c r="Y752" s="45"/>
      <c r="Z752" s="45"/>
      <c r="AA752" s="45"/>
      <c r="AB752" s="45"/>
      <c r="AC752" s="45"/>
      <c r="AD752" s="45"/>
      <c r="AE752" s="45"/>
      <c r="AF752" s="45"/>
      <c r="AG752" s="45"/>
      <c r="AH752" s="45"/>
      <c r="AI752" s="45"/>
      <c r="AJ752" s="45"/>
      <c r="AK752" s="45"/>
      <c r="AL752" s="45"/>
      <c r="AM752" s="45"/>
      <c r="AN752" s="45"/>
      <c r="AO752" s="45"/>
      <c r="AP752" s="45"/>
      <c r="AQ752" s="36"/>
      <c r="AR752" s="36"/>
      <c r="AS752" s="36"/>
      <c r="AT752" s="36"/>
      <c r="AU752" s="36"/>
      <c r="AV752" s="36"/>
      <c r="AW752" s="36"/>
      <c r="AX752" s="36"/>
      <c r="AY752" s="36"/>
      <c r="AZ752" s="36"/>
      <c r="BA752" s="36"/>
      <c r="BB752" s="36"/>
      <c r="BC752" s="36"/>
      <c r="BD752" s="36"/>
      <c r="BE752" s="36"/>
      <c r="BF752" s="36"/>
      <c r="BG752" s="36"/>
      <c r="BH752" s="36"/>
      <c r="BI752" s="36"/>
      <c r="BJ752" s="36"/>
      <c r="BK752" s="36"/>
      <c r="BL752" s="36"/>
      <c r="BM752" s="36"/>
      <c r="BN752" s="36"/>
      <c r="BO752" s="36"/>
      <c r="BP752" s="36"/>
      <c r="BQ752" s="36"/>
    </row>
    <row r="753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51"/>
      <c r="S753" s="51"/>
      <c r="T753" s="51"/>
      <c r="U753" s="51"/>
      <c r="V753" s="51"/>
      <c r="W753" s="51"/>
      <c r="X753" s="51"/>
      <c r="Y753" s="45"/>
      <c r="Z753" s="45"/>
      <c r="AA753" s="45"/>
      <c r="AB753" s="45"/>
      <c r="AC753" s="45"/>
      <c r="AD753" s="45"/>
      <c r="AE753" s="45"/>
      <c r="AF753" s="45"/>
      <c r="AG753" s="45"/>
      <c r="AH753" s="45"/>
      <c r="AI753" s="45"/>
      <c r="AJ753" s="45"/>
      <c r="AK753" s="45"/>
      <c r="AL753" s="45"/>
      <c r="AM753" s="45"/>
      <c r="AN753" s="45"/>
      <c r="AO753" s="45"/>
      <c r="AP753" s="45"/>
      <c r="AQ753" s="36"/>
      <c r="AR753" s="36"/>
      <c r="AS753" s="36"/>
      <c r="AT753" s="36"/>
      <c r="AU753" s="36"/>
      <c r="AV753" s="36"/>
      <c r="AW753" s="36"/>
      <c r="AX753" s="36"/>
      <c r="AY753" s="36"/>
      <c r="AZ753" s="36"/>
      <c r="BA753" s="36"/>
      <c r="BB753" s="36"/>
      <c r="BC753" s="36"/>
      <c r="BD753" s="36"/>
      <c r="BE753" s="36"/>
      <c r="BF753" s="36"/>
      <c r="BG753" s="36"/>
      <c r="BH753" s="36"/>
      <c r="BI753" s="36"/>
      <c r="BJ753" s="36"/>
      <c r="BK753" s="36"/>
      <c r="BL753" s="36"/>
      <c r="BM753" s="36"/>
      <c r="BN753" s="36"/>
      <c r="BO753" s="36"/>
      <c r="BP753" s="36"/>
      <c r="BQ753" s="36"/>
    </row>
    <row r="754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51"/>
      <c r="S754" s="51"/>
      <c r="T754" s="51"/>
      <c r="U754" s="51"/>
      <c r="V754" s="51"/>
      <c r="W754" s="51"/>
      <c r="X754" s="51"/>
      <c r="Y754" s="45"/>
      <c r="Z754" s="45"/>
      <c r="AA754" s="45"/>
      <c r="AB754" s="45"/>
      <c r="AC754" s="45"/>
      <c r="AD754" s="45"/>
      <c r="AE754" s="45"/>
      <c r="AF754" s="45"/>
      <c r="AG754" s="45"/>
      <c r="AH754" s="45"/>
      <c r="AI754" s="45"/>
      <c r="AJ754" s="45"/>
      <c r="AK754" s="45"/>
      <c r="AL754" s="45"/>
      <c r="AM754" s="45"/>
      <c r="AN754" s="45"/>
      <c r="AO754" s="45"/>
      <c r="AP754" s="45"/>
      <c r="AQ754" s="36"/>
      <c r="AR754" s="36"/>
      <c r="AS754" s="36"/>
      <c r="AT754" s="36"/>
      <c r="AU754" s="36"/>
      <c r="AV754" s="36"/>
      <c r="AW754" s="36"/>
      <c r="AX754" s="36"/>
      <c r="AY754" s="36"/>
      <c r="AZ754" s="36"/>
      <c r="BA754" s="36"/>
      <c r="BB754" s="36"/>
      <c r="BC754" s="36"/>
      <c r="BD754" s="36"/>
      <c r="BE754" s="36"/>
      <c r="BF754" s="36"/>
      <c r="BG754" s="36"/>
      <c r="BH754" s="36"/>
      <c r="BI754" s="36"/>
      <c r="BJ754" s="36"/>
      <c r="BK754" s="36"/>
      <c r="BL754" s="36"/>
      <c r="BM754" s="36"/>
      <c r="BN754" s="36"/>
      <c r="BO754" s="36"/>
      <c r="BP754" s="36"/>
      <c r="BQ754" s="36"/>
    </row>
    <row r="75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51"/>
      <c r="S755" s="51"/>
      <c r="T755" s="51"/>
      <c r="U755" s="51"/>
      <c r="V755" s="51"/>
      <c r="W755" s="51"/>
      <c r="X755" s="51"/>
      <c r="Y755" s="45"/>
      <c r="Z755" s="45"/>
      <c r="AA755" s="45"/>
      <c r="AB755" s="45"/>
      <c r="AC755" s="45"/>
      <c r="AD755" s="45"/>
      <c r="AE755" s="45"/>
      <c r="AF755" s="45"/>
      <c r="AG755" s="45"/>
      <c r="AH755" s="45"/>
      <c r="AI755" s="45"/>
      <c r="AJ755" s="45"/>
      <c r="AK755" s="45"/>
      <c r="AL755" s="45"/>
      <c r="AM755" s="45"/>
      <c r="AN755" s="45"/>
      <c r="AO755" s="45"/>
      <c r="AP755" s="45"/>
      <c r="AQ755" s="36"/>
      <c r="AR755" s="36"/>
      <c r="AS755" s="36"/>
      <c r="AT755" s="36"/>
      <c r="AU755" s="36"/>
      <c r="AV755" s="36"/>
      <c r="AW755" s="36"/>
      <c r="AX755" s="36"/>
      <c r="AY755" s="36"/>
      <c r="AZ755" s="36"/>
      <c r="BA755" s="36"/>
      <c r="BB755" s="36"/>
      <c r="BC755" s="36"/>
      <c r="BD755" s="36"/>
      <c r="BE755" s="36"/>
      <c r="BF755" s="36"/>
      <c r="BG755" s="36"/>
      <c r="BH755" s="36"/>
      <c r="BI755" s="36"/>
      <c r="BJ755" s="36"/>
      <c r="BK755" s="36"/>
      <c r="BL755" s="36"/>
      <c r="BM755" s="36"/>
      <c r="BN755" s="36"/>
      <c r="BO755" s="36"/>
      <c r="BP755" s="36"/>
      <c r="BQ755" s="36"/>
    </row>
    <row r="756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51"/>
      <c r="S756" s="51"/>
      <c r="T756" s="51"/>
      <c r="U756" s="51"/>
      <c r="V756" s="51"/>
      <c r="W756" s="51"/>
      <c r="X756" s="51"/>
      <c r="Y756" s="45"/>
      <c r="Z756" s="45"/>
      <c r="AA756" s="45"/>
      <c r="AB756" s="45"/>
      <c r="AC756" s="45"/>
      <c r="AD756" s="45"/>
      <c r="AE756" s="45"/>
      <c r="AF756" s="45"/>
      <c r="AG756" s="45"/>
      <c r="AH756" s="45"/>
      <c r="AI756" s="45"/>
      <c r="AJ756" s="45"/>
      <c r="AK756" s="45"/>
      <c r="AL756" s="45"/>
      <c r="AM756" s="45"/>
      <c r="AN756" s="45"/>
      <c r="AO756" s="45"/>
      <c r="AP756" s="45"/>
      <c r="AQ756" s="36"/>
      <c r="AR756" s="36"/>
      <c r="AS756" s="36"/>
      <c r="AT756" s="36"/>
      <c r="AU756" s="36"/>
      <c r="AV756" s="36"/>
      <c r="AW756" s="36"/>
      <c r="AX756" s="36"/>
      <c r="AY756" s="36"/>
      <c r="AZ756" s="36"/>
      <c r="BA756" s="36"/>
      <c r="BB756" s="36"/>
      <c r="BC756" s="36"/>
      <c r="BD756" s="36"/>
      <c r="BE756" s="36"/>
      <c r="BF756" s="36"/>
      <c r="BG756" s="36"/>
      <c r="BH756" s="36"/>
      <c r="BI756" s="36"/>
      <c r="BJ756" s="36"/>
      <c r="BK756" s="36"/>
      <c r="BL756" s="36"/>
      <c r="BM756" s="36"/>
      <c r="BN756" s="36"/>
      <c r="BO756" s="36"/>
      <c r="BP756" s="36"/>
      <c r="BQ756" s="36"/>
    </row>
    <row r="757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51"/>
      <c r="S757" s="51"/>
      <c r="T757" s="51"/>
      <c r="U757" s="51"/>
      <c r="V757" s="51"/>
      <c r="W757" s="51"/>
      <c r="X757" s="51"/>
      <c r="Y757" s="45"/>
      <c r="Z757" s="45"/>
      <c r="AA757" s="45"/>
      <c r="AB757" s="45"/>
      <c r="AC757" s="45"/>
      <c r="AD757" s="45"/>
      <c r="AE757" s="45"/>
      <c r="AF757" s="45"/>
      <c r="AG757" s="45"/>
      <c r="AH757" s="45"/>
      <c r="AI757" s="45"/>
      <c r="AJ757" s="45"/>
      <c r="AK757" s="45"/>
      <c r="AL757" s="45"/>
      <c r="AM757" s="45"/>
      <c r="AN757" s="45"/>
      <c r="AO757" s="45"/>
      <c r="AP757" s="45"/>
      <c r="AQ757" s="36"/>
      <c r="AR757" s="36"/>
      <c r="AS757" s="36"/>
      <c r="AT757" s="36"/>
      <c r="AU757" s="36"/>
      <c r="AV757" s="36"/>
      <c r="AW757" s="36"/>
      <c r="AX757" s="36"/>
      <c r="AY757" s="36"/>
      <c r="AZ757" s="36"/>
      <c r="BA757" s="36"/>
      <c r="BB757" s="36"/>
      <c r="BC757" s="36"/>
      <c r="BD757" s="36"/>
      <c r="BE757" s="36"/>
      <c r="BF757" s="36"/>
      <c r="BG757" s="36"/>
      <c r="BH757" s="36"/>
      <c r="BI757" s="36"/>
      <c r="BJ757" s="36"/>
      <c r="BK757" s="36"/>
      <c r="BL757" s="36"/>
      <c r="BM757" s="36"/>
      <c r="BN757" s="36"/>
      <c r="BO757" s="36"/>
      <c r="BP757" s="36"/>
      <c r="BQ757" s="36"/>
    </row>
    <row r="758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51"/>
      <c r="S758" s="51"/>
      <c r="T758" s="51"/>
      <c r="U758" s="51"/>
      <c r="V758" s="51"/>
      <c r="W758" s="51"/>
      <c r="X758" s="51"/>
      <c r="Y758" s="45"/>
      <c r="Z758" s="45"/>
      <c r="AA758" s="45"/>
      <c r="AB758" s="45"/>
      <c r="AC758" s="45"/>
      <c r="AD758" s="45"/>
      <c r="AE758" s="45"/>
      <c r="AF758" s="45"/>
      <c r="AG758" s="45"/>
      <c r="AH758" s="45"/>
      <c r="AI758" s="45"/>
      <c r="AJ758" s="45"/>
      <c r="AK758" s="45"/>
      <c r="AL758" s="45"/>
      <c r="AM758" s="45"/>
      <c r="AN758" s="45"/>
      <c r="AO758" s="45"/>
      <c r="AP758" s="45"/>
      <c r="AQ758" s="36"/>
      <c r="AR758" s="36"/>
      <c r="AS758" s="36"/>
      <c r="AT758" s="36"/>
      <c r="AU758" s="36"/>
      <c r="AV758" s="36"/>
      <c r="AW758" s="36"/>
      <c r="AX758" s="36"/>
      <c r="AY758" s="36"/>
      <c r="AZ758" s="36"/>
      <c r="BA758" s="36"/>
      <c r="BB758" s="36"/>
      <c r="BC758" s="36"/>
      <c r="BD758" s="36"/>
      <c r="BE758" s="36"/>
      <c r="BF758" s="36"/>
      <c r="BG758" s="36"/>
      <c r="BH758" s="36"/>
      <c r="BI758" s="36"/>
      <c r="BJ758" s="36"/>
      <c r="BK758" s="36"/>
      <c r="BL758" s="36"/>
      <c r="BM758" s="36"/>
      <c r="BN758" s="36"/>
      <c r="BO758" s="36"/>
      <c r="BP758" s="36"/>
      <c r="BQ758" s="36"/>
    </row>
    <row r="759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51"/>
      <c r="S759" s="51"/>
      <c r="T759" s="51"/>
      <c r="U759" s="51"/>
      <c r="V759" s="51"/>
      <c r="W759" s="51"/>
      <c r="X759" s="51"/>
      <c r="Y759" s="45"/>
      <c r="Z759" s="45"/>
      <c r="AA759" s="45"/>
      <c r="AB759" s="45"/>
      <c r="AC759" s="45"/>
      <c r="AD759" s="45"/>
      <c r="AE759" s="45"/>
      <c r="AF759" s="45"/>
      <c r="AG759" s="45"/>
      <c r="AH759" s="45"/>
      <c r="AI759" s="45"/>
      <c r="AJ759" s="45"/>
      <c r="AK759" s="45"/>
      <c r="AL759" s="45"/>
      <c r="AM759" s="45"/>
      <c r="AN759" s="45"/>
      <c r="AO759" s="45"/>
      <c r="AP759" s="45"/>
      <c r="AQ759" s="36"/>
      <c r="AR759" s="36"/>
      <c r="AS759" s="36"/>
      <c r="AT759" s="36"/>
      <c r="AU759" s="36"/>
      <c r="AV759" s="36"/>
      <c r="AW759" s="36"/>
      <c r="AX759" s="36"/>
      <c r="AY759" s="36"/>
      <c r="AZ759" s="36"/>
      <c r="BA759" s="36"/>
      <c r="BB759" s="36"/>
      <c r="BC759" s="36"/>
      <c r="BD759" s="36"/>
      <c r="BE759" s="36"/>
      <c r="BF759" s="36"/>
      <c r="BG759" s="36"/>
      <c r="BH759" s="36"/>
      <c r="BI759" s="36"/>
      <c r="BJ759" s="36"/>
      <c r="BK759" s="36"/>
      <c r="BL759" s="36"/>
      <c r="BM759" s="36"/>
      <c r="BN759" s="36"/>
      <c r="BO759" s="36"/>
      <c r="BP759" s="36"/>
      <c r="BQ759" s="36"/>
    </row>
    <row r="760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51"/>
      <c r="S760" s="51"/>
      <c r="T760" s="51"/>
      <c r="U760" s="51"/>
      <c r="V760" s="51"/>
      <c r="W760" s="51"/>
      <c r="X760" s="51"/>
      <c r="Y760" s="45"/>
      <c r="Z760" s="45"/>
      <c r="AA760" s="45"/>
      <c r="AB760" s="45"/>
      <c r="AC760" s="45"/>
      <c r="AD760" s="45"/>
      <c r="AE760" s="45"/>
      <c r="AF760" s="45"/>
      <c r="AG760" s="45"/>
      <c r="AH760" s="45"/>
      <c r="AI760" s="45"/>
      <c r="AJ760" s="45"/>
      <c r="AK760" s="45"/>
      <c r="AL760" s="45"/>
      <c r="AM760" s="45"/>
      <c r="AN760" s="45"/>
      <c r="AO760" s="45"/>
      <c r="AP760" s="45"/>
      <c r="AQ760" s="36"/>
      <c r="AR760" s="36"/>
      <c r="AS760" s="36"/>
      <c r="AT760" s="36"/>
      <c r="AU760" s="36"/>
      <c r="AV760" s="36"/>
      <c r="AW760" s="36"/>
      <c r="AX760" s="36"/>
      <c r="AY760" s="36"/>
      <c r="AZ760" s="36"/>
      <c r="BA760" s="36"/>
      <c r="BB760" s="36"/>
      <c r="BC760" s="36"/>
      <c r="BD760" s="36"/>
      <c r="BE760" s="36"/>
      <c r="BF760" s="36"/>
      <c r="BG760" s="36"/>
      <c r="BH760" s="36"/>
      <c r="BI760" s="36"/>
      <c r="BJ760" s="36"/>
      <c r="BK760" s="36"/>
      <c r="BL760" s="36"/>
      <c r="BM760" s="36"/>
      <c r="BN760" s="36"/>
      <c r="BO760" s="36"/>
      <c r="BP760" s="36"/>
      <c r="BQ760" s="36"/>
    </row>
    <row r="76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51"/>
      <c r="S761" s="51"/>
      <c r="T761" s="51"/>
      <c r="U761" s="51"/>
      <c r="V761" s="51"/>
      <c r="W761" s="51"/>
      <c r="X761" s="51"/>
      <c r="Y761" s="45"/>
      <c r="Z761" s="45"/>
      <c r="AA761" s="45"/>
      <c r="AB761" s="45"/>
      <c r="AC761" s="45"/>
      <c r="AD761" s="45"/>
      <c r="AE761" s="45"/>
      <c r="AF761" s="45"/>
      <c r="AG761" s="45"/>
      <c r="AH761" s="45"/>
      <c r="AI761" s="45"/>
      <c r="AJ761" s="45"/>
      <c r="AK761" s="45"/>
      <c r="AL761" s="45"/>
      <c r="AM761" s="45"/>
      <c r="AN761" s="45"/>
      <c r="AO761" s="45"/>
      <c r="AP761" s="45"/>
      <c r="AQ761" s="36"/>
      <c r="AR761" s="36"/>
      <c r="AS761" s="36"/>
      <c r="AT761" s="36"/>
      <c r="AU761" s="36"/>
      <c r="AV761" s="36"/>
      <c r="AW761" s="36"/>
      <c r="AX761" s="36"/>
      <c r="AY761" s="36"/>
      <c r="AZ761" s="36"/>
      <c r="BA761" s="36"/>
      <c r="BB761" s="36"/>
      <c r="BC761" s="36"/>
      <c r="BD761" s="36"/>
      <c r="BE761" s="36"/>
      <c r="BF761" s="36"/>
      <c r="BG761" s="36"/>
      <c r="BH761" s="36"/>
      <c r="BI761" s="36"/>
      <c r="BJ761" s="36"/>
      <c r="BK761" s="36"/>
      <c r="BL761" s="36"/>
      <c r="BM761" s="36"/>
      <c r="BN761" s="36"/>
      <c r="BO761" s="36"/>
      <c r="BP761" s="36"/>
      <c r="BQ761" s="36"/>
    </row>
    <row r="76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51"/>
      <c r="S762" s="51"/>
      <c r="T762" s="51"/>
      <c r="U762" s="51"/>
      <c r="V762" s="51"/>
      <c r="W762" s="51"/>
      <c r="X762" s="51"/>
      <c r="Y762" s="45"/>
      <c r="Z762" s="45"/>
      <c r="AA762" s="45"/>
      <c r="AB762" s="45"/>
      <c r="AC762" s="45"/>
      <c r="AD762" s="45"/>
      <c r="AE762" s="45"/>
      <c r="AF762" s="45"/>
      <c r="AG762" s="45"/>
      <c r="AH762" s="45"/>
      <c r="AI762" s="45"/>
      <c r="AJ762" s="45"/>
      <c r="AK762" s="45"/>
      <c r="AL762" s="45"/>
      <c r="AM762" s="45"/>
      <c r="AN762" s="45"/>
      <c r="AO762" s="45"/>
      <c r="AP762" s="45"/>
      <c r="AQ762" s="36"/>
      <c r="AR762" s="36"/>
      <c r="AS762" s="36"/>
      <c r="AT762" s="36"/>
      <c r="AU762" s="36"/>
      <c r="AV762" s="36"/>
      <c r="AW762" s="36"/>
      <c r="AX762" s="36"/>
      <c r="AY762" s="36"/>
      <c r="AZ762" s="36"/>
      <c r="BA762" s="36"/>
      <c r="BB762" s="36"/>
      <c r="BC762" s="36"/>
      <c r="BD762" s="36"/>
      <c r="BE762" s="36"/>
      <c r="BF762" s="36"/>
      <c r="BG762" s="36"/>
      <c r="BH762" s="36"/>
      <c r="BI762" s="36"/>
      <c r="BJ762" s="36"/>
      <c r="BK762" s="36"/>
      <c r="BL762" s="36"/>
      <c r="BM762" s="36"/>
      <c r="BN762" s="36"/>
      <c r="BO762" s="36"/>
      <c r="BP762" s="36"/>
      <c r="BQ762" s="36"/>
    </row>
    <row r="763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51"/>
      <c r="S763" s="51"/>
      <c r="T763" s="51"/>
      <c r="U763" s="51"/>
      <c r="V763" s="51"/>
      <c r="W763" s="51"/>
      <c r="X763" s="51"/>
      <c r="Y763" s="45"/>
      <c r="Z763" s="45"/>
      <c r="AA763" s="45"/>
      <c r="AB763" s="45"/>
      <c r="AC763" s="45"/>
      <c r="AD763" s="45"/>
      <c r="AE763" s="45"/>
      <c r="AF763" s="45"/>
      <c r="AG763" s="45"/>
      <c r="AH763" s="45"/>
      <c r="AI763" s="45"/>
      <c r="AJ763" s="45"/>
      <c r="AK763" s="45"/>
      <c r="AL763" s="45"/>
      <c r="AM763" s="45"/>
      <c r="AN763" s="45"/>
      <c r="AO763" s="45"/>
      <c r="AP763" s="45"/>
      <c r="AQ763" s="36"/>
      <c r="AR763" s="36"/>
      <c r="AS763" s="36"/>
      <c r="AT763" s="36"/>
      <c r="AU763" s="36"/>
      <c r="AV763" s="36"/>
      <c r="AW763" s="36"/>
      <c r="AX763" s="36"/>
      <c r="AY763" s="36"/>
      <c r="AZ763" s="36"/>
      <c r="BA763" s="36"/>
      <c r="BB763" s="36"/>
      <c r="BC763" s="36"/>
      <c r="BD763" s="36"/>
      <c r="BE763" s="36"/>
      <c r="BF763" s="36"/>
      <c r="BG763" s="36"/>
      <c r="BH763" s="36"/>
      <c r="BI763" s="36"/>
      <c r="BJ763" s="36"/>
      <c r="BK763" s="36"/>
      <c r="BL763" s="36"/>
      <c r="BM763" s="36"/>
      <c r="BN763" s="36"/>
      <c r="BO763" s="36"/>
      <c r="BP763" s="36"/>
      <c r="BQ763" s="36"/>
    </row>
    <row r="764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51"/>
      <c r="S764" s="51"/>
      <c r="T764" s="51"/>
      <c r="U764" s="51"/>
      <c r="V764" s="51"/>
      <c r="W764" s="51"/>
      <c r="X764" s="51"/>
      <c r="Y764" s="45"/>
      <c r="Z764" s="45"/>
      <c r="AA764" s="45"/>
      <c r="AB764" s="45"/>
      <c r="AC764" s="45"/>
      <c r="AD764" s="45"/>
      <c r="AE764" s="45"/>
      <c r="AF764" s="45"/>
      <c r="AG764" s="45"/>
      <c r="AH764" s="45"/>
      <c r="AI764" s="45"/>
      <c r="AJ764" s="45"/>
      <c r="AK764" s="45"/>
      <c r="AL764" s="45"/>
      <c r="AM764" s="45"/>
      <c r="AN764" s="45"/>
      <c r="AO764" s="45"/>
      <c r="AP764" s="45"/>
      <c r="AQ764" s="36"/>
      <c r="AR764" s="36"/>
      <c r="AS764" s="36"/>
      <c r="AT764" s="36"/>
      <c r="AU764" s="36"/>
      <c r="AV764" s="36"/>
      <c r="AW764" s="36"/>
      <c r="AX764" s="36"/>
      <c r="AY764" s="36"/>
      <c r="AZ764" s="36"/>
      <c r="BA764" s="36"/>
      <c r="BB764" s="36"/>
      <c r="BC764" s="36"/>
      <c r="BD764" s="36"/>
      <c r="BE764" s="36"/>
      <c r="BF764" s="36"/>
      <c r="BG764" s="36"/>
      <c r="BH764" s="36"/>
      <c r="BI764" s="36"/>
      <c r="BJ764" s="36"/>
      <c r="BK764" s="36"/>
      <c r="BL764" s="36"/>
      <c r="BM764" s="36"/>
      <c r="BN764" s="36"/>
      <c r="BO764" s="36"/>
      <c r="BP764" s="36"/>
      <c r="BQ764" s="36"/>
    </row>
    <row r="76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51"/>
      <c r="S765" s="51"/>
      <c r="T765" s="51"/>
      <c r="U765" s="51"/>
      <c r="V765" s="51"/>
      <c r="W765" s="51"/>
      <c r="X765" s="51"/>
      <c r="Y765" s="45"/>
      <c r="Z765" s="45"/>
      <c r="AA765" s="45"/>
      <c r="AB765" s="45"/>
      <c r="AC765" s="45"/>
      <c r="AD765" s="45"/>
      <c r="AE765" s="45"/>
      <c r="AF765" s="45"/>
      <c r="AG765" s="45"/>
      <c r="AH765" s="45"/>
      <c r="AI765" s="45"/>
      <c r="AJ765" s="45"/>
      <c r="AK765" s="45"/>
      <c r="AL765" s="45"/>
      <c r="AM765" s="45"/>
      <c r="AN765" s="45"/>
      <c r="AO765" s="45"/>
      <c r="AP765" s="45"/>
      <c r="AQ765" s="36"/>
      <c r="AR765" s="36"/>
      <c r="AS765" s="36"/>
      <c r="AT765" s="36"/>
      <c r="AU765" s="36"/>
      <c r="AV765" s="36"/>
      <c r="AW765" s="36"/>
      <c r="AX765" s="36"/>
      <c r="AY765" s="36"/>
      <c r="AZ765" s="36"/>
      <c r="BA765" s="36"/>
      <c r="BB765" s="36"/>
      <c r="BC765" s="36"/>
      <c r="BD765" s="36"/>
      <c r="BE765" s="36"/>
      <c r="BF765" s="36"/>
      <c r="BG765" s="36"/>
      <c r="BH765" s="36"/>
      <c r="BI765" s="36"/>
      <c r="BJ765" s="36"/>
      <c r="BK765" s="36"/>
      <c r="BL765" s="36"/>
      <c r="BM765" s="36"/>
      <c r="BN765" s="36"/>
      <c r="BO765" s="36"/>
      <c r="BP765" s="36"/>
      <c r="BQ765" s="36"/>
    </row>
    <row r="766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51"/>
      <c r="S766" s="51"/>
      <c r="T766" s="51"/>
      <c r="U766" s="51"/>
      <c r="V766" s="51"/>
      <c r="W766" s="51"/>
      <c r="X766" s="51"/>
      <c r="Y766" s="45"/>
      <c r="Z766" s="45"/>
      <c r="AA766" s="45"/>
      <c r="AB766" s="45"/>
      <c r="AC766" s="45"/>
      <c r="AD766" s="45"/>
      <c r="AE766" s="45"/>
      <c r="AF766" s="45"/>
      <c r="AG766" s="45"/>
      <c r="AH766" s="45"/>
      <c r="AI766" s="45"/>
      <c r="AJ766" s="45"/>
      <c r="AK766" s="45"/>
      <c r="AL766" s="45"/>
      <c r="AM766" s="45"/>
      <c r="AN766" s="45"/>
      <c r="AO766" s="45"/>
      <c r="AP766" s="45"/>
      <c r="AQ766" s="36"/>
      <c r="AR766" s="36"/>
      <c r="AS766" s="36"/>
      <c r="AT766" s="36"/>
      <c r="AU766" s="36"/>
      <c r="AV766" s="36"/>
      <c r="AW766" s="36"/>
      <c r="AX766" s="36"/>
      <c r="AY766" s="36"/>
      <c r="AZ766" s="36"/>
      <c r="BA766" s="36"/>
      <c r="BB766" s="36"/>
      <c r="BC766" s="36"/>
      <c r="BD766" s="36"/>
      <c r="BE766" s="36"/>
      <c r="BF766" s="36"/>
      <c r="BG766" s="36"/>
      <c r="BH766" s="36"/>
      <c r="BI766" s="36"/>
      <c r="BJ766" s="36"/>
      <c r="BK766" s="36"/>
      <c r="BL766" s="36"/>
      <c r="BM766" s="36"/>
      <c r="BN766" s="36"/>
      <c r="BO766" s="36"/>
      <c r="BP766" s="36"/>
      <c r="BQ766" s="36"/>
    </row>
    <row r="767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51"/>
      <c r="S767" s="51"/>
      <c r="T767" s="51"/>
      <c r="U767" s="51"/>
      <c r="V767" s="51"/>
      <c r="W767" s="51"/>
      <c r="X767" s="51"/>
      <c r="Y767" s="45"/>
      <c r="Z767" s="45"/>
      <c r="AA767" s="45"/>
      <c r="AB767" s="45"/>
      <c r="AC767" s="45"/>
      <c r="AD767" s="45"/>
      <c r="AE767" s="45"/>
      <c r="AF767" s="45"/>
      <c r="AG767" s="45"/>
      <c r="AH767" s="45"/>
      <c r="AI767" s="45"/>
      <c r="AJ767" s="45"/>
      <c r="AK767" s="45"/>
      <c r="AL767" s="45"/>
      <c r="AM767" s="45"/>
      <c r="AN767" s="45"/>
      <c r="AO767" s="45"/>
      <c r="AP767" s="45"/>
      <c r="AQ767" s="36"/>
      <c r="AR767" s="36"/>
      <c r="AS767" s="36"/>
      <c r="AT767" s="36"/>
      <c r="AU767" s="36"/>
      <c r="AV767" s="36"/>
      <c r="AW767" s="36"/>
      <c r="AX767" s="36"/>
      <c r="AY767" s="36"/>
      <c r="AZ767" s="36"/>
      <c r="BA767" s="36"/>
      <c r="BB767" s="36"/>
      <c r="BC767" s="36"/>
      <c r="BD767" s="36"/>
      <c r="BE767" s="36"/>
      <c r="BF767" s="36"/>
      <c r="BG767" s="36"/>
      <c r="BH767" s="36"/>
      <c r="BI767" s="36"/>
      <c r="BJ767" s="36"/>
      <c r="BK767" s="36"/>
      <c r="BL767" s="36"/>
      <c r="BM767" s="36"/>
      <c r="BN767" s="36"/>
      <c r="BO767" s="36"/>
      <c r="BP767" s="36"/>
      <c r="BQ767" s="36"/>
    </row>
    <row r="768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51"/>
      <c r="S768" s="51"/>
      <c r="T768" s="51"/>
      <c r="U768" s="51"/>
      <c r="V768" s="51"/>
      <c r="W768" s="51"/>
      <c r="X768" s="51"/>
      <c r="Y768" s="45"/>
      <c r="Z768" s="45"/>
      <c r="AA768" s="45"/>
      <c r="AB768" s="45"/>
      <c r="AC768" s="45"/>
      <c r="AD768" s="45"/>
      <c r="AE768" s="45"/>
      <c r="AF768" s="45"/>
      <c r="AG768" s="45"/>
      <c r="AH768" s="45"/>
      <c r="AI768" s="45"/>
      <c r="AJ768" s="45"/>
      <c r="AK768" s="45"/>
      <c r="AL768" s="45"/>
      <c r="AM768" s="45"/>
      <c r="AN768" s="45"/>
      <c r="AO768" s="45"/>
      <c r="AP768" s="45"/>
      <c r="AQ768" s="36"/>
      <c r="AR768" s="36"/>
      <c r="AS768" s="36"/>
      <c r="AT768" s="36"/>
      <c r="AU768" s="36"/>
      <c r="AV768" s="36"/>
      <c r="AW768" s="36"/>
      <c r="AX768" s="36"/>
      <c r="AY768" s="36"/>
      <c r="AZ768" s="36"/>
      <c r="BA768" s="36"/>
      <c r="BB768" s="36"/>
      <c r="BC768" s="36"/>
      <c r="BD768" s="36"/>
      <c r="BE768" s="36"/>
      <c r="BF768" s="36"/>
      <c r="BG768" s="36"/>
      <c r="BH768" s="36"/>
      <c r="BI768" s="36"/>
      <c r="BJ768" s="36"/>
      <c r="BK768" s="36"/>
      <c r="BL768" s="36"/>
      <c r="BM768" s="36"/>
      <c r="BN768" s="36"/>
      <c r="BO768" s="36"/>
      <c r="BP768" s="36"/>
      <c r="BQ768" s="36"/>
    </row>
    <row r="769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51"/>
      <c r="S769" s="51"/>
      <c r="T769" s="51"/>
      <c r="U769" s="51"/>
      <c r="V769" s="51"/>
      <c r="W769" s="51"/>
      <c r="X769" s="51"/>
      <c r="Y769" s="45"/>
      <c r="Z769" s="45"/>
      <c r="AA769" s="45"/>
      <c r="AB769" s="45"/>
      <c r="AC769" s="45"/>
      <c r="AD769" s="45"/>
      <c r="AE769" s="45"/>
      <c r="AF769" s="45"/>
      <c r="AG769" s="45"/>
      <c r="AH769" s="45"/>
      <c r="AI769" s="45"/>
      <c r="AJ769" s="45"/>
      <c r="AK769" s="45"/>
      <c r="AL769" s="45"/>
      <c r="AM769" s="45"/>
      <c r="AN769" s="45"/>
      <c r="AO769" s="45"/>
      <c r="AP769" s="45"/>
      <c r="AQ769" s="36"/>
      <c r="AR769" s="36"/>
      <c r="AS769" s="36"/>
      <c r="AT769" s="36"/>
      <c r="AU769" s="36"/>
      <c r="AV769" s="36"/>
      <c r="AW769" s="36"/>
      <c r="AX769" s="36"/>
      <c r="AY769" s="36"/>
      <c r="AZ769" s="36"/>
      <c r="BA769" s="36"/>
      <c r="BB769" s="36"/>
      <c r="BC769" s="36"/>
      <c r="BD769" s="36"/>
      <c r="BE769" s="36"/>
      <c r="BF769" s="36"/>
      <c r="BG769" s="36"/>
      <c r="BH769" s="36"/>
      <c r="BI769" s="36"/>
      <c r="BJ769" s="36"/>
      <c r="BK769" s="36"/>
      <c r="BL769" s="36"/>
      <c r="BM769" s="36"/>
      <c r="BN769" s="36"/>
      <c r="BO769" s="36"/>
      <c r="BP769" s="36"/>
      <c r="BQ769" s="36"/>
    </row>
    <row r="770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51"/>
      <c r="S770" s="51"/>
      <c r="T770" s="51"/>
      <c r="U770" s="51"/>
      <c r="V770" s="51"/>
      <c r="W770" s="51"/>
      <c r="X770" s="51"/>
      <c r="Y770" s="45"/>
      <c r="Z770" s="45"/>
      <c r="AA770" s="45"/>
      <c r="AB770" s="45"/>
      <c r="AC770" s="45"/>
      <c r="AD770" s="45"/>
      <c r="AE770" s="45"/>
      <c r="AF770" s="45"/>
      <c r="AG770" s="45"/>
      <c r="AH770" s="45"/>
      <c r="AI770" s="45"/>
      <c r="AJ770" s="45"/>
      <c r="AK770" s="45"/>
      <c r="AL770" s="45"/>
      <c r="AM770" s="45"/>
      <c r="AN770" s="45"/>
      <c r="AO770" s="45"/>
      <c r="AP770" s="45"/>
      <c r="AQ770" s="36"/>
      <c r="AR770" s="36"/>
      <c r="AS770" s="36"/>
      <c r="AT770" s="36"/>
      <c r="AU770" s="36"/>
      <c r="AV770" s="36"/>
      <c r="AW770" s="36"/>
      <c r="AX770" s="36"/>
      <c r="AY770" s="36"/>
      <c r="AZ770" s="36"/>
      <c r="BA770" s="36"/>
      <c r="BB770" s="36"/>
      <c r="BC770" s="36"/>
      <c r="BD770" s="36"/>
      <c r="BE770" s="36"/>
      <c r="BF770" s="36"/>
      <c r="BG770" s="36"/>
      <c r="BH770" s="36"/>
      <c r="BI770" s="36"/>
      <c r="BJ770" s="36"/>
      <c r="BK770" s="36"/>
      <c r="BL770" s="36"/>
      <c r="BM770" s="36"/>
      <c r="BN770" s="36"/>
      <c r="BO770" s="36"/>
      <c r="BP770" s="36"/>
      <c r="BQ770" s="36"/>
    </row>
    <row r="77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51"/>
      <c r="S771" s="51"/>
      <c r="T771" s="51"/>
      <c r="U771" s="51"/>
      <c r="V771" s="51"/>
      <c r="W771" s="51"/>
      <c r="X771" s="51"/>
      <c r="Y771" s="45"/>
      <c r="Z771" s="45"/>
      <c r="AA771" s="45"/>
      <c r="AB771" s="45"/>
      <c r="AC771" s="45"/>
      <c r="AD771" s="45"/>
      <c r="AE771" s="45"/>
      <c r="AF771" s="45"/>
      <c r="AG771" s="45"/>
      <c r="AH771" s="45"/>
      <c r="AI771" s="45"/>
      <c r="AJ771" s="45"/>
      <c r="AK771" s="45"/>
      <c r="AL771" s="45"/>
      <c r="AM771" s="45"/>
      <c r="AN771" s="45"/>
      <c r="AO771" s="45"/>
      <c r="AP771" s="45"/>
      <c r="AQ771" s="36"/>
      <c r="AR771" s="36"/>
      <c r="AS771" s="36"/>
      <c r="AT771" s="36"/>
      <c r="AU771" s="36"/>
      <c r="AV771" s="36"/>
      <c r="AW771" s="36"/>
      <c r="AX771" s="36"/>
      <c r="AY771" s="36"/>
      <c r="AZ771" s="36"/>
      <c r="BA771" s="36"/>
      <c r="BB771" s="36"/>
      <c r="BC771" s="36"/>
      <c r="BD771" s="36"/>
      <c r="BE771" s="36"/>
      <c r="BF771" s="36"/>
      <c r="BG771" s="36"/>
      <c r="BH771" s="36"/>
      <c r="BI771" s="36"/>
      <c r="BJ771" s="36"/>
      <c r="BK771" s="36"/>
      <c r="BL771" s="36"/>
      <c r="BM771" s="36"/>
      <c r="BN771" s="36"/>
      <c r="BO771" s="36"/>
      <c r="BP771" s="36"/>
      <c r="BQ771" s="36"/>
    </row>
    <row r="77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51"/>
      <c r="S772" s="51"/>
      <c r="T772" s="51"/>
      <c r="U772" s="51"/>
      <c r="V772" s="51"/>
      <c r="W772" s="51"/>
      <c r="X772" s="51"/>
      <c r="Y772" s="45"/>
      <c r="Z772" s="45"/>
      <c r="AA772" s="45"/>
      <c r="AB772" s="45"/>
      <c r="AC772" s="45"/>
      <c r="AD772" s="45"/>
      <c r="AE772" s="45"/>
      <c r="AF772" s="45"/>
      <c r="AG772" s="45"/>
      <c r="AH772" s="45"/>
      <c r="AI772" s="45"/>
      <c r="AJ772" s="45"/>
      <c r="AK772" s="45"/>
      <c r="AL772" s="45"/>
      <c r="AM772" s="45"/>
      <c r="AN772" s="45"/>
      <c r="AO772" s="45"/>
      <c r="AP772" s="45"/>
      <c r="AQ772" s="36"/>
      <c r="AR772" s="36"/>
      <c r="AS772" s="36"/>
      <c r="AT772" s="36"/>
      <c r="AU772" s="36"/>
      <c r="AV772" s="36"/>
      <c r="AW772" s="36"/>
      <c r="AX772" s="36"/>
      <c r="AY772" s="36"/>
      <c r="AZ772" s="36"/>
      <c r="BA772" s="36"/>
      <c r="BB772" s="36"/>
      <c r="BC772" s="36"/>
      <c r="BD772" s="36"/>
      <c r="BE772" s="36"/>
      <c r="BF772" s="36"/>
      <c r="BG772" s="36"/>
      <c r="BH772" s="36"/>
      <c r="BI772" s="36"/>
      <c r="BJ772" s="36"/>
      <c r="BK772" s="36"/>
      <c r="BL772" s="36"/>
      <c r="BM772" s="36"/>
      <c r="BN772" s="36"/>
      <c r="BO772" s="36"/>
      <c r="BP772" s="36"/>
      <c r="BQ772" s="36"/>
    </row>
    <row r="773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51"/>
      <c r="S773" s="51"/>
      <c r="T773" s="51"/>
      <c r="U773" s="51"/>
      <c r="V773" s="51"/>
      <c r="W773" s="51"/>
      <c r="X773" s="51"/>
      <c r="Y773" s="45"/>
      <c r="Z773" s="45"/>
      <c r="AA773" s="45"/>
      <c r="AB773" s="45"/>
      <c r="AC773" s="45"/>
      <c r="AD773" s="45"/>
      <c r="AE773" s="45"/>
      <c r="AF773" s="45"/>
      <c r="AG773" s="45"/>
      <c r="AH773" s="45"/>
      <c r="AI773" s="45"/>
      <c r="AJ773" s="45"/>
      <c r="AK773" s="45"/>
      <c r="AL773" s="45"/>
      <c r="AM773" s="45"/>
      <c r="AN773" s="45"/>
      <c r="AO773" s="45"/>
      <c r="AP773" s="45"/>
      <c r="AQ773" s="36"/>
      <c r="AR773" s="36"/>
      <c r="AS773" s="36"/>
      <c r="AT773" s="36"/>
      <c r="AU773" s="36"/>
      <c r="AV773" s="36"/>
      <c r="AW773" s="36"/>
      <c r="AX773" s="36"/>
      <c r="AY773" s="36"/>
      <c r="AZ773" s="36"/>
      <c r="BA773" s="36"/>
      <c r="BB773" s="36"/>
      <c r="BC773" s="36"/>
      <c r="BD773" s="36"/>
      <c r="BE773" s="36"/>
      <c r="BF773" s="36"/>
      <c r="BG773" s="36"/>
      <c r="BH773" s="36"/>
      <c r="BI773" s="36"/>
      <c r="BJ773" s="36"/>
      <c r="BK773" s="36"/>
      <c r="BL773" s="36"/>
      <c r="BM773" s="36"/>
      <c r="BN773" s="36"/>
      <c r="BO773" s="36"/>
      <c r="BP773" s="36"/>
      <c r="BQ773" s="36"/>
    </row>
    <row r="774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51"/>
      <c r="S774" s="51"/>
      <c r="T774" s="51"/>
      <c r="U774" s="51"/>
      <c r="V774" s="51"/>
      <c r="W774" s="51"/>
      <c r="X774" s="51"/>
      <c r="Y774" s="45"/>
      <c r="Z774" s="45"/>
      <c r="AA774" s="45"/>
      <c r="AB774" s="45"/>
      <c r="AC774" s="45"/>
      <c r="AD774" s="45"/>
      <c r="AE774" s="45"/>
      <c r="AF774" s="45"/>
      <c r="AG774" s="45"/>
      <c r="AH774" s="45"/>
      <c r="AI774" s="45"/>
      <c r="AJ774" s="45"/>
      <c r="AK774" s="45"/>
      <c r="AL774" s="45"/>
      <c r="AM774" s="45"/>
      <c r="AN774" s="45"/>
      <c r="AO774" s="45"/>
      <c r="AP774" s="45"/>
      <c r="AQ774" s="36"/>
      <c r="AR774" s="36"/>
      <c r="AS774" s="36"/>
      <c r="AT774" s="36"/>
      <c r="AU774" s="36"/>
      <c r="AV774" s="36"/>
      <c r="AW774" s="36"/>
      <c r="AX774" s="36"/>
      <c r="AY774" s="36"/>
      <c r="AZ774" s="36"/>
      <c r="BA774" s="36"/>
      <c r="BB774" s="36"/>
      <c r="BC774" s="36"/>
      <c r="BD774" s="36"/>
      <c r="BE774" s="36"/>
      <c r="BF774" s="36"/>
      <c r="BG774" s="36"/>
      <c r="BH774" s="36"/>
      <c r="BI774" s="36"/>
      <c r="BJ774" s="36"/>
      <c r="BK774" s="36"/>
      <c r="BL774" s="36"/>
      <c r="BM774" s="36"/>
      <c r="BN774" s="36"/>
      <c r="BO774" s="36"/>
      <c r="BP774" s="36"/>
      <c r="BQ774" s="36"/>
    </row>
    <row r="77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51"/>
      <c r="S775" s="51"/>
      <c r="T775" s="51"/>
      <c r="U775" s="51"/>
      <c r="V775" s="51"/>
      <c r="W775" s="51"/>
      <c r="X775" s="51"/>
      <c r="Y775" s="45"/>
      <c r="Z775" s="45"/>
      <c r="AA775" s="45"/>
      <c r="AB775" s="45"/>
      <c r="AC775" s="45"/>
      <c r="AD775" s="45"/>
      <c r="AE775" s="45"/>
      <c r="AF775" s="45"/>
      <c r="AG775" s="45"/>
      <c r="AH775" s="45"/>
      <c r="AI775" s="45"/>
      <c r="AJ775" s="45"/>
      <c r="AK775" s="45"/>
      <c r="AL775" s="45"/>
      <c r="AM775" s="45"/>
      <c r="AN775" s="45"/>
      <c r="AO775" s="45"/>
      <c r="AP775" s="45"/>
      <c r="AQ775" s="36"/>
      <c r="AR775" s="36"/>
      <c r="AS775" s="36"/>
      <c r="AT775" s="36"/>
      <c r="AU775" s="36"/>
      <c r="AV775" s="36"/>
      <c r="AW775" s="36"/>
      <c r="AX775" s="36"/>
      <c r="AY775" s="36"/>
      <c r="AZ775" s="36"/>
      <c r="BA775" s="36"/>
      <c r="BB775" s="36"/>
      <c r="BC775" s="36"/>
      <c r="BD775" s="36"/>
      <c r="BE775" s="36"/>
      <c r="BF775" s="36"/>
      <c r="BG775" s="36"/>
      <c r="BH775" s="36"/>
      <c r="BI775" s="36"/>
      <c r="BJ775" s="36"/>
      <c r="BK775" s="36"/>
      <c r="BL775" s="36"/>
      <c r="BM775" s="36"/>
      <c r="BN775" s="36"/>
      <c r="BO775" s="36"/>
      <c r="BP775" s="36"/>
      <c r="BQ775" s="36"/>
    </row>
    <row r="776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51"/>
      <c r="S776" s="51"/>
      <c r="T776" s="51"/>
      <c r="U776" s="51"/>
      <c r="V776" s="51"/>
      <c r="W776" s="51"/>
      <c r="X776" s="51"/>
      <c r="Y776" s="45"/>
      <c r="Z776" s="45"/>
      <c r="AA776" s="45"/>
      <c r="AB776" s="45"/>
      <c r="AC776" s="45"/>
      <c r="AD776" s="45"/>
      <c r="AE776" s="45"/>
      <c r="AF776" s="45"/>
      <c r="AG776" s="45"/>
      <c r="AH776" s="45"/>
      <c r="AI776" s="45"/>
      <c r="AJ776" s="45"/>
      <c r="AK776" s="45"/>
      <c r="AL776" s="45"/>
      <c r="AM776" s="45"/>
      <c r="AN776" s="45"/>
      <c r="AO776" s="45"/>
      <c r="AP776" s="45"/>
      <c r="AQ776" s="36"/>
      <c r="AR776" s="36"/>
      <c r="AS776" s="36"/>
      <c r="AT776" s="36"/>
      <c r="AU776" s="36"/>
      <c r="AV776" s="36"/>
      <c r="AW776" s="36"/>
      <c r="AX776" s="36"/>
      <c r="AY776" s="36"/>
      <c r="AZ776" s="36"/>
      <c r="BA776" s="36"/>
      <c r="BB776" s="36"/>
      <c r="BC776" s="36"/>
      <c r="BD776" s="36"/>
      <c r="BE776" s="36"/>
      <c r="BF776" s="36"/>
      <c r="BG776" s="36"/>
      <c r="BH776" s="36"/>
      <c r="BI776" s="36"/>
      <c r="BJ776" s="36"/>
      <c r="BK776" s="36"/>
      <c r="BL776" s="36"/>
      <c r="BM776" s="36"/>
      <c r="BN776" s="36"/>
      <c r="BO776" s="36"/>
      <c r="BP776" s="36"/>
      <c r="BQ776" s="36"/>
    </row>
    <row r="777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51"/>
      <c r="S777" s="51"/>
      <c r="T777" s="51"/>
      <c r="U777" s="51"/>
      <c r="V777" s="51"/>
      <c r="W777" s="51"/>
      <c r="X777" s="51"/>
      <c r="Y777" s="45"/>
      <c r="Z777" s="45"/>
      <c r="AA777" s="45"/>
      <c r="AB777" s="45"/>
      <c r="AC777" s="45"/>
      <c r="AD777" s="45"/>
      <c r="AE777" s="45"/>
      <c r="AF777" s="45"/>
      <c r="AG777" s="45"/>
      <c r="AH777" s="45"/>
      <c r="AI777" s="45"/>
      <c r="AJ777" s="45"/>
      <c r="AK777" s="45"/>
      <c r="AL777" s="45"/>
      <c r="AM777" s="45"/>
      <c r="AN777" s="45"/>
      <c r="AO777" s="45"/>
      <c r="AP777" s="45"/>
      <c r="AQ777" s="36"/>
      <c r="AR777" s="36"/>
      <c r="AS777" s="36"/>
      <c r="AT777" s="36"/>
      <c r="AU777" s="36"/>
      <c r="AV777" s="36"/>
      <c r="AW777" s="36"/>
      <c r="AX777" s="36"/>
      <c r="AY777" s="36"/>
      <c r="AZ777" s="36"/>
      <c r="BA777" s="36"/>
      <c r="BB777" s="36"/>
      <c r="BC777" s="36"/>
      <c r="BD777" s="36"/>
      <c r="BE777" s="36"/>
      <c r="BF777" s="36"/>
      <c r="BG777" s="36"/>
      <c r="BH777" s="36"/>
      <c r="BI777" s="36"/>
      <c r="BJ777" s="36"/>
      <c r="BK777" s="36"/>
      <c r="BL777" s="36"/>
      <c r="BM777" s="36"/>
      <c r="BN777" s="36"/>
      <c r="BO777" s="36"/>
      <c r="BP777" s="36"/>
      <c r="BQ777" s="36"/>
    </row>
    <row r="778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51"/>
      <c r="S778" s="51"/>
      <c r="T778" s="51"/>
      <c r="U778" s="51"/>
      <c r="V778" s="51"/>
      <c r="W778" s="51"/>
      <c r="X778" s="51"/>
      <c r="Y778" s="45"/>
      <c r="Z778" s="45"/>
      <c r="AA778" s="45"/>
      <c r="AB778" s="45"/>
      <c r="AC778" s="45"/>
      <c r="AD778" s="45"/>
      <c r="AE778" s="45"/>
      <c r="AF778" s="45"/>
      <c r="AG778" s="45"/>
      <c r="AH778" s="45"/>
      <c r="AI778" s="45"/>
      <c r="AJ778" s="45"/>
      <c r="AK778" s="45"/>
      <c r="AL778" s="45"/>
      <c r="AM778" s="45"/>
      <c r="AN778" s="45"/>
      <c r="AO778" s="45"/>
      <c r="AP778" s="45"/>
      <c r="AQ778" s="36"/>
      <c r="AR778" s="36"/>
      <c r="AS778" s="36"/>
      <c r="AT778" s="36"/>
      <c r="AU778" s="36"/>
      <c r="AV778" s="36"/>
      <c r="AW778" s="36"/>
      <c r="AX778" s="36"/>
      <c r="AY778" s="36"/>
      <c r="AZ778" s="36"/>
      <c r="BA778" s="36"/>
      <c r="BB778" s="36"/>
      <c r="BC778" s="36"/>
      <c r="BD778" s="36"/>
      <c r="BE778" s="36"/>
      <c r="BF778" s="36"/>
      <c r="BG778" s="36"/>
      <c r="BH778" s="36"/>
      <c r="BI778" s="36"/>
      <c r="BJ778" s="36"/>
      <c r="BK778" s="36"/>
      <c r="BL778" s="36"/>
      <c r="BM778" s="36"/>
      <c r="BN778" s="36"/>
      <c r="BO778" s="36"/>
      <c r="BP778" s="36"/>
      <c r="BQ778" s="36"/>
    </row>
    <row r="779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51"/>
      <c r="S779" s="51"/>
      <c r="T779" s="51"/>
      <c r="U779" s="51"/>
      <c r="V779" s="51"/>
      <c r="W779" s="51"/>
      <c r="X779" s="51"/>
      <c r="Y779" s="45"/>
      <c r="Z779" s="45"/>
      <c r="AA779" s="45"/>
      <c r="AB779" s="45"/>
      <c r="AC779" s="45"/>
      <c r="AD779" s="45"/>
      <c r="AE779" s="45"/>
      <c r="AF779" s="45"/>
      <c r="AG779" s="45"/>
      <c r="AH779" s="45"/>
      <c r="AI779" s="45"/>
      <c r="AJ779" s="45"/>
      <c r="AK779" s="45"/>
      <c r="AL779" s="45"/>
      <c r="AM779" s="45"/>
      <c r="AN779" s="45"/>
      <c r="AO779" s="45"/>
      <c r="AP779" s="45"/>
      <c r="AQ779" s="36"/>
      <c r="AR779" s="36"/>
      <c r="AS779" s="36"/>
      <c r="AT779" s="36"/>
      <c r="AU779" s="36"/>
      <c r="AV779" s="36"/>
      <c r="AW779" s="36"/>
      <c r="AX779" s="36"/>
      <c r="AY779" s="36"/>
      <c r="AZ779" s="36"/>
      <c r="BA779" s="36"/>
      <c r="BB779" s="36"/>
      <c r="BC779" s="36"/>
      <c r="BD779" s="36"/>
      <c r="BE779" s="36"/>
      <c r="BF779" s="36"/>
      <c r="BG779" s="36"/>
      <c r="BH779" s="36"/>
      <c r="BI779" s="36"/>
      <c r="BJ779" s="36"/>
      <c r="BK779" s="36"/>
      <c r="BL779" s="36"/>
      <c r="BM779" s="36"/>
      <c r="BN779" s="36"/>
      <c r="BO779" s="36"/>
      <c r="BP779" s="36"/>
      <c r="BQ779" s="36"/>
    </row>
    <row r="780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51"/>
      <c r="S780" s="51"/>
      <c r="T780" s="51"/>
      <c r="U780" s="51"/>
      <c r="V780" s="51"/>
      <c r="W780" s="51"/>
      <c r="X780" s="51"/>
      <c r="Y780" s="45"/>
      <c r="Z780" s="45"/>
      <c r="AA780" s="45"/>
      <c r="AB780" s="45"/>
      <c r="AC780" s="45"/>
      <c r="AD780" s="45"/>
      <c r="AE780" s="45"/>
      <c r="AF780" s="45"/>
      <c r="AG780" s="45"/>
      <c r="AH780" s="45"/>
      <c r="AI780" s="45"/>
      <c r="AJ780" s="45"/>
      <c r="AK780" s="45"/>
      <c r="AL780" s="45"/>
      <c r="AM780" s="45"/>
      <c r="AN780" s="45"/>
      <c r="AO780" s="45"/>
      <c r="AP780" s="45"/>
      <c r="AQ780" s="36"/>
      <c r="AR780" s="36"/>
      <c r="AS780" s="36"/>
      <c r="AT780" s="36"/>
      <c r="AU780" s="36"/>
      <c r="AV780" s="36"/>
      <c r="AW780" s="36"/>
      <c r="AX780" s="36"/>
      <c r="AY780" s="36"/>
      <c r="AZ780" s="36"/>
      <c r="BA780" s="36"/>
      <c r="BB780" s="36"/>
      <c r="BC780" s="36"/>
      <c r="BD780" s="36"/>
      <c r="BE780" s="36"/>
      <c r="BF780" s="36"/>
      <c r="BG780" s="36"/>
      <c r="BH780" s="36"/>
      <c r="BI780" s="36"/>
      <c r="BJ780" s="36"/>
      <c r="BK780" s="36"/>
      <c r="BL780" s="36"/>
      <c r="BM780" s="36"/>
      <c r="BN780" s="36"/>
      <c r="BO780" s="36"/>
      <c r="BP780" s="36"/>
      <c r="BQ780" s="36"/>
    </row>
    <row r="78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51"/>
      <c r="S781" s="51"/>
      <c r="T781" s="51"/>
      <c r="U781" s="51"/>
      <c r="V781" s="51"/>
      <c r="W781" s="51"/>
      <c r="X781" s="51"/>
      <c r="Y781" s="45"/>
      <c r="Z781" s="45"/>
      <c r="AA781" s="45"/>
      <c r="AB781" s="45"/>
      <c r="AC781" s="45"/>
      <c r="AD781" s="45"/>
      <c r="AE781" s="45"/>
      <c r="AF781" s="45"/>
      <c r="AG781" s="45"/>
      <c r="AH781" s="45"/>
      <c r="AI781" s="45"/>
      <c r="AJ781" s="45"/>
      <c r="AK781" s="45"/>
      <c r="AL781" s="45"/>
      <c r="AM781" s="45"/>
      <c r="AN781" s="45"/>
      <c r="AO781" s="45"/>
      <c r="AP781" s="45"/>
      <c r="AQ781" s="36"/>
      <c r="AR781" s="36"/>
      <c r="AS781" s="36"/>
      <c r="AT781" s="36"/>
      <c r="AU781" s="36"/>
      <c r="AV781" s="36"/>
      <c r="AW781" s="36"/>
      <c r="AX781" s="36"/>
      <c r="AY781" s="36"/>
      <c r="AZ781" s="36"/>
      <c r="BA781" s="36"/>
      <c r="BB781" s="36"/>
      <c r="BC781" s="36"/>
      <c r="BD781" s="36"/>
      <c r="BE781" s="36"/>
      <c r="BF781" s="36"/>
      <c r="BG781" s="36"/>
      <c r="BH781" s="36"/>
      <c r="BI781" s="36"/>
      <c r="BJ781" s="36"/>
      <c r="BK781" s="36"/>
      <c r="BL781" s="36"/>
      <c r="BM781" s="36"/>
      <c r="BN781" s="36"/>
      <c r="BO781" s="36"/>
      <c r="BP781" s="36"/>
      <c r="BQ781" s="36"/>
    </row>
    <row r="78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51"/>
      <c r="S782" s="51"/>
      <c r="T782" s="51"/>
      <c r="U782" s="51"/>
      <c r="V782" s="51"/>
      <c r="W782" s="51"/>
      <c r="X782" s="51"/>
      <c r="Y782" s="45"/>
      <c r="Z782" s="45"/>
      <c r="AA782" s="45"/>
      <c r="AB782" s="45"/>
      <c r="AC782" s="45"/>
      <c r="AD782" s="45"/>
      <c r="AE782" s="45"/>
      <c r="AF782" s="45"/>
      <c r="AG782" s="45"/>
      <c r="AH782" s="45"/>
      <c r="AI782" s="45"/>
      <c r="AJ782" s="45"/>
      <c r="AK782" s="45"/>
      <c r="AL782" s="45"/>
      <c r="AM782" s="45"/>
      <c r="AN782" s="45"/>
      <c r="AO782" s="45"/>
      <c r="AP782" s="45"/>
      <c r="AQ782" s="36"/>
      <c r="AR782" s="36"/>
      <c r="AS782" s="36"/>
      <c r="AT782" s="36"/>
      <c r="AU782" s="36"/>
      <c r="AV782" s="36"/>
      <c r="AW782" s="36"/>
      <c r="AX782" s="36"/>
      <c r="AY782" s="36"/>
      <c r="AZ782" s="36"/>
      <c r="BA782" s="36"/>
      <c r="BB782" s="36"/>
      <c r="BC782" s="36"/>
      <c r="BD782" s="36"/>
      <c r="BE782" s="36"/>
      <c r="BF782" s="36"/>
      <c r="BG782" s="36"/>
      <c r="BH782" s="36"/>
      <c r="BI782" s="36"/>
      <c r="BJ782" s="36"/>
      <c r="BK782" s="36"/>
      <c r="BL782" s="36"/>
      <c r="BM782" s="36"/>
      <c r="BN782" s="36"/>
      <c r="BO782" s="36"/>
      <c r="BP782" s="36"/>
      <c r="BQ782" s="36"/>
    </row>
    <row r="783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51"/>
      <c r="S783" s="51"/>
      <c r="T783" s="51"/>
      <c r="U783" s="51"/>
      <c r="V783" s="51"/>
      <c r="W783" s="51"/>
      <c r="X783" s="51"/>
      <c r="Y783" s="45"/>
      <c r="Z783" s="45"/>
      <c r="AA783" s="45"/>
      <c r="AB783" s="45"/>
      <c r="AC783" s="45"/>
      <c r="AD783" s="45"/>
      <c r="AE783" s="45"/>
      <c r="AF783" s="45"/>
      <c r="AG783" s="45"/>
      <c r="AH783" s="45"/>
      <c r="AI783" s="45"/>
      <c r="AJ783" s="45"/>
      <c r="AK783" s="45"/>
      <c r="AL783" s="45"/>
      <c r="AM783" s="45"/>
      <c r="AN783" s="45"/>
      <c r="AO783" s="45"/>
      <c r="AP783" s="45"/>
      <c r="AQ783" s="36"/>
      <c r="AR783" s="36"/>
      <c r="AS783" s="36"/>
      <c r="AT783" s="36"/>
      <c r="AU783" s="36"/>
      <c r="AV783" s="36"/>
      <c r="AW783" s="36"/>
      <c r="AX783" s="36"/>
      <c r="AY783" s="36"/>
      <c r="AZ783" s="36"/>
      <c r="BA783" s="36"/>
      <c r="BB783" s="36"/>
      <c r="BC783" s="36"/>
      <c r="BD783" s="36"/>
      <c r="BE783" s="36"/>
      <c r="BF783" s="36"/>
      <c r="BG783" s="36"/>
      <c r="BH783" s="36"/>
      <c r="BI783" s="36"/>
      <c r="BJ783" s="36"/>
      <c r="BK783" s="36"/>
      <c r="BL783" s="36"/>
      <c r="BM783" s="36"/>
      <c r="BN783" s="36"/>
      <c r="BO783" s="36"/>
      <c r="BP783" s="36"/>
      <c r="BQ783" s="36"/>
    </row>
    <row r="784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51"/>
      <c r="S784" s="51"/>
      <c r="T784" s="51"/>
      <c r="U784" s="51"/>
      <c r="V784" s="51"/>
      <c r="W784" s="51"/>
      <c r="X784" s="51"/>
      <c r="Y784" s="45"/>
      <c r="Z784" s="45"/>
      <c r="AA784" s="45"/>
      <c r="AB784" s="45"/>
      <c r="AC784" s="45"/>
      <c r="AD784" s="45"/>
      <c r="AE784" s="45"/>
      <c r="AF784" s="45"/>
      <c r="AG784" s="45"/>
      <c r="AH784" s="45"/>
      <c r="AI784" s="45"/>
      <c r="AJ784" s="45"/>
      <c r="AK784" s="45"/>
      <c r="AL784" s="45"/>
      <c r="AM784" s="45"/>
      <c r="AN784" s="45"/>
      <c r="AO784" s="45"/>
      <c r="AP784" s="45"/>
      <c r="AQ784" s="36"/>
      <c r="AR784" s="36"/>
      <c r="AS784" s="36"/>
      <c r="AT784" s="36"/>
      <c r="AU784" s="36"/>
      <c r="AV784" s="36"/>
      <c r="AW784" s="36"/>
      <c r="AX784" s="36"/>
      <c r="AY784" s="36"/>
      <c r="AZ784" s="36"/>
      <c r="BA784" s="36"/>
      <c r="BB784" s="36"/>
      <c r="BC784" s="36"/>
      <c r="BD784" s="36"/>
      <c r="BE784" s="36"/>
      <c r="BF784" s="36"/>
      <c r="BG784" s="36"/>
      <c r="BH784" s="36"/>
      <c r="BI784" s="36"/>
      <c r="BJ784" s="36"/>
      <c r="BK784" s="36"/>
      <c r="BL784" s="36"/>
      <c r="BM784" s="36"/>
      <c r="BN784" s="36"/>
      <c r="BO784" s="36"/>
      <c r="BP784" s="36"/>
      <c r="BQ784" s="36"/>
    </row>
    <row r="78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51"/>
      <c r="S785" s="51"/>
      <c r="T785" s="51"/>
      <c r="U785" s="51"/>
      <c r="V785" s="51"/>
      <c r="W785" s="51"/>
      <c r="X785" s="51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5"/>
      <c r="AM785" s="45"/>
      <c r="AN785" s="45"/>
      <c r="AO785" s="45"/>
      <c r="AP785" s="45"/>
      <c r="AQ785" s="36"/>
      <c r="AR785" s="36"/>
      <c r="AS785" s="36"/>
      <c r="AT785" s="36"/>
      <c r="AU785" s="36"/>
      <c r="AV785" s="36"/>
      <c r="AW785" s="36"/>
      <c r="AX785" s="36"/>
      <c r="AY785" s="36"/>
      <c r="AZ785" s="36"/>
      <c r="BA785" s="36"/>
      <c r="BB785" s="36"/>
      <c r="BC785" s="36"/>
      <c r="BD785" s="36"/>
      <c r="BE785" s="36"/>
      <c r="BF785" s="36"/>
      <c r="BG785" s="36"/>
      <c r="BH785" s="36"/>
      <c r="BI785" s="36"/>
      <c r="BJ785" s="36"/>
      <c r="BK785" s="36"/>
      <c r="BL785" s="36"/>
      <c r="BM785" s="36"/>
      <c r="BN785" s="36"/>
      <c r="BO785" s="36"/>
      <c r="BP785" s="36"/>
      <c r="BQ785" s="36"/>
    </row>
    <row r="786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51"/>
      <c r="S786" s="51"/>
      <c r="T786" s="51"/>
      <c r="U786" s="51"/>
      <c r="V786" s="51"/>
      <c r="W786" s="51"/>
      <c r="X786" s="51"/>
      <c r="Y786" s="45"/>
      <c r="Z786" s="45"/>
      <c r="AA786" s="45"/>
      <c r="AB786" s="45"/>
      <c r="AC786" s="45"/>
      <c r="AD786" s="45"/>
      <c r="AE786" s="45"/>
      <c r="AF786" s="45"/>
      <c r="AG786" s="45"/>
      <c r="AH786" s="45"/>
      <c r="AI786" s="45"/>
      <c r="AJ786" s="45"/>
      <c r="AK786" s="45"/>
      <c r="AL786" s="45"/>
      <c r="AM786" s="45"/>
      <c r="AN786" s="45"/>
      <c r="AO786" s="45"/>
      <c r="AP786" s="45"/>
      <c r="AQ786" s="36"/>
      <c r="AR786" s="36"/>
      <c r="AS786" s="36"/>
      <c r="AT786" s="36"/>
      <c r="AU786" s="36"/>
      <c r="AV786" s="36"/>
      <c r="AW786" s="36"/>
      <c r="AX786" s="36"/>
      <c r="AY786" s="36"/>
      <c r="AZ786" s="36"/>
      <c r="BA786" s="36"/>
      <c r="BB786" s="36"/>
      <c r="BC786" s="36"/>
      <c r="BD786" s="36"/>
      <c r="BE786" s="36"/>
      <c r="BF786" s="36"/>
      <c r="BG786" s="36"/>
      <c r="BH786" s="36"/>
      <c r="BI786" s="36"/>
      <c r="BJ786" s="36"/>
      <c r="BK786" s="36"/>
      <c r="BL786" s="36"/>
      <c r="BM786" s="36"/>
      <c r="BN786" s="36"/>
      <c r="BO786" s="36"/>
      <c r="BP786" s="36"/>
      <c r="BQ786" s="36"/>
    </row>
    <row r="787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51"/>
      <c r="S787" s="51"/>
      <c r="T787" s="51"/>
      <c r="U787" s="51"/>
      <c r="V787" s="51"/>
      <c r="W787" s="51"/>
      <c r="X787" s="51"/>
      <c r="Y787" s="45"/>
      <c r="Z787" s="45"/>
      <c r="AA787" s="45"/>
      <c r="AB787" s="45"/>
      <c r="AC787" s="45"/>
      <c r="AD787" s="45"/>
      <c r="AE787" s="45"/>
      <c r="AF787" s="45"/>
      <c r="AG787" s="45"/>
      <c r="AH787" s="45"/>
      <c r="AI787" s="45"/>
      <c r="AJ787" s="45"/>
      <c r="AK787" s="45"/>
      <c r="AL787" s="45"/>
      <c r="AM787" s="45"/>
      <c r="AN787" s="45"/>
      <c r="AO787" s="45"/>
      <c r="AP787" s="45"/>
      <c r="AQ787" s="36"/>
      <c r="AR787" s="36"/>
      <c r="AS787" s="36"/>
      <c r="AT787" s="36"/>
      <c r="AU787" s="36"/>
      <c r="AV787" s="36"/>
      <c r="AW787" s="36"/>
      <c r="AX787" s="36"/>
      <c r="AY787" s="36"/>
      <c r="AZ787" s="36"/>
      <c r="BA787" s="36"/>
      <c r="BB787" s="36"/>
      <c r="BC787" s="36"/>
      <c r="BD787" s="36"/>
      <c r="BE787" s="36"/>
      <c r="BF787" s="36"/>
      <c r="BG787" s="36"/>
      <c r="BH787" s="36"/>
      <c r="BI787" s="36"/>
      <c r="BJ787" s="36"/>
      <c r="BK787" s="36"/>
      <c r="BL787" s="36"/>
      <c r="BM787" s="36"/>
      <c r="BN787" s="36"/>
      <c r="BO787" s="36"/>
      <c r="BP787" s="36"/>
      <c r="BQ787" s="36"/>
    </row>
    <row r="788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51"/>
      <c r="S788" s="51"/>
      <c r="T788" s="51"/>
      <c r="U788" s="51"/>
      <c r="V788" s="51"/>
      <c r="W788" s="51"/>
      <c r="X788" s="51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5"/>
      <c r="AM788" s="45"/>
      <c r="AN788" s="45"/>
      <c r="AO788" s="45"/>
      <c r="AP788" s="45"/>
      <c r="AQ788" s="36"/>
      <c r="AR788" s="36"/>
      <c r="AS788" s="36"/>
      <c r="AT788" s="36"/>
      <c r="AU788" s="36"/>
      <c r="AV788" s="36"/>
      <c r="AW788" s="36"/>
      <c r="AX788" s="36"/>
      <c r="AY788" s="36"/>
      <c r="AZ788" s="36"/>
      <c r="BA788" s="36"/>
      <c r="BB788" s="36"/>
      <c r="BC788" s="36"/>
      <c r="BD788" s="36"/>
      <c r="BE788" s="36"/>
      <c r="BF788" s="36"/>
      <c r="BG788" s="36"/>
      <c r="BH788" s="36"/>
      <c r="BI788" s="36"/>
      <c r="BJ788" s="36"/>
      <c r="BK788" s="36"/>
      <c r="BL788" s="36"/>
      <c r="BM788" s="36"/>
      <c r="BN788" s="36"/>
      <c r="BO788" s="36"/>
      <c r="BP788" s="36"/>
      <c r="BQ788" s="36"/>
    </row>
    <row r="789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51"/>
      <c r="S789" s="51"/>
      <c r="T789" s="51"/>
      <c r="U789" s="51"/>
      <c r="V789" s="51"/>
      <c r="W789" s="51"/>
      <c r="X789" s="51"/>
      <c r="Y789" s="45"/>
      <c r="Z789" s="45"/>
      <c r="AA789" s="45"/>
      <c r="AB789" s="45"/>
      <c r="AC789" s="45"/>
      <c r="AD789" s="45"/>
      <c r="AE789" s="45"/>
      <c r="AF789" s="45"/>
      <c r="AG789" s="45"/>
      <c r="AH789" s="45"/>
      <c r="AI789" s="45"/>
      <c r="AJ789" s="45"/>
      <c r="AK789" s="45"/>
      <c r="AL789" s="45"/>
      <c r="AM789" s="45"/>
      <c r="AN789" s="45"/>
      <c r="AO789" s="45"/>
      <c r="AP789" s="45"/>
      <c r="AQ789" s="36"/>
      <c r="AR789" s="36"/>
      <c r="AS789" s="36"/>
      <c r="AT789" s="36"/>
      <c r="AU789" s="36"/>
      <c r="AV789" s="36"/>
      <c r="AW789" s="36"/>
      <c r="AX789" s="36"/>
      <c r="AY789" s="36"/>
      <c r="AZ789" s="36"/>
      <c r="BA789" s="36"/>
      <c r="BB789" s="36"/>
      <c r="BC789" s="36"/>
      <c r="BD789" s="36"/>
      <c r="BE789" s="36"/>
      <c r="BF789" s="36"/>
      <c r="BG789" s="36"/>
      <c r="BH789" s="36"/>
      <c r="BI789" s="36"/>
      <c r="BJ789" s="36"/>
      <c r="BK789" s="36"/>
      <c r="BL789" s="36"/>
      <c r="BM789" s="36"/>
      <c r="BN789" s="36"/>
      <c r="BO789" s="36"/>
      <c r="BP789" s="36"/>
      <c r="BQ789" s="36"/>
    </row>
    <row r="790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51"/>
      <c r="S790" s="51"/>
      <c r="T790" s="51"/>
      <c r="U790" s="51"/>
      <c r="V790" s="51"/>
      <c r="W790" s="51"/>
      <c r="X790" s="51"/>
      <c r="Y790" s="45"/>
      <c r="Z790" s="45"/>
      <c r="AA790" s="45"/>
      <c r="AB790" s="45"/>
      <c r="AC790" s="45"/>
      <c r="AD790" s="45"/>
      <c r="AE790" s="45"/>
      <c r="AF790" s="45"/>
      <c r="AG790" s="45"/>
      <c r="AH790" s="45"/>
      <c r="AI790" s="45"/>
      <c r="AJ790" s="45"/>
      <c r="AK790" s="45"/>
      <c r="AL790" s="45"/>
      <c r="AM790" s="45"/>
      <c r="AN790" s="45"/>
      <c r="AO790" s="45"/>
      <c r="AP790" s="45"/>
      <c r="AQ790" s="36"/>
      <c r="AR790" s="36"/>
      <c r="AS790" s="36"/>
      <c r="AT790" s="36"/>
      <c r="AU790" s="36"/>
      <c r="AV790" s="36"/>
      <c r="AW790" s="36"/>
      <c r="AX790" s="36"/>
      <c r="AY790" s="36"/>
      <c r="AZ790" s="36"/>
      <c r="BA790" s="36"/>
      <c r="BB790" s="36"/>
      <c r="BC790" s="36"/>
      <c r="BD790" s="36"/>
      <c r="BE790" s="36"/>
      <c r="BF790" s="36"/>
      <c r="BG790" s="36"/>
      <c r="BH790" s="36"/>
      <c r="BI790" s="36"/>
      <c r="BJ790" s="36"/>
      <c r="BK790" s="36"/>
      <c r="BL790" s="36"/>
      <c r="BM790" s="36"/>
      <c r="BN790" s="36"/>
      <c r="BO790" s="36"/>
      <c r="BP790" s="36"/>
      <c r="BQ790" s="36"/>
    </row>
    <row r="79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51"/>
      <c r="S791" s="51"/>
      <c r="T791" s="51"/>
      <c r="U791" s="51"/>
      <c r="V791" s="51"/>
      <c r="W791" s="51"/>
      <c r="X791" s="51"/>
      <c r="Y791" s="45"/>
      <c r="Z791" s="45"/>
      <c r="AA791" s="45"/>
      <c r="AB791" s="45"/>
      <c r="AC791" s="45"/>
      <c r="AD791" s="45"/>
      <c r="AE791" s="45"/>
      <c r="AF791" s="45"/>
      <c r="AG791" s="45"/>
      <c r="AH791" s="45"/>
      <c r="AI791" s="45"/>
      <c r="AJ791" s="45"/>
      <c r="AK791" s="45"/>
      <c r="AL791" s="45"/>
      <c r="AM791" s="45"/>
      <c r="AN791" s="45"/>
      <c r="AO791" s="45"/>
      <c r="AP791" s="45"/>
      <c r="AQ791" s="36"/>
      <c r="AR791" s="36"/>
      <c r="AS791" s="36"/>
      <c r="AT791" s="36"/>
      <c r="AU791" s="36"/>
      <c r="AV791" s="36"/>
      <c r="AW791" s="36"/>
      <c r="AX791" s="36"/>
      <c r="AY791" s="36"/>
      <c r="AZ791" s="36"/>
      <c r="BA791" s="36"/>
      <c r="BB791" s="36"/>
      <c r="BC791" s="36"/>
      <c r="BD791" s="36"/>
      <c r="BE791" s="36"/>
      <c r="BF791" s="36"/>
      <c r="BG791" s="36"/>
      <c r="BH791" s="36"/>
      <c r="BI791" s="36"/>
      <c r="BJ791" s="36"/>
      <c r="BK791" s="36"/>
      <c r="BL791" s="36"/>
      <c r="BM791" s="36"/>
      <c r="BN791" s="36"/>
      <c r="BO791" s="36"/>
      <c r="BP791" s="36"/>
      <c r="BQ791" s="36"/>
    </row>
    <row r="79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51"/>
      <c r="S792" s="51"/>
      <c r="T792" s="51"/>
      <c r="U792" s="51"/>
      <c r="V792" s="51"/>
      <c r="W792" s="51"/>
      <c r="X792" s="51"/>
      <c r="Y792" s="45"/>
      <c r="Z792" s="45"/>
      <c r="AA792" s="45"/>
      <c r="AB792" s="45"/>
      <c r="AC792" s="45"/>
      <c r="AD792" s="45"/>
      <c r="AE792" s="45"/>
      <c r="AF792" s="45"/>
      <c r="AG792" s="45"/>
      <c r="AH792" s="45"/>
      <c r="AI792" s="45"/>
      <c r="AJ792" s="45"/>
      <c r="AK792" s="45"/>
      <c r="AL792" s="45"/>
      <c r="AM792" s="45"/>
      <c r="AN792" s="45"/>
      <c r="AO792" s="45"/>
      <c r="AP792" s="45"/>
      <c r="AQ792" s="36"/>
      <c r="AR792" s="36"/>
      <c r="AS792" s="36"/>
      <c r="AT792" s="36"/>
      <c r="AU792" s="36"/>
      <c r="AV792" s="36"/>
      <c r="AW792" s="36"/>
      <c r="AX792" s="36"/>
      <c r="AY792" s="36"/>
      <c r="AZ792" s="36"/>
      <c r="BA792" s="36"/>
      <c r="BB792" s="36"/>
      <c r="BC792" s="36"/>
      <c r="BD792" s="36"/>
      <c r="BE792" s="36"/>
      <c r="BF792" s="36"/>
      <c r="BG792" s="36"/>
      <c r="BH792" s="36"/>
      <c r="BI792" s="36"/>
      <c r="BJ792" s="36"/>
      <c r="BK792" s="36"/>
      <c r="BL792" s="36"/>
      <c r="BM792" s="36"/>
      <c r="BN792" s="36"/>
      <c r="BO792" s="36"/>
      <c r="BP792" s="36"/>
      <c r="BQ792" s="36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51"/>
      <c r="S793" s="51"/>
      <c r="T793" s="51"/>
      <c r="U793" s="51"/>
      <c r="V793" s="51"/>
      <c r="W793" s="51"/>
      <c r="X793" s="51"/>
      <c r="Y793" s="45"/>
      <c r="Z793" s="45"/>
      <c r="AA793" s="45"/>
      <c r="AB793" s="45"/>
      <c r="AC793" s="45"/>
      <c r="AD793" s="45"/>
      <c r="AE793" s="45"/>
      <c r="AF793" s="45"/>
      <c r="AG793" s="45"/>
      <c r="AH793" s="45"/>
      <c r="AI793" s="45"/>
      <c r="AJ793" s="45"/>
      <c r="AK793" s="45"/>
      <c r="AL793" s="45"/>
      <c r="AM793" s="45"/>
      <c r="AN793" s="45"/>
      <c r="AO793" s="45"/>
      <c r="AP793" s="45"/>
      <c r="AQ793" s="36"/>
      <c r="AR793" s="36"/>
      <c r="AS793" s="36"/>
      <c r="AT793" s="36"/>
      <c r="AU793" s="36"/>
      <c r="AV793" s="36"/>
      <c r="AW793" s="36"/>
      <c r="AX793" s="36"/>
      <c r="AY793" s="36"/>
      <c r="AZ793" s="36"/>
      <c r="BA793" s="36"/>
      <c r="BB793" s="36"/>
      <c r="BC793" s="36"/>
      <c r="BD793" s="36"/>
      <c r="BE793" s="36"/>
      <c r="BF793" s="36"/>
      <c r="BG793" s="36"/>
      <c r="BH793" s="36"/>
      <c r="BI793" s="36"/>
      <c r="BJ793" s="36"/>
      <c r="BK793" s="36"/>
      <c r="BL793" s="36"/>
      <c r="BM793" s="36"/>
      <c r="BN793" s="36"/>
      <c r="BO793" s="36"/>
      <c r="BP793" s="36"/>
      <c r="BQ793" s="36"/>
    </row>
    <row r="794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51"/>
      <c r="S794" s="51"/>
      <c r="T794" s="51"/>
      <c r="U794" s="51"/>
      <c r="V794" s="51"/>
      <c r="W794" s="51"/>
      <c r="X794" s="51"/>
      <c r="Y794" s="45"/>
      <c r="Z794" s="45"/>
      <c r="AA794" s="45"/>
      <c r="AB794" s="45"/>
      <c r="AC794" s="45"/>
      <c r="AD794" s="45"/>
      <c r="AE794" s="45"/>
      <c r="AF794" s="45"/>
      <c r="AG794" s="45"/>
      <c r="AH794" s="45"/>
      <c r="AI794" s="45"/>
      <c r="AJ794" s="45"/>
      <c r="AK794" s="45"/>
      <c r="AL794" s="45"/>
      <c r="AM794" s="45"/>
      <c r="AN794" s="45"/>
      <c r="AO794" s="45"/>
      <c r="AP794" s="45"/>
      <c r="AQ794" s="36"/>
      <c r="AR794" s="36"/>
      <c r="AS794" s="36"/>
      <c r="AT794" s="36"/>
      <c r="AU794" s="36"/>
      <c r="AV794" s="36"/>
      <c r="AW794" s="36"/>
      <c r="AX794" s="36"/>
      <c r="AY794" s="36"/>
      <c r="AZ794" s="36"/>
      <c r="BA794" s="36"/>
      <c r="BB794" s="36"/>
      <c r="BC794" s="36"/>
      <c r="BD794" s="36"/>
      <c r="BE794" s="36"/>
      <c r="BF794" s="36"/>
      <c r="BG794" s="36"/>
      <c r="BH794" s="36"/>
      <c r="BI794" s="36"/>
      <c r="BJ794" s="36"/>
      <c r="BK794" s="36"/>
      <c r="BL794" s="36"/>
      <c r="BM794" s="36"/>
      <c r="BN794" s="36"/>
      <c r="BO794" s="36"/>
      <c r="BP794" s="36"/>
      <c r="BQ794" s="36"/>
    </row>
    <row r="79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51"/>
      <c r="S795" s="51"/>
      <c r="T795" s="51"/>
      <c r="U795" s="51"/>
      <c r="V795" s="51"/>
      <c r="W795" s="51"/>
      <c r="X795" s="51"/>
      <c r="Y795" s="45"/>
      <c r="Z795" s="45"/>
      <c r="AA795" s="45"/>
      <c r="AB795" s="45"/>
      <c r="AC795" s="45"/>
      <c r="AD795" s="45"/>
      <c r="AE795" s="45"/>
      <c r="AF795" s="45"/>
      <c r="AG795" s="45"/>
      <c r="AH795" s="45"/>
      <c r="AI795" s="45"/>
      <c r="AJ795" s="45"/>
      <c r="AK795" s="45"/>
      <c r="AL795" s="45"/>
      <c r="AM795" s="45"/>
      <c r="AN795" s="45"/>
      <c r="AO795" s="45"/>
      <c r="AP795" s="45"/>
      <c r="AQ795" s="36"/>
      <c r="AR795" s="36"/>
      <c r="AS795" s="36"/>
      <c r="AT795" s="36"/>
      <c r="AU795" s="36"/>
      <c r="AV795" s="36"/>
      <c r="AW795" s="36"/>
      <c r="AX795" s="36"/>
      <c r="AY795" s="36"/>
      <c r="AZ795" s="36"/>
      <c r="BA795" s="36"/>
      <c r="BB795" s="36"/>
      <c r="BC795" s="36"/>
      <c r="BD795" s="36"/>
      <c r="BE795" s="36"/>
      <c r="BF795" s="36"/>
      <c r="BG795" s="36"/>
      <c r="BH795" s="36"/>
      <c r="BI795" s="36"/>
      <c r="BJ795" s="36"/>
      <c r="BK795" s="36"/>
      <c r="BL795" s="36"/>
      <c r="BM795" s="36"/>
      <c r="BN795" s="36"/>
      <c r="BO795" s="36"/>
      <c r="BP795" s="36"/>
      <c r="BQ795" s="36"/>
    </row>
    <row r="796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51"/>
      <c r="S796" s="51"/>
      <c r="T796" s="51"/>
      <c r="U796" s="51"/>
      <c r="V796" s="51"/>
      <c r="W796" s="51"/>
      <c r="X796" s="51"/>
      <c r="Y796" s="45"/>
      <c r="Z796" s="45"/>
      <c r="AA796" s="45"/>
      <c r="AB796" s="45"/>
      <c r="AC796" s="45"/>
      <c r="AD796" s="45"/>
      <c r="AE796" s="45"/>
      <c r="AF796" s="45"/>
      <c r="AG796" s="45"/>
      <c r="AH796" s="45"/>
      <c r="AI796" s="45"/>
      <c r="AJ796" s="45"/>
      <c r="AK796" s="45"/>
      <c r="AL796" s="45"/>
      <c r="AM796" s="45"/>
      <c r="AN796" s="45"/>
      <c r="AO796" s="45"/>
      <c r="AP796" s="45"/>
      <c r="AQ796" s="36"/>
      <c r="AR796" s="36"/>
      <c r="AS796" s="36"/>
      <c r="AT796" s="36"/>
      <c r="AU796" s="36"/>
      <c r="AV796" s="36"/>
      <c r="AW796" s="36"/>
      <c r="AX796" s="36"/>
      <c r="AY796" s="36"/>
      <c r="AZ796" s="36"/>
      <c r="BA796" s="36"/>
      <c r="BB796" s="36"/>
      <c r="BC796" s="36"/>
      <c r="BD796" s="36"/>
      <c r="BE796" s="36"/>
      <c r="BF796" s="36"/>
      <c r="BG796" s="36"/>
      <c r="BH796" s="36"/>
      <c r="BI796" s="36"/>
      <c r="BJ796" s="36"/>
      <c r="BK796" s="36"/>
      <c r="BL796" s="36"/>
      <c r="BM796" s="36"/>
      <c r="BN796" s="36"/>
      <c r="BO796" s="36"/>
      <c r="BP796" s="36"/>
      <c r="BQ796" s="36"/>
    </row>
    <row r="797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51"/>
      <c r="S797" s="51"/>
      <c r="T797" s="51"/>
      <c r="U797" s="51"/>
      <c r="V797" s="51"/>
      <c r="W797" s="51"/>
      <c r="X797" s="51"/>
      <c r="Y797" s="45"/>
      <c r="Z797" s="45"/>
      <c r="AA797" s="45"/>
      <c r="AB797" s="45"/>
      <c r="AC797" s="45"/>
      <c r="AD797" s="45"/>
      <c r="AE797" s="45"/>
      <c r="AF797" s="45"/>
      <c r="AG797" s="45"/>
      <c r="AH797" s="45"/>
      <c r="AI797" s="45"/>
      <c r="AJ797" s="45"/>
      <c r="AK797" s="45"/>
      <c r="AL797" s="45"/>
      <c r="AM797" s="45"/>
      <c r="AN797" s="45"/>
      <c r="AO797" s="45"/>
      <c r="AP797" s="45"/>
      <c r="AQ797" s="36"/>
      <c r="AR797" s="36"/>
      <c r="AS797" s="36"/>
      <c r="AT797" s="36"/>
      <c r="AU797" s="36"/>
      <c r="AV797" s="36"/>
      <c r="AW797" s="36"/>
      <c r="AX797" s="36"/>
      <c r="AY797" s="36"/>
      <c r="AZ797" s="36"/>
      <c r="BA797" s="36"/>
      <c r="BB797" s="36"/>
      <c r="BC797" s="36"/>
      <c r="BD797" s="36"/>
      <c r="BE797" s="36"/>
      <c r="BF797" s="36"/>
      <c r="BG797" s="36"/>
      <c r="BH797" s="36"/>
      <c r="BI797" s="36"/>
      <c r="BJ797" s="36"/>
      <c r="BK797" s="36"/>
      <c r="BL797" s="36"/>
      <c r="BM797" s="36"/>
      <c r="BN797" s="36"/>
      <c r="BO797" s="36"/>
      <c r="BP797" s="36"/>
      <c r="BQ797" s="36"/>
    </row>
    <row r="798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51"/>
      <c r="S798" s="51"/>
      <c r="T798" s="51"/>
      <c r="U798" s="51"/>
      <c r="V798" s="51"/>
      <c r="W798" s="51"/>
      <c r="X798" s="51"/>
      <c r="Y798" s="45"/>
      <c r="Z798" s="45"/>
      <c r="AA798" s="45"/>
      <c r="AB798" s="45"/>
      <c r="AC798" s="45"/>
      <c r="AD798" s="45"/>
      <c r="AE798" s="45"/>
      <c r="AF798" s="45"/>
      <c r="AG798" s="45"/>
      <c r="AH798" s="45"/>
      <c r="AI798" s="45"/>
      <c r="AJ798" s="45"/>
      <c r="AK798" s="45"/>
      <c r="AL798" s="45"/>
      <c r="AM798" s="45"/>
      <c r="AN798" s="45"/>
      <c r="AO798" s="45"/>
      <c r="AP798" s="45"/>
      <c r="AQ798" s="36"/>
      <c r="AR798" s="36"/>
      <c r="AS798" s="36"/>
      <c r="AT798" s="36"/>
      <c r="AU798" s="36"/>
      <c r="AV798" s="36"/>
      <c r="AW798" s="36"/>
      <c r="AX798" s="36"/>
      <c r="AY798" s="36"/>
      <c r="AZ798" s="36"/>
      <c r="BA798" s="36"/>
      <c r="BB798" s="36"/>
      <c r="BC798" s="36"/>
      <c r="BD798" s="36"/>
      <c r="BE798" s="36"/>
      <c r="BF798" s="36"/>
      <c r="BG798" s="36"/>
      <c r="BH798" s="36"/>
      <c r="BI798" s="36"/>
      <c r="BJ798" s="36"/>
      <c r="BK798" s="36"/>
      <c r="BL798" s="36"/>
      <c r="BM798" s="36"/>
      <c r="BN798" s="36"/>
      <c r="BO798" s="36"/>
      <c r="BP798" s="36"/>
      <c r="BQ798" s="36"/>
    </row>
    <row r="799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51"/>
      <c r="S799" s="51"/>
      <c r="T799" s="51"/>
      <c r="U799" s="51"/>
      <c r="V799" s="51"/>
      <c r="W799" s="51"/>
      <c r="X799" s="51"/>
      <c r="Y799" s="45"/>
      <c r="Z799" s="45"/>
      <c r="AA799" s="45"/>
      <c r="AB799" s="45"/>
      <c r="AC799" s="45"/>
      <c r="AD799" s="45"/>
      <c r="AE799" s="45"/>
      <c r="AF799" s="45"/>
      <c r="AG799" s="45"/>
      <c r="AH799" s="45"/>
      <c r="AI799" s="45"/>
      <c r="AJ799" s="45"/>
      <c r="AK799" s="45"/>
      <c r="AL799" s="45"/>
      <c r="AM799" s="45"/>
      <c r="AN799" s="45"/>
      <c r="AO799" s="45"/>
      <c r="AP799" s="45"/>
      <c r="AQ799" s="36"/>
      <c r="AR799" s="36"/>
      <c r="AS799" s="36"/>
      <c r="AT799" s="36"/>
      <c r="AU799" s="36"/>
      <c r="AV799" s="36"/>
      <c r="AW799" s="36"/>
      <c r="AX799" s="36"/>
      <c r="AY799" s="36"/>
      <c r="AZ799" s="36"/>
      <c r="BA799" s="36"/>
      <c r="BB799" s="36"/>
      <c r="BC799" s="36"/>
      <c r="BD799" s="36"/>
      <c r="BE799" s="36"/>
      <c r="BF799" s="36"/>
      <c r="BG799" s="36"/>
      <c r="BH799" s="36"/>
      <c r="BI799" s="36"/>
      <c r="BJ799" s="36"/>
      <c r="BK799" s="36"/>
      <c r="BL799" s="36"/>
      <c r="BM799" s="36"/>
      <c r="BN799" s="36"/>
      <c r="BO799" s="36"/>
      <c r="BP799" s="36"/>
      <c r="BQ799" s="36"/>
    </row>
    <row r="800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51"/>
      <c r="S800" s="51"/>
      <c r="T800" s="51"/>
      <c r="U800" s="51"/>
      <c r="V800" s="51"/>
      <c r="W800" s="51"/>
      <c r="X800" s="51"/>
      <c r="Y800" s="45"/>
      <c r="Z800" s="45"/>
      <c r="AA800" s="45"/>
      <c r="AB800" s="45"/>
      <c r="AC800" s="45"/>
      <c r="AD800" s="45"/>
      <c r="AE800" s="45"/>
      <c r="AF800" s="45"/>
      <c r="AG800" s="45"/>
      <c r="AH800" s="45"/>
      <c r="AI800" s="45"/>
      <c r="AJ800" s="45"/>
      <c r="AK800" s="45"/>
      <c r="AL800" s="45"/>
      <c r="AM800" s="45"/>
      <c r="AN800" s="45"/>
      <c r="AO800" s="45"/>
      <c r="AP800" s="45"/>
      <c r="AQ800" s="36"/>
      <c r="AR800" s="36"/>
      <c r="AS800" s="36"/>
      <c r="AT800" s="36"/>
      <c r="AU800" s="36"/>
      <c r="AV800" s="36"/>
      <c r="AW800" s="36"/>
      <c r="AX800" s="36"/>
      <c r="AY800" s="36"/>
      <c r="AZ800" s="36"/>
      <c r="BA800" s="36"/>
      <c r="BB800" s="36"/>
      <c r="BC800" s="36"/>
      <c r="BD800" s="36"/>
      <c r="BE800" s="36"/>
      <c r="BF800" s="36"/>
      <c r="BG800" s="36"/>
      <c r="BH800" s="36"/>
      <c r="BI800" s="36"/>
      <c r="BJ800" s="36"/>
      <c r="BK800" s="36"/>
      <c r="BL800" s="36"/>
      <c r="BM800" s="36"/>
      <c r="BN800" s="36"/>
      <c r="BO800" s="36"/>
      <c r="BP800" s="36"/>
      <c r="BQ800" s="36"/>
    </row>
    <row r="80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51"/>
      <c r="S801" s="51"/>
      <c r="T801" s="51"/>
      <c r="U801" s="51"/>
      <c r="V801" s="51"/>
      <c r="W801" s="51"/>
      <c r="X801" s="51"/>
      <c r="Y801" s="45"/>
      <c r="Z801" s="45"/>
      <c r="AA801" s="45"/>
      <c r="AB801" s="45"/>
      <c r="AC801" s="45"/>
      <c r="AD801" s="45"/>
      <c r="AE801" s="45"/>
      <c r="AF801" s="45"/>
      <c r="AG801" s="45"/>
      <c r="AH801" s="45"/>
      <c r="AI801" s="45"/>
      <c r="AJ801" s="45"/>
      <c r="AK801" s="45"/>
      <c r="AL801" s="45"/>
      <c r="AM801" s="45"/>
      <c r="AN801" s="45"/>
      <c r="AO801" s="45"/>
      <c r="AP801" s="45"/>
      <c r="AQ801" s="36"/>
      <c r="AR801" s="36"/>
      <c r="AS801" s="36"/>
      <c r="AT801" s="36"/>
      <c r="AU801" s="36"/>
      <c r="AV801" s="36"/>
      <c r="AW801" s="36"/>
      <c r="AX801" s="36"/>
      <c r="AY801" s="36"/>
      <c r="AZ801" s="36"/>
      <c r="BA801" s="36"/>
      <c r="BB801" s="36"/>
      <c r="BC801" s="36"/>
      <c r="BD801" s="36"/>
      <c r="BE801" s="36"/>
      <c r="BF801" s="36"/>
      <c r="BG801" s="36"/>
      <c r="BH801" s="36"/>
      <c r="BI801" s="36"/>
      <c r="BJ801" s="36"/>
      <c r="BK801" s="36"/>
      <c r="BL801" s="36"/>
      <c r="BM801" s="36"/>
      <c r="BN801" s="36"/>
      <c r="BO801" s="36"/>
      <c r="BP801" s="36"/>
      <c r="BQ801" s="36"/>
    </row>
    <row r="80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51"/>
      <c r="S802" s="51"/>
      <c r="T802" s="51"/>
      <c r="U802" s="51"/>
      <c r="V802" s="51"/>
      <c r="W802" s="51"/>
      <c r="X802" s="51"/>
      <c r="Y802" s="45"/>
      <c r="Z802" s="45"/>
      <c r="AA802" s="45"/>
      <c r="AB802" s="45"/>
      <c r="AC802" s="45"/>
      <c r="AD802" s="45"/>
      <c r="AE802" s="45"/>
      <c r="AF802" s="45"/>
      <c r="AG802" s="45"/>
      <c r="AH802" s="45"/>
      <c r="AI802" s="45"/>
      <c r="AJ802" s="45"/>
      <c r="AK802" s="45"/>
      <c r="AL802" s="45"/>
      <c r="AM802" s="45"/>
      <c r="AN802" s="45"/>
      <c r="AO802" s="45"/>
      <c r="AP802" s="45"/>
      <c r="AQ802" s="36"/>
      <c r="AR802" s="36"/>
      <c r="AS802" s="36"/>
      <c r="AT802" s="36"/>
      <c r="AU802" s="36"/>
      <c r="AV802" s="36"/>
      <c r="AW802" s="36"/>
      <c r="AX802" s="36"/>
      <c r="AY802" s="36"/>
      <c r="AZ802" s="36"/>
      <c r="BA802" s="36"/>
      <c r="BB802" s="36"/>
      <c r="BC802" s="36"/>
      <c r="BD802" s="36"/>
      <c r="BE802" s="36"/>
      <c r="BF802" s="36"/>
      <c r="BG802" s="36"/>
      <c r="BH802" s="36"/>
      <c r="BI802" s="36"/>
      <c r="BJ802" s="36"/>
      <c r="BK802" s="36"/>
      <c r="BL802" s="36"/>
      <c r="BM802" s="36"/>
      <c r="BN802" s="36"/>
      <c r="BO802" s="36"/>
      <c r="BP802" s="36"/>
      <c r="BQ802" s="36"/>
    </row>
    <row r="803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51"/>
      <c r="S803" s="51"/>
      <c r="T803" s="51"/>
      <c r="U803" s="51"/>
      <c r="V803" s="51"/>
      <c r="W803" s="51"/>
      <c r="X803" s="51"/>
      <c r="Y803" s="45"/>
      <c r="Z803" s="45"/>
      <c r="AA803" s="45"/>
      <c r="AB803" s="45"/>
      <c r="AC803" s="45"/>
      <c r="AD803" s="45"/>
      <c r="AE803" s="45"/>
      <c r="AF803" s="45"/>
      <c r="AG803" s="45"/>
      <c r="AH803" s="45"/>
      <c r="AI803" s="45"/>
      <c r="AJ803" s="45"/>
      <c r="AK803" s="45"/>
      <c r="AL803" s="45"/>
      <c r="AM803" s="45"/>
      <c r="AN803" s="45"/>
      <c r="AO803" s="45"/>
      <c r="AP803" s="45"/>
      <c r="AQ803" s="36"/>
      <c r="AR803" s="36"/>
      <c r="AS803" s="36"/>
      <c r="AT803" s="36"/>
      <c r="AU803" s="36"/>
      <c r="AV803" s="36"/>
      <c r="AW803" s="36"/>
      <c r="AX803" s="36"/>
      <c r="AY803" s="36"/>
      <c r="AZ803" s="36"/>
      <c r="BA803" s="36"/>
      <c r="BB803" s="36"/>
      <c r="BC803" s="36"/>
      <c r="BD803" s="36"/>
      <c r="BE803" s="36"/>
      <c r="BF803" s="36"/>
      <c r="BG803" s="36"/>
      <c r="BH803" s="36"/>
      <c r="BI803" s="36"/>
      <c r="BJ803" s="36"/>
      <c r="BK803" s="36"/>
      <c r="BL803" s="36"/>
      <c r="BM803" s="36"/>
      <c r="BN803" s="36"/>
      <c r="BO803" s="36"/>
      <c r="BP803" s="36"/>
      <c r="BQ803" s="36"/>
    </row>
    <row r="804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51"/>
      <c r="S804" s="51"/>
      <c r="T804" s="51"/>
      <c r="U804" s="51"/>
      <c r="V804" s="51"/>
      <c r="W804" s="51"/>
      <c r="X804" s="51"/>
      <c r="Y804" s="45"/>
      <c r="Z804" s="45"/>
      <c r="AA804" s="45"/>
      <c r="AB804" s="45"/>
      <c r="AC804" s="45"/>
      <c r="AD804" s="45"/>
      <c r="AE804" s="45"/>
      <c r="AF804" s="45"/>
      <c r="AG804" s="45"/>
      <c r="AH804" s="45"/>
      <c r="AI804" s="45"/>
      <c r="AJ804" s="45"/>
      <c r="AK804" s="45"/>
      <c r="AL804" s="45"/>
      <c r="AM804" s="45"/>
      <c r="AN804" s="45"/>
      <c r="AO804" s="45"/>
      <c r="AP804" s="45"/>
      <c r="AQ804" s="36"/>
      <c r="AR804" s="36"/>
      <c r="AS804" s="36"/>
      <c r="AT804" s="36"/>
      <c r="AU804" s="36"/>
      <c r="AV804" s="36"/>
      <c r="AW804" s="36"/>
      <c r="AX804" s="36"/>
      <c r="AY804" s="36"/>
      <c r="AZ804" s="36"/>
      <c r="BA804" s="36"/>
      <c r="BB804" s="36"/>
      <c r="BC804" s="36"/>
      <c r="BD804" s="36"/>
      <c r="BE804" s="36"/>
      <c r="BF804" s="36"/>
      <c r="BG804" s="36"/>
      <c r="BH804" s="36"/>
      <c r="BI804" s="36"/>
      <c r="BJ804" s="36"/>
      <c r="BK804" s="36"/>
      <c r="BL804" s="36"/>
      <c r="BM804" s="36"/>
      <c r="BN804" s="36"/>
      <c r="BO804" s="36"/>
      <c r="BP804" s="36"/>
      <c r="BQ804" s="36"/>
    </row>
    <row r="80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51"/>
      <c r="S805" s="51"/>
      <c r="T805" s="51"/>
      <c r="U805" s="51"/>
      <c r="V805" s="51"/>
      <c r="W805" s="51"/>
      <c r="X805" s="51"/>
      <c r="Y805" s="45"/>
      <c r="Z805" s="45"/>
      <c r="AA805" s="45"/>
      <c r="AB805" s="45"/>
      <c r="AC805" s="45"/>
      <c r="AD805" s="45"/>
      <c r="AE805" s="45"/>
      <c r="AF805" s="45"/>
      <c r="AG805" s="45"/>
      <c r="AH805" s="45"/>
      <c r="AI805" s="45"/>
      <c r="AJ805" s="45"/>
      <c r="AK805" s="45"/>
      <c r="AL805" s="45"/>
      <c r="AM805" s="45"/>
      <c r="AN805" s="45"/>
      <c r="AO805" s="45"/>
      <c r="AP805" s="45"/>
      <c r="AQ805" s="36"/>
      <c r="AR805" s="36"/>
      <c r="AS805" s="36"/>
      <c r="AT805" s="36"/>
      <c r="AU805" s="36"/>
      <c r="AV805" s="36"/>
      <c r="AW805" s="36"/>
      <c r="AX805" s="36"/>
      <c r="AY805" s="36"/>
      <c r="AZ805" s="36"/>
      <c r="BA805" s="36"/>
      <c r="BB805" s="36"/>
      <c r="BC805" s="36"/>
      <c r="BD805" s="36"/>
      <c r="BE805" s="36"/>
      <c r="BF805" s="36"/>
      <c r="BG805" s="36"/>
      <c r="BH805" s="36"/>
      <c r="BI805" s="36"/>
      <c r="BJ805" s="36"/>
      <c r="BK805" s="36"/>
      <c r="BL805" s="36"/>
      <c r="BM805" s="36"/>
      <c r="BN805" s="36"/>
      <c r="BO805" s="36"/>
      <c r="BP805" s="36"/>
      <c r="BQ805" s="36"/>
    </row>
    <row r="806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51"/>
      <c r="S806" s="51"/>
      <c r="T806" s="51"/>
      <c r="U806" s="51"/>
      <c r="V806" s="51"/>
      <c r="W806" s="51"/>
      <c r="X806" s="51"/>
      <c r="Y806" s="45"/>
      <c r="Z806" s="45"/>
      <c r="AA806" s="45"/>
      <c r="AB806" s="45"/>
      <c r="AC806" s="45"/>
      <c r="AD806" s="45"/>
      <c r="AE806" s="45"/>
      <c r="AF806" s="45"/>
      <c r="AG806" s="45"/>
      <c r="AH806" s="45"/>
      <c r="AI806" s="45"/>
      <c r="AJ806" s="45"/>
      <c r="AK806" s="45"/>
      <c r="AL806" s="45"/>
      <c r="AM806" s="45"/>
      <c r="AN806" s="45"/>
      <c r="AO806" s="45"/>
      <c r="AP806" s="45"/>
      <c r="AQ806" s="36"/>
      <c r="AR806" s="36"/>
      <c r="AS806" s="36"/>
      <c r="AT806" s="36"/>
      <c r="AU806" s="36"/>
      <c r="AV806" s="36"/>
      <c r="AW806" s="36"/>
      <c r="AX806" s="36"/>
      <c r="AY806" s="36"/>
      <c r="AZ806" s="36"/>
      <c r="BA806" s="36"/>
      <c r="BB806" s="36"/>
      <c r="BC806" s="36"/>
      <c r="BD806" s="36"/>
      <c r="BE806" s="36"/>
      <c r="BF806" s="36"/>
      <c r="BG806" s="36"/>
      <c r="BH806" s="36"/>
      <c r="BI806" s="36"/>
      <c r="BJ806" s="36"/>
      <c r="BK806" s="36"/>
      <c r="BL806" s="36"/>
      <c r="BM806" s="36"/>
      <c r="BN806" s="36"/>
      <c r="BO806" s="36"/>
      <c r="BP806" s="36"/>
      <c r="BQ806" s="36"/>
    </row>
    <row r="807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51"/>
      <c r="S807" s="51"/>
      <c r="T807" s="51"/>
      <c r="U807" s="51"/>
      <c r="V807" s="51"/>
      <c r="W807" s="51"/>
      <c r="X807" s="51"/>
      <c r="Y807" s="45"/>
      <c r="Z807" s="45"/>
      <c r="AA807" s="45"/>
      <c r="AB807" s="45"/>
      <c r="AC807" s="45"/>
      <c r="AD807" s="45"/>
      <c r="AE807" s="45"/>
      <c r="AF807" s="45"/>
      <c r="AG807" s="45"/>
      <c r="AH807" s="45"/>
      <c r="AI807" s="45"/>
      <c r="AJ807" s="45"/>
      <c r="AK807" s="45"/>
      <c r="AL807" s="45"/>
      <c r="AM807" s="45"/>
      <c r="AN807" s="45"/>
      <c r="AO807" s="45"/>
      <c r="AP807" s="45"/>
      <c r="AQ807" s="36"/>
      <c r="AR807" s="36"/>
      <c r="AS807" s="36"/>
      <c r="AT807" s="36"/>
      <c r="AU807" s="36"/>
      <c r="AV807" s="36"/>
      <c r="AW807" s="36"/>
      <c r="AX807" s="36"/>
      <c r="AY807" s="36"/>
      <c r="AZ807" s="36"/>
      <c r="BA807" s="36"/>
      <c r="BB807" s="36"/>
      <c r="BC807" s="36"/>
      <c r="BD807" s="36"/>
      <c r="BE807" s="36"/>
      <c r="BF807" s="36"/>
      <c r="BG807" s="36"/>
      <c r="BH807" s="36"/>
      <c r="BI807" s="36"/>
      <c r="BJ807" s="36"/>
      <c r="BK807" s="36"/>
      <c r="BL807" s="36"/>
      <c r="BM807" s="36"/>
      <c r="BN807" s="36"/>
      <c r="BO807" s="36"/>
      <c r="BP807" s="36"/>
      <c r="BQ807" s="36"/>
    </row>
    <row r="808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51"/>
      <c r="S808" s="51"/>
      <c r="T808" s="51"/>
      <c r="U808" s="51"/>
      <c r="V808" s="51"/>
      <c r="W808" s="51"/>
      <c r="X808" s="51"/>
      <c r="Y808" s="45"/>
      <c r="Z808" s="45"/>
      <c r="AA808" s="45"/>
      <c r="AB808" s="45"/>
      <c r="AC808" s="45"/>
      <c r="AD808" s="45"/>
      <c r="AE808" s="45"/>
      <c r="AF808" s="45"/>
      <c r="AG808" s="45"/>
      <c r="AH808" s="45"/>
      <c r="AI808" s="45"/>
      <c r="AJ808" s="45"/>
      <c r="AK808" s="45"/>
      <c r="AL808" s="45"/>
      <c r="AM808" s="45"/>
      <c r="AN808" s="45"/>
      <c r="AO808" s="45"/>
      <c r="AP808" s="45"/>
      <c r="AQ808" s="36"/>
      <c r="AR808" s="36"/>
      <c r="AS808" s="36"/>
      <c r="AT808" s="36"/>
      <c r="AU808" s="36"/>
      <c r="AV808" s="36"/>
      <c r="AW808" s="36"/>
      <c r="AX808" s="36"/>
      <c r="AY808" s="36"/>
      <c r="AZ808" s="36"/>
      <c r="BA808" s="36"/>
      <c r="BB808" s="36"/>
      <c r="BC808" s="36"/>
      <c r="BD808" s="36"/>
      <c r="BE808" s="36"/>
      <c r="BF808" s="36"/>
      <c r="BG808" s="36"/>
      <c r="BH808" s="36"/>
      <c r="BI808" s="36"/>
      <c r="BJ808" s="36"/>
      <c r="BK808" s="36"/>
      <c r="BL808" s="36"/>
      <c r="BM808" s="36"/>
      <c r="BN808" s="36"/>
      <c r="BO808" s="36"/>
      <c r="BP808" s="36"/>
      <c r="BQ808" s="36"/>
    </row>
    <row r="809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51"/>
      <c r="S809" s="51"/>
      <c r="T809" s="51"/>
      <c r="U809" s="51"/>
      <c r="V809" s="51"/>
      <c r="W809" s="51"/>
      <c r="X809" s="51"/>
      <c r="Y809" s="45"/>
      <c r="Z809" s="45"/>
      <c r="AA809" s="45"/>
      <c r="AB809" s="45"/>
      <c r="AC809" s="45"/>
      <c r="AD809" s="45"/>
      <c r="AE809" s="45"/>
      <c r="AF809" s="45"/>
      <c r="AG809" s="45"/>
      <c r="AH809" s="45"/>
      <c r="AI809" s="45"/>
      <c r="AJ809" s="45"/>
      <c r="AK809" s="45"/>
      <c r="AL809" s="45"/>
      <c r="AM809" s="45"/>
      <c r="AN809" s="45"/>
      <c r="AO809" s="45"/>
      <c r="AP809" s="45"/>
      <c r="AQ809" s="36"/>
      <c r="AR809" s="36"/>
      <c r="AS809" s="36"/>
      <c r="AT809" s="36"/>
      <c r="AU809" s="36"/>
      <c r="AV809" s="36"/>
      <c r="AW809" s="36"/>
      <c r="AX809" s="36"/>
      <c r="AY809" s="36"/>
      <c r="AZ809" s="36"/>
      <c r="BA809" s="36"/>
      <c r="BB809" s="36"/>
      <c r="BC809" s="36"/>
      <c r="BD809" s="36"/>
      <c r="BE809" s="36"/>
      <c r="BF809" s="36"/>
      <c r="BG809" s="36"/>
      <c r="BH809" s="36"/>
      <c r="BI809" s="36"/>
      <c r="BJ809" s="36"/>
      <c r="BK809" s="36"/>
      <c r="BL809" s="36"/>
      <c r="BM809" s="36"/>
      <c r="BN809" s="36"/>
      <c r="BO809" s="36"/>
      <c r="BP809" s="36"/>
      <c r="BQ809" s="36"/>
    </row>
    <row r="810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51"/>
      <c r="S810" s="51"/>
      <c r="T810" s="51"/>
      <c r="U810" s="51"/>
      <c r="V810" s="51"/>
      <c r="W810" s="51"/>
      <c r="X810" s="51"/>
      <c r="Y810" s="45"/>
      <c r="Z810" s="45"/>
      <c r="AA810" s="45"/>
      <c r="AB810" s="45"/>
      <c r="AC810" s="45"/>
      <c r="AD810" s="45"/>
      <c r="AE810" s="45"/>
      <c r="AF810" s="45"/>
      <c r="AG810" s="45"/>
      <c r="AH810" s="45"/>
      <c r="AI810" s="45"/>
      <c r="AJ810" s="45"/>
      <c r="AK810" s="45"/>
      <c r="AL810" s="45"/>
      <c r="AM810" s="45"/>
      <c r="AN810" s="45"/>
      <c r="AO810" s="45"/>
      <c r="AP810" s="45"/>
      <c r="AQ810" s="36"/>
      <c r="AR810" s="36"/>
      <c r="AS810" s="36"/>
      <c r="AT810" s="36"/>
      <c r="AU810" s="36"/>
      <c r="AV810" s="36"/>
      <c r="AW810" s="36"/>
      <c r="AX810" s="36"/>
      <c r="AY810" s="36"/>
      <c r="AZ810" s="36"/>
      <c r="BA810" s="36"/>
      <c r="BB810" s="36"/>
      <c r="BC810" s="36"/>
      <c r="BD810" s="36"/>
      <c r="BE810" s="36"/>
      <c r="BF810" s="36"/>
      <c r="BG810" s="36"/>
      <c r="BH810" s="36"/>
      <c r="BI810" s="36"/>
      <c r="BJ810" s="36"/>
      <c r="BK810" s="36"/>
      <c r="BL810" s="36"/>
      <c r="BM810" s="36"/>
      <c r="BN810" s="36"/>
      <c r="BO810" s="36"/>
      <c r="BP810" s="36"/>
      <c r="BQ810" s="36"/>
    </row>
    <row r="81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51"/>
      <c r="S811" s="51"/>
      <c r="T811" s="51"/>
      <c r="U811" s="51"/>
      <c r="V811" s="51"/>
      <c r="W811" s="51"/>
      <c r="X811" s="51"/>
      <c r="Y811" s="45"/>
      <c r="Z811" s="45"/>
      <c r="AA811" s="45"/>
      <c r="AB811" s="45"/>
      <c r="AC811" s="45"/>
      <c r="AD811" s="45"/>
      <c r="AE811" s="45"/>
      <c r="AF811" s="45"/>
      <c r="AG811" s="45"/>
      <c r="AH811" s="45"/>
      <c r="AI811" s="45"/>
      <c r="AJ811" s="45"/>
      <c r="AK811" s="45"/>
      <c r="AL811" s="45"/>
      <c r="AM811" s="45"/>
      <c r="AN811" s="45"/>
      <c r="AO811" s="45"/>
      <c r="AP811" s="45"/>
      <c r="AQ811" s="36"/>
      <c r="AR811" s="36"/>
      <c r="AS811" s="36"/>
      <c r="AT811" s="36"/>
      <c r="AU811" s="36"/>
      <c r="AV811" s="36"/>
      <c r="AW811" s="36"/>
      <c r="AX811" s="36"/>
      <c r="AY811" s="36"/>
      <c r="AZ811" s="36"/>
      <c r="BA811" s="36"/>
      <c r="BB811" s="36"/>
      <c r="BC811" s="36"/>
      <c r="BD811" s="36"/>
      <c r="BE811" s="36"/>
      <c r="BF811" s="36"/>
      <c r="BG811" s="36"/>
      <c r="BH811" s="36"/>
      <c r="BI811" s="36"/>
      <c r="BJ811" s="36"/>
      <c r="BK811" s="36"/>
      <c r="BL811" s="36"/>
      <c r="BM811" s="36"/>
      <c r="BN811" s="36"/>
      <c r="BO811" s="36"/>
      <c r="BP811" s="36"/>
      <c r="BQ811" s="36"/>
    </row>
    <row r="81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51"/>
      <c r="S812" s="51"/>
      <c r="T812" s="51"/>
      <c r="U812" s="51"/>
      <c r="V812" s="51"/>
      <c r="W812" s="51"/>
      <c r="X812" s="51"/>
      <c r="Y812" s="45"/>
      <c r="Z812" s="45"/>
      <c r="AA812" s="45"/>
      <c r="AB812" s="45"/>
      <c r="AC812" s="45"/>
      <c r="AD812" s="45"/>
      <c r="AE812" s="45"/>
      <c r="AF812" s="45"/>
      <c r="AG812" s="45"/>
      <c r="AH812" s="45"/>
      <c r="AI812" s="45"/>
      <c r="AJ812" s="45"/>
      <c r="AK812" s="45"/>
      <c r="AL812" s="45"/>
      <c r="AM812" s="45"/>
      <c r="AN812" s="45"/>
      <c r="AO812" s="45"/>
      <c r="AP812" s="45"/>
      <c r="AQ812" s="36"/>
      <c r="AR812" s="36"/>
      <c r="AS812" s="36"/>
      <c r="AT812" s="36"/>
      <c r="AU812" s="36"/>
      <c r="AV812" s="36"/>
      <c r="AW812" s="36"/>
      <c r="AX812" s="36"/>
      <c r="AY812" s="36"/>
      <c r="AZ812" s="36"/>
      <c r="BA812" s="36"/>
      <c r="BB812" s="36"/>
      <c r="BC812" s="36"/>
      <c r="BD812" s="36"/>
      <c r="BE812" s="36"/>
      <c r="BF812" s="36"/>
      <c r="BG812" s="36"/>
      <c r="BH812" s="36"/>
      <c r="BI812" s="36"/>
      <c r="BJ812" s="36"/>
      <c r="BK812" s="36"/>
      <c r="BL812" s="36"/>
      <c r="BM812" s="36"/>
      <c r="BN812" s="36"/>
      <c r="BO812" s="36"/>
      <c r="BP812" s="36"/>
      <c r="BQ812" s="36"/>
    </row>
    <row r="813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51"/>
      <c r="S813" s="51"/>
      <c r="T813" s="51"/>
      <c r="U813" s="51"/>
      <c r="V813" s="51"/>
      <c r="W813" s="51"/>
      <c r="X813" s="51"/>
      <c r="Y813" s="45"/>
      <c r="Z813" s="45"/>
      <c r="AA813" s="45"/>
      <c r="AB813" s="45"/>
      <c r="AC813" s="45"/>
      <c r="AD813" s="45"/>
      <c r="AE813" s="45"/>
      <c r="AF813" s="45"/>
      <c r="AG813" s="45"/>
      <c r="AH813" s="45"/>
      <c r="AI813" s="45"/>
      <c r="AJ813" s="45"/>
      <c r="AK813" s="45"/>
      <c r="AL813" s="45"/>
      <c r="AM813" s="45"/>
      <c r="AN813" s="45"/>
      <c r="AO813" s="45"/>
      <c r="AP813" s="45"/>
      <c r="AQ813" s="36"/>
      <c r="AR813" s="36"/>
      <c r="AS813" s="36"/>
      <c r="AT813" s="36"/>
      <c r="AU813" s="36"/>
      <c r="AV813" s="36"/>
      <c r="AW813" s="36"/>
      <c r="AX813" s="36"/>
      <c r="AY813" s="36"/>
      <c r="AZ813" s="36"/>
      <c r="BA813" s="36"/>
      <c r="BB813" s="36"/>
      <c r="BC813" s="36"/>
      <c r="BD813" s="36"/>
      <c r="BE813" s="36"/>
      <c r="BF813" s="36"/>
      <c r="BG813" s="36"/>
      <c r="BH813" s="36"/>
      <c r="BI813" s="36"/>
      <c r="BJ813" s="36"/>
      <c r="BK813" s="36"/>
      <c r="BL813" s="36"/>
      <c r="BM813" s="36"/>
      <c r="BN813" s="36"/>
      <c r="BO813" s="36"/>
      <c r="BP813" s="36"/>
      <c r="BQ813" s="36"/>
    </row>
    <row r="814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51"/>
      <c r="S814" s="51"/>
      <c r="T814" s="51"/>
      <c r="U814" s="51"/>
      <c r="V814" s="51"/>
      <c r="W814" s="51"/>
      <c r="X814" s="51"/>
      <c r="Y814" s="45"/>
      <c r="Z814" s="45"/>
      <c r="AA814" s="45"/>
      <c r="AB814" s="45"/>
      <c r="AC814" s="45"/>
      <c r="AD814" s="45"/>
      <c r="AE814" s="45"/>
      <c r="AF814" s="45"/>
      <c r="AG814" s="45"/>
      <c r="AH814" s="45"/>
      <c r="AI814" s="45"/>
      <c r="AJ814" s="45"/>
      <c r="AK814" s="45"/>
      <c r="AL814" s="45"/>
      <c r="AM814" s="45"/>
      <c r="AN814" s="45"/>
      <c r="AO814" s="45"/>
      <c r="AP814" s="45"/>
      <c r="AQ814" s="36"/>
      <c r="AR814" s="36"/>
      <c r="AS814" s="36"/>
      <c r="AT814" s="36"/>
      <c r="AU814" s="36"/>
      <c r="AV814" s="36"/>
      <c r="AW814" s="36"/>
      <c r="AX814" s="36"/>
      <c r="AY814" s="36"/>
      <c r="AZ814" s="36"/>
      <c r="BA814" s="36"/>
      <c r="BB814" s="36"/>
      <c r="BC814" s="36"/>
      <c r="BD814" s="36"/>
      <c r="BE814" s="36"/>
      <c r="BF814" s="36"/>
      <c r="BG814" s="36"/>
      <c r="BH814" s="36"/>
      <c r="BI814" s="36"/>
      <c r="BJ814" s="36"/>
      <c r="BK814" s="36"/>
      <c r="BL814" s="36"/>
      <c r="BM814" s="36"/>
      <c r="BN814" s="36"/>
      <c r="BO814" s="36"/>
      <c r="BP814" s="36"/>
      <c r="BQ814" s="36"/>
    </row>
    <row r="81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51"/>
      <c r="S815" s="51"/>
      <c r="T815" s="51"/>
      <c r="U815" s="51"/>
      <c r="V815" s="51"/>
      <c r="W815" s="51"/>
      <c r="X815" s="51"/>
      <c r="Y815" s="45"/>
      <c r="Z815" s="45"/>
      <c r="AA815" s="45"/>
      <c r="AB815" s="45"/>
      <c r="AC815" s="45"/>
      <c r="AD815" s="45"/>
      <c r="AE815" s="45"/>
      <c r="AF815" s="45"/>
      <c r="AG815" s="45"/>
      <c r="AH815" s="45"/>
      <c r="AI815" s="45"/>
      <c r="AJ815" s="45"/>
      <c r="AK815" s="45"/>
      <c r="AL815" s="45"/>
      <c r="AM815" s="45"/>
      <c r="AN815" s="45"/>
      <c r="AO815" s="45"/>
      <c r="AP815" s="45"/>
      <c r="AQ815" s="36"/>
      <c r="AR815" s="36"/>
      <c r="AS815" s="36"/>
      <c r="AT815" s="36"/>
      <c r="AU815" s="36"/>
      <c r="AV815" s="36"/>
      <c r="AW815" s="36"/>
      <c r="AX815" s="36"/>
      <c r="AY815" s="36"/>
      <c r="AZ815" s="36"/>
      <c r="BA815" s="36"/>
      <c r="BB815" s="36"/>
      <c r="BC815" s="36"/>
      <c r="BD815" s="36"/>
      <c r="BE815" s="36"/>
      <c r="BF815" s="36"/>
      <c r="BG815" s="36"/>
      <c r="BH815" s="36"/>
      <c r="BI815" s="36"/>
      <c r="BJ815" s="36"/>
      <c r="BK815" s="36"/>
      <c r="BL815" s="36"/>
      <c r="BM815" s="36"/>
      <c r="BN815" s="36"/>
      <c r="BO815" s="36"/>
      <c r="BP815" s="36"/>
      <c r="BQ815" s="36"/>
    </row>
    <row r="816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51"/>
      <c r="S816" s="51"/>
      <c r="T816" s="51"/>
      <c r="U816" s="51"/>
      <c r="V816" s="51"/>
      <c r="W816" s="51"/>
      <c r="X816" s="51"/>
      <c r="Y816" s="45"/>
      <c r="Z816" s="45"/>
      <c r="AA816" s="45"/>
      <c r="AB816" s="45"/>
      <c r="AC816" s="45"/>
      <c r="AD816" s="45"/>
      <c r="AE816" s="45"/>
      <c r="AF816" s="45"/>
      <c r="AG816" s="45"/>
      <c r="AH816" s="45"/>
      <c r="AI816" s="45"/>
      <c r="AJ816" s="45"/>
      <c r="AK816" s="45"/>
      <c r="AL816" s="45"/>
      <c r="AM816" s="45"/>
      <c r="AN816" s="45"/>
      <c r="AO816" s="45"/>
      <c r="AP816" s="45"/>
      <c r="AQ816" s="36"/>
      <c r="AR816" s="36"/>
      <c r="AS816" s="36"/>
      <c r="AT816" s="36"/>
      <c r="AU816" s="36"/>
      <c r="AV816" s="36"/>
      <c r="AW816" s="36"/>
      <c r="AX816" s="36"/>
      <c r="AY816" s="36"/>
      <c r="AZ816" s="36"/>
      <c r="BA816" s="36"/>
      <c r="BB816" s="36"/>
      <c r="BC816" s="36"/>
      <c r="BD816" s="36"/>
      <c r="BE816" s="36"/>
      <c r="BF816" s="36"/>
      <c r="BG816" s="36"/>
      <c r="BH816" s="36"/>
      <c r="BI816" s="36"/>
      <c r="BJ816" s="36"/>
      <c r="BK816" s="36"/>
      <c r="BL816" s="36"/>
      <c r="BM816" s="36"/>
      <c r="BN816" s="36"/>
      <c r="BO816" s="36"/>
      <c r="BP816" s="36"/>
      <c r="BQ816" s="36"/>
    </row>
    <row r="817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51"/>
      <c r="S817" s="51"/>
      <c r="T817" s="51"/>
      <c r="U817" s="51"/>
      <c r="V817" s="51"/>
      <c r="W817" s="51"/>
      <c r="X817" s="51"/>
      <c r="Y817" s="45"/>
      <c r="Z817" s="45"/>
      <c r="AA817" s="45"/>
      <c r="AB817" s="45"/>
      <c r="AC817" s="45"/>
      <c r="AD817" s="45"/>
      <c r="AE817" s="45"/>
      <c r="AF817" s="45"/>
      <c r="AG817" s="45"/>
      <c r="AH817" s="45"/>
      <c r="AI817" s="45"/>
      <c r="AJ817" s="45"/>
      <c r="AK817" s="45"/>
      <c r="AL817" s="45"/>
      <c r="AM817" s="45"/>
      <c r="AN817" s="45"/>
      <c r="AO817" s="45"/>
      <c r="AP817" s="45"/>
      <c r="AQ817" s="36"/>
      <c r="AR817" s="36"/>
      <c r="AS817" s="36"/>
      <c r="AT817" s="36"/>
      <c r="AU817" s="36"/>
      <c r="AV817" s="36"/>
      <c r="AW817" s="36"/>
      <c r="AX817" s="36"/>
      <c r="AY817" s="36"/>
      <c r="AZ817" s="36"/>
      <c r="BA817" s="36"/>
      <c r="BB817" s="36"/>
      <c r="BC817" s="36"/>
      <c r="BD817" s="36"/>
      <c r="BE817" s="36"/>
      <c r="BF817" s="36"/>
      <c r="BG817" s="36"/>
      <c r="BH817" s="36"/>
      <c r="BI817" s="36"/>
      <c r="BJ817" s="36"/>
      <c r="BK817" s="36"/>
      <c r="BL817" s="36"/>
      <c r="BM817" s="36"/>
      <c r="BN817" s="36"/>
      <c r="BO817" s="36"/>
      <c r="BP817" s="36"/>
      <c r="BQ817" s="36"/>
    </row>
    <row r="818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51"/>
      <c r="S818" s="51"/>
      <c r="T818" s="51"/>
      <c r="U818" s="51"/>
      <c r="V818" s="51"/>
      <c r="W818" s="51"/>
      <c r="X818" s="51"/>
      <c r="Y818" s="45"/>
      <c r="Z818" s="45"/>
      <c r="AA818" s="45"/>
      <c r="AB818" s="45"/>
      <c r="AC818" s="45"/>
      <c r="AD818" s="45"/>
      <c r="AE818" s="45"/>
      <c r="AF818" s="45"/>
      <c r="AG818" s="45"/>
      <c r="AH818" s="45"/>
      <c r="AI818" s="45"/>
      <c r="AJ818" s="45"/>
      <c r="AK818" s="45"/>
      <c r="AL818" s="45"/>
      <c r="AM818" s="45"/>
      <c r="AN818" s="45"/>
      <c r="AO818" s="45"/>
      <c r="AP818" s="45"/>
      <c r="AQ818" s="36"/>
      <c r="AR818" s="36"/>
      <c r="AS818" s="36"/>
      <c r="AT818" s="36"/>
      <c r="AU818" s="36"/>
      <c r="AV818" s="36"/>
      <c r="AW818" s="36"/>
      <c r="AX818" s="36"/>
      <c r="AY818" s="36"/>
      <c r="AZ818" s="36"/>
      <c r="BA818" s="36"/>
      <c r="BB818" s="36"/>
      <c r="BC818" s="36"/>
      <c r="BD818" s="36"/>
      <c r="BE818" s="36"/>
      <c r="BF818" s="36"/>
      <c r="BG818" s="36"/>
      <c r="BH818" s="36"/>
      <c r="BI818" s="36"/>
      <c r="BJ818" s="36"/>
      <c r="BK818" s="36"/>
      <c r="BL818" s="36"/>
      <c r="BM818" s="36"/>
      <c r="BN818" s="36"/>
      <c r="BO818" s="36"/>
      <c r="BP818" s="36"/>
      <c r="BQ818" s="36"/>
    </row>
    <row r="819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51"/>
      <c r="S819" s="51"/>
      <c r="T819" s="51"/>
      <c r="U819" s="51"/>
      <c r="V819" s="51"/>
      <c r="W819" s="51"/>
      <c r="X819" s="51"/>
      <c r="Y819" s="45"/>
      <c r="Z819" s="45"/>
      <c r="AA819" s="45"/>
      <c r="AB819" s="45"/>
      <c r="AC819" s="45"/>
      <c r="AD819" s="45"/>
      <c r="AE819" s="45"/>
      <c r="AF819" s="45"/>
      <c r="AG819" s="45"/>
      <c r="AH819" s="45"/>
      <c r="AI819" s="45"/>
      <c r="AJ819" s="45"/>
      <c r="AK819" s="45"/>
      <c r="AL819" s="45"/>
      <c r="AM819" s="45"/>
      <c r="AN819" s="45"/>
      <c r="AO819" s="45"/>
      <c r="AP819" s="45"/>
      <c r="AQ819" s="36"/>
      <c r="AR819" s="36"/>
      <c r="AS819" s="36"/>
      <c r="AT819" s="36"/>
      <c r="AU819" s="36"/>
      <c r="AV819" s="36"/>
      <c r="AW819" s="36"/>
      <c r="AX819" s="36"/>
      <c r="AY819" s="36"/>
      <c r="AZ819" s="36"/>
      <c r="BA819" s="36"/>
      <c r="BB819" s="36"/>
      <c r="BC819" s="36"/>
      <c r="BD819" s="36"/>
      <c r="BE819" s="36"/>
      <c r="BF819" s="36"/>
      <c r="BG819" s="36"/>
      <c r="BH819" s="36"/>
      <c r="BI819" s="36"/>
      <c r="BJ819" s="36"/>
      <c r="BK819" s="36"/>
      <c r="BL819" s="36"/>
      <c r="BM819" s="36"/>
      <c r="BN819" s="36"/>
      <c r="BO819" s="36"/>
      <c r="BP819" s="36"/>
      <c r="BQ819" s="36"/>
    </row>
    <row r="820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51"/>
      <c r="S820" s="51"/>
      <c r="T820" s="51"/>
      <c r="U820" s="51"/>
      <c r="V820" s="51"/>
      <c r="W820" s="51"/>
      <c r="X820" s="51"/>
      <c r="Y820" s="45"/>
      <c r="Z820" s="45"/>
      <c r="AA820" s="45"/>
      <c r="AB820" s="45"/>
      <c r="AC820" s="45"/>
      <c r="AD820" s="45"/>
      <c r="AE820" s="45"/>
      <c r="AF820" s="45"/>
      <c r="AG820" s="45"/>
      <c r="AH820" s="45"/>
      <c r="AI820" s="45"/>
      <c r="AJ820" s="45"/>
      <c r="AK820" s="45"/>
      <c r="AL820" s="45"/>
      <c r="AM820" s="45"/>
      <c r="AN820" s="45"/>
      <c r="AO820" s="45"/>
      <c r="AP820" s="45"/>
      <c r="AQ820" s="36"/>
      <c r="AR820" s="36"/>
      <c r="AS820" s="36"/>
      <c r="AT820" s="36"/>
      <c r="AU820" s="36"/>
      <c r="AV820" s="36"/>
      <c r="AW820" s="36"/>
      <c r="AX820" s="36"/>
      <c r="AY820" s="36"/>
      <c r="AZ820" s="36"/>
      <c r="BA820" s="36"/>
      <c r="BB820" s="36"/>
      <c r="BC820" s="36"/>
      <c r="BD820" s="36"/>
      <c r="BE820" s="36"/>
      <c r="BF820" s="36"/>
      <c r="BG820" s="36"/>
      <c r="BH820" s="36"/>
      <c r="BI820" s="36"/>
      <c r="BJ820" s="36"/>
      <c r="BK820" s="36"/>
      <c r="BL820" s="36"/>
      <c r="BM820" s="36"/>
      <c r="BN820" s="36"/>
      <c r="BO820" s="36"/>
      <c r="BP820" s="36"/>
      <c r="BQ820" s="36"/>
    </row>
    <row r="82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51"/>
      <c r="S821" s="51"/>
      <c r="T821" s="51"/>
      <c r="U821" s="51"/>
      <c r="V821" s="51"/>
      <c r="W821" s="51"/>
      <c r="X821" s="51"/>
      <c r="Y821" s="45"/>
      <c r="Z821" s="45"/>
      <c r="AA821" s="45"/>
      <c r="AB821" s="45"/>
      <c r="AC821" s="45"/>
      <c r="AD821" s="45"/>
      <c r="AE821" s="45"/>
      <c r="AF821" s="45"/>
      <c r="AG821" s="45"/>
      <c r="AH821" s="45"/>
      <c r="AI821" s="45"/>
      <c r="AJ821" s="45"/>
      <c r="AK821" s="45"/>
      <c r="AL821" s="45"/>
      <c r="AM821" s="45"/>
      <c r="AN821" s="45"/>
      <c r="AO821" s="45"/>
      <c r="AP821" s="45"/>
      <c r="AQ821" s="36"/>
      <c r="AR821" s="36"/>
      <c r="AS821" s="36"/>
      <c r="AT821" s="36"/>
      <c r="AU821" s="36"/>
      <c r="AV821" s="36"/>
      <c r="AW821" s="36"/>
      <c r="AX821" s="36"/>
      <c r="AY821" s="36"/>
      <c r="AZ821" s="36"/>
      <c r="BA821" s="36"/>
      <c r="BB821" s="36"/>
      <c r="BC821" s="36"/>
      <c r="BD821" s="36"/>
      <c r="BE821" s="36"/>
      <c r="BF821" s="36"/>
      <c r="BG821" s="36"/>
      <c r="BH821" s="36"/>
      <c r="BI821" s="36"/>
      <c r="BJ821" s="36"/>
      <c r="BK821" s="36"/>
      <c r="BL821" s="36"/>
      <c r="BM821" s="36"/>
      <c r="BN821" s="36"/>
      <c r="BO821" s="36"/>
      <c r="BP821" s="36"/>
      <c r="BQ821" s="36"/>
    </row>
    <row r="82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51"/>
      <c r="S822" s="51"/>
      <c r="T822" s="51"/>
      <c r="U822" s="51"/>
      <c r="V822" s="51"/>
      <c r="W822" s="51"/>
      <c r="X822" s="51"/>
      <c r="Y822" s="45"/>
      <c r="Z822" s="45"/>
      <c r="AA822" s="45"/>
      <c r="AB822" s="45"/>
      <c r="AC822" s="45"/>
      <c r="AD822" s="45"/>
      <c r="AE822" s="45"/>
      <c r="AF822" s="45"/>
      <c r="AG822" s="45"/>
      <c r="AH822" s="45"/>
      <c r="AI822" s="45"/>
      <c r="AJ822" s="45"/>
      <c r="AK822" s="45"/>
      <c r="AL822" s="45"/>
      <c r="AM822" s="45"/>
      <c r="AN822" s="45"/>
      <c r="AO822" s="45"/>
      <c r="AP822" s="45"/>
      <c r="AQ822" s="36"/>
      <c r="AR822" s="36"/>
      <c r="AS822" s="36"/>
      <c r="AT822" s="36"/>
      <c r="AU822" s="36"/>
      <c r="AV822" s="36"/>
      <c r="AW822" s="36"/>
      <c r="AX822" s="36"/>
      <c r="AY822" s="36"/>
      <c r="AZ822" s="36"/>
      <c r="BA822" s="36"/>
      <c r="BB822" s="36"/>
      <c r="BC822" s="36"/>
      <c r="BD822" s="36"/>
      <c r="BE822" s="36"/>
      <c r="BF822" s="36"/>
      <c r="BG822" s="36"/>
      <c r="BH822" s="36"/>
      <c r="BI822" s="36"/>
      <c r="BJ822" s="36"/>
      <c r="BK822" s="36"/>
      <c r="BL822" s="36"/>
      <c r="BM822" s="36"/>
      <c r="BN822" s="36"/>
      <c r="BO822" s="36"/>
      <c r="BP822" s="36"/>
      <c r="BQ822" s="36"/>
    </row>
    <row r="823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51"/>
      <c r="S823" s="51"/>
      <c r="T823" s="51"/>
      <c r="U823" s="51"/>
      <c r="V823" s="51"/>
      <c r="W823" s="51"/>
      <c r="X823" s="51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5"/>
      <c r="AM823" s="45"/>
      <c r="AN823" s="45"/>
      <c r="AO823" s="45"/>
      <c r="AP823" s="45"/>
      <c r="AQ823" s="36"/>
      <c r="AR823" s="36"/>
      <c r="AS823" s="36"/>
      <c r="AT823" s="36"/>
      <c r="AU823" s="36"/>
      <c r="AV823" s="36"/>
      <c r="AW823" s="36"/>
      <c r="AX823" s="36"/>
      <c r="AY823" s="36"/>
      <c r="AZ823" s="36"/>
      <c r="BA823" s="36"/>
      <c r="BB823" s="36"/>
      <c r="BC823" s="36"/>
      <c r="BD823" s="36"/>
      <c r="BE823" s="36"/>
      <c r="BF823" s="36"/>
      <c r="BG823" s="36"/>
      <c r="BH823" s="36"/>
      <c r="BI823" s="36"/>
      <c r="BJ823" s="36"/>
      <c r="BK823" s="36"/>
      <c r="BL823" s="36"/>
      <c r="BM823" s="36"/>
      <c r="BN823" s="36"/>
      <c r="BO823" s="36"/>
      <c r="BP823" s="36"/>
      <c r="BQ823" s="36"/>
    </row>
    <row r="824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51"/>
      <c r="S824" s="51"/>
      <c r="T824" s="51"/>
      <c r="U824" s="51"/>
      <c r="V824" s="51"/>
      <c r="W824" s="51"/>
      <c r="X824" s="51"/>
      <c r="Y824" s="45"/>
      <c r="Z824" s="45"/>
      <c r="AA824" s="45"/>
      <c r="AB824" s="45"/>
      <c r="AC824" s="45"/>
      <c r="AD824" s="45"/>
      <c r="AE824" s="45"/>
      <c r="AF824" s="45"/>
      <c r="AG824" s="45"/>
      <c r="AH824" s="45"/>
      <c r="AI824" s="45"/>
      <c r="AJ824" s="45"/>
      <c r="AK824" s="45"/>
      <c r="AL824" s="45"/>
      <c r="AM824" s="45"/>
      <c r="AN824" s="45"/>
      <c r="AO824" s="45"/>
      <c r="AP824" s="45"/>
      <c r="AQ824" s="36"/>
      <c r="AR824" s="36"/>
      <c r="AS824" s="36"/>
      <c r="AT824" s="36"/>
      <c r="AU824" s="36"/>
      <c r="AV824" s="36"/>
      <c r="AW824" s="36"/>
      <c r="AX824" s="36"/>
      <c r="AY824" s="36"/>
      <c r="AZ824" s="36"/>
      <c r="BA824" s="36"/>
      <c r="BB824" s="36"/>
      <c r="BC824" s="36"/>
      <c r="BD824" s="36"/>
      <c r="BE824" s="36"/>
      <c r="BF824" s="36"/>
      <c r="BG824" s="36"/>
      <c r="BH824" s="36"/>
      <c r="BI824" s="36"/>
      <c r="BJ824" s="36"/>
      <c r="BK824" s="36"/>
      <c r="BL824" s="36"/>
      <c r="BM824" s="36"/>
      <c r="BN824" s="36"/>
      <c r="BO824" s="36"/>
      <c r="BP824" s="36"/>
      <c r="BQ824" s="36"/>
    </row>
    <row r="8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51"/>
      <c r="S825" s="51"/>
      <c r="T825" s="51"/>
      <c r="U825" s="51"/>
      <c r="V825" s="51"/>
      <c r="W825" s="51"/>
      <c r="X825" s="51"/>
      <c r="Y825" s="45"/>
      <c r="Z825" s="45"/>
      <c r="AA825" s="45"/>
      <c r="AB825" s="45"/>
      <c r="AC825" s="45"/>
      <c r="AD825" s="45"/>
      <c r="AE825" s="45"/>
      <c r="AF825" s="45"/>
      <c r="AG825" s="45"/>
      <c r="AH825" s="45"/>
      <c r="AI825" s="45"/>
      <c r="AJ825" s="45"/>
      <c r="AK825" s="45"/>
      <c r="AL825" s="45"/>
      <c r="AM825" s="45"/>
      <c r="AN825" s="45"/>
      <c r="AO825" s="45"/>
      <c r="AP825" s="45"/>
      <c r="AQ825" s="36"/>
      <c r="AR825" s="36"/>
      <c r="AS825" s="36"/>
      <c r="AT825" s="36"/>
      <c r="AU825" s="36"/>
      <c r="AV825" s="36"/>
      <c r="AW825" s="36"/>
      <c r="AX825" s="36"/>
      <c r="AY825" s="36"/>
      <c r="AZ825" s="36"/>
      <c r="BA825" s="36"/>
      <c r="BB825" s="36"/>
      <c r="BC825" s="36"/>
      <c r="BD825" s="36"/>
      <c r="BE825" s="36"/>
      <c r="BF825" s="36"/>
      <c r="BG825" s="36"/>
      <c r="BH825" s="36"/>
      <c r="BI825" s="36"/>
      <c r="BJ825" s="36"/>
      <c r="BK825" s="36"/>
      <c r="BL825" s="36"/>
      <c r="BM825" s="36"/>
      <c r="BN825" s="36"/>
      <c r="BO825" s="36"/>
      <c r="BP825" s="36"/>
      <c r="BQ825" s="36"/>
    </row>
    <row r="826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51"/>
      <c r="S826" s="51"/>
      <c r="T826" s="51"/>
      <c r="U826" s="51"/>
      <c r="V826" s="51"/>
      <c r="W826" s="51"/>
      <c r="X826" s="51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5"/>
      <c r="AM826" s="45"/>
      <c r="AN826" s="45"/>
      <c r="AO826" s="45"/>
      <c r="AP826" s="45"/>
      <c r="AQ826" s="36"/>
      <c r="AR826" s="36"/>
      <c r="AS826" s="36"/>
      <c r="AT826" s="36"/>
      <c r="AU826" s="36"/>
      <c r="AV826" s="36"/>
      <c r="AW826" s="36"/>
      <c r="AX826" s="36"/>
      <c r="AY826" s="36"/>
      <c r="AZ826" s="36"/>
      <c r="BA826" s="36"/>
      <c r="BB826" s="36"/>
      <c r="BC826" s="36"/>
      <c r="BD826" s="36"/>
      <c r="BE826" s="36"/>
      <c r="BF826" s="36"/>
      <c r="BG826" s="36"/>
      <c r="BH826" s="36"/>
      <c r="BI826" s="36"/>
      <c r="BJ826" s="36"/>
      <c r="BK826" s="36"/>
      <c r="BL826" s="36"/>
      <c r="BM826" s="36"/>
      <c r="BN826" s="36"/>
      <c r="BO826" s="36"/>
      <c r="BP826" s="36"/>
      <c r="BQ826" s="36"/>
    </row>
    <row r="827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51"/>
      <c r="S827" s="51"/>
      <c r="T827" s="51"/>
      <c r="U827" s="51"/>
      <c r="V827" s="51"/>
      <c r="W827" s="51"/>
      <c r="X827" s="51"/>
      <c r="Y827" s="45"/>
      <c r="Z827" s="45"/>
      <c r="AA827" s="45"/>
      <c r="AB827" s="45"/>
      <c r="AC827" s="45"/>
      <c r="AD827" s="45"/>
      <c r="AE827" s="45"/>
      <c r="AF827" s="45"/>
      <c r="AG827" s="45"/>
      <c r="AH827" s="45"/>
      <c r="AI827" s="45"/>
      <c r="AJ827" s="45"/>
      <c r="AK827" s="45"/>
      <c r="AL827" s="45"/>
      <c r="AM827" s="45"/>
      <c r="AN827" s="45"/>
      <c r="AO827" s="45"/>
      <c r="AP827" s="45"/>
      <c r="AQ827" s="36"/>
      <c r="AR827" s="36"/>
      <c r="AS827" s="36"/>
      <c r="AT827" s="36"/>
      <c r="AU827" s="36"/>
      <c r="AV827" s="36"/>
      <c r="AW827" s="36"/>
      <c r="AX827" s="36"/>
      <c r="AY827" s="36"/>
      <c r="AZ827" s="36"/>
      <c r="BA827" s="36"/>
      <c r="BB827" s="36"/>
      <c r="BC827" s="36"/>
      <c r="BD827" s="36"/>
      <c r="BE827" s="36"/>
      <c r="BF827" s="36"/>
      <c r="BG827" s="36"/>
      <c r="BH827" s="36"/>
      <c r="BI827" s="36"/>
      <c r="BJ827" s="36"/>
      <c r="BK827" s="36"/>
      <c r="BL827" s="36"/>
      <c r="BM827" s="36"/>
      <c r="BN827" s="36"/>
      <c r="BO827" s="36"/>
      <c r="BP827" s="36"/>
      <c r="BQ827" s="36"/>
    </row>
    <row r="828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51"/>
      <c r="S828" s="51"/>
      <c r="T828" s="51"/>
      <c r="U828" s="51"/>
      <c r="V828" s="51"/>
      <c r="W828" s="51"/>
      <c r="X828" s="51"/>
      <c r="Y828" s="45"/>
      <c r="Z828" s="45"/>
      <c r="AA828" s="45"/>
      <c r="AB828" s="45"/>
      <c r="AC828" s="45"/>
      <c r="AD828" s="45"/>
      <c r="AE828" s="45"/>
      <c r="AF828" s="45"/>
      <c r="AG828" s="45"/>
      <c r="AH828" s="45"/>
      <c r="AI828" s="45"/>
      <c r="AJ828" s="45"/>
      <c r="AK828" s="45"/>
      <c r="AL828" s="45"/>
      <c r="AM828" s="45"/>
      <c r="AN828" s="45"/>
      <c r="AO828" s="45"/>
      <c r="AP828" s="45"/>
      <c r="AQ828" s="36"/>
      <c r="AR828" s="36"/>
      <c r="AS828" s="36"/>
      <c r="AT828" s="36"/>
      <c r="AU828" s="36"/>
      <c r="AV828" s="36"/>
      <c r="AW828" s="36"/>
      <c r="AX828" s="36"/>
      <c r="AY828" s="36"/>
      <c r="AZ828" s="36"/>
      <c r="BA828" s="36"/>
      <c r="BB828" s="36"/>
      <c r="BC828" s="36"/>
      <c r="BD828" s="36"/>
      <c r="BE828" s="36"/>
      <c r="BF828" s="36"/>
      <c r="BG828" s="36"/>
      <c r="BH828" s="36"/>
      <c r="BI828" s="36"/>
      <c r="BJ828" s="36"/>
      <c r="BK828" s="36"/>
      <c r="BL828" s="36"/>
      <c r="BM828" s="36"/>
      <c r="BN828" s="36"/>
      <c r="BO828" s="36"/>
      <c r="BP828" s="36"/>
      <c r="BQ828" s="36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51"/>
      <c r="S829" s="51"/>
      <c r="T829" s="51"/>
      <c r="U829" s="51"/>
      <c r="V829" s="51"/>
      <c r="W829" s="51"/>
      <c r="X829" s="51"/>
      <c r="Y829" s="45"/>
      <c r="Z829" s="45"/>
      <c r="AA829" s="45"/>
      <c r="AB829" s="45"/>
      <c r="AC829" s="45"/>
      <c r="AD829" s="45"/>
      <c r="AE829" s="45"/>
      <c r="AF829" s="45"/>
      <c r="AG829" s="45"/>
      <c r="AH829" s="45"/>
      <c r="AI829" s="45"/>
      <c r="AJ829" s="45"/>
      <c r="AK829" s="45"/>
      <c r="AL829" s="45"/>
      <c r="AM829" s="45"/>
      <c r="AN829" s="45"/>
      <c r="AO829" s="45"/>
      <c r="AP829" s="45"/>
      <c r="AQ829" s="36"/>
      <c r="AR829" s="36"/>
      <c r="AS829" s="36"/>
      <c r="AT829" s="36"/>
      <c r="AU829" s="36"/>
      <c r="AV829" s="36"/>
      <c r="AW829" s="36"/>
      <c r="AX829" s="36"/>
      <c r="AY829" s="36"/>
      <c r="AZ829" s="36"/>
      <c r="BA829" s="36"/>
      <c r="BB829" s="36"/>
      <c r="BC829" s="36"/>
      <c r="BD829" s="36"/>
      <c r="BE829" s="36"/>
      <c r="BF829" s="36"/>
      <c r="BG829" s="36"/>
      <c r="BH829" s="36"/>
      <c r="BI829" s="36"/>
      <c r="BJ829" s="36"/>
      <c r="BK829" s="36"/>
      <c r="BL829" s="36"/>
      <c r="BM829" s="36"/>
      <c r="BN829" s="36"/>
      <c r="BO829" s="36"/>
      <c r="BP829" s="36"/>
      <c r="BQ829" s="36"/>
    </row>
    <row r="830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51"/>
      <c r="S830" s="51"/>
      <c r="T830" s="51"/>
      <c r="U830" s="51"/>
      <c r="V830" s="51"/>
      <c r="W830" s="51"/>
      <c r="X830" s="51"/>
      <c r="Y830" s="45"/>
      <c r="Z830" s="45"/>
      <c r="AA830" s="45"/>
      <c r="AB830" s="45"/>
      <c r="AC830" s="45"/>
      <c r="AD830" s="45"/>
      <c r="AE830" s="45"/>
      <c r="AF830" s="45"/>
      <c r="AG830" s="45"/>
      <c r="AH830" s="45"/>
      <c r="AI830" s="45"/>
      <c r="AJ830" s="45"/>
      <c r="AK830" s="45"/>
      <c r="AL830" s="45"/>
      <c r="AM830" s="45"/>
      <c r="AN830" s="45"/>
      <c r="AO830" s="45"/>
      <c r="AP830" s="45"/>
      <c r="AQ830" s="36"/>
      <c r="AR830" s="36"/>
      <c r="AS830" s="36"/>
      <c r="AT830" s="36"/>
      <c r="AU830" s="36"/>
      <c r="AV830" s="36"/>
      <c r="AW830" s="36"/>
      <c r="AX830" s="36"/>
      <c r="AY830" s="36"/>
      <c r="AZ830" s="36"/>
      <c r="BA830" s="36"/>
      <c r="BB830" s="36"/>
      <c r="BC830" s="36"/>
      <c r="BD830" s="36"/>
      <c r="BE830" s="36"/>
      <c r="BF830" s="36"/>
      <c r="BG830" s="36"/>
      <c r="BH830" s="36"/>
      <c r="BI830" s="36"/>
      <c r="BJ830" s="36"/>
      <c r="BK830" s="36"/>
      <c r="BL830" s="36"/>
      <c r="BM830" s="36"/>
      <c r="BN830" s="36"/>
      <c r="BO830" s="36"/>
      <c r="BP830" s="36"/>
      <c r="BQ830" s="36"/>
    </row>
    <row r="83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51"/>
      <c r="S831" s="51"/>
      <c r="T831" s="51"/>
      <c r="U831" s="51"/>
      <c r="V831" s="51"/>
      <c r="W831" s="51"/>
      <c r="X831" s="51"/>
      <c r="Y831" s="45"/>
      <c r="Z831" s="45"/>
      <c r="AA831" s="45"/>
      <c r="AB831" s="45"/>
      <c r="AC831" s="45"/>
      <c r="AD831" s="45"/>
      <c r="AE831" s="45"/>
      <c r="AF831" s="45"/>
      <c r="AG831" s="45"/>
      <c r="AH831" s="45"/>
      <c r="AI831" s="45"/>
      <c r="AJ831" s="45"/>
      <c r="AK831" s="45"/>
      <c r="AL831" s="45"/>
      <c r="AM831" s="45"/>
      <c r="AN831" s="45"/>
      <c r="AO831" s="45"/>
      <c r="AP831" s="45"/>
      <c r="AQ831" s="36"/>
      <c r="AR831" s="36"/>
      <c r="AS831" s="36"/>
      <c r="AT831" s="36"/>
      <c r="AU831" s="36"/>
      <c r="AV831" s="36"/>
      <c r="AW831" s="36"/>
      <c r="AX831" s="36"/>
      <c r="AY831" s="36"/>
      <c r="AZ831" s="36"/>
      <c r="BA831" s="36"/>
      <c r="BB831" s="36"/>
      <c r="BC831" s="36"/>
      <c r="BD831" s="36"/>
      <c r="BE831" s="36"/>
      <c r="BF831" s="36"/>
      <c r="BG831" s="36"/>
      <c r="BH831" s="36"/>
      <c r="BI831" s="36"/>
      <c r="BJ831" s="36"/>
      <c r="BK831" s="36"/>
      <c r="BL831" s="36"/>
      <c r="BM831" s="36"/>
      <c r="BN831" s="36"/>
      <c r="BO831" s="36"/>
      <c r="BP831" s="36"/>
      <c r="BQ831" s="36"/>
    </row>
    <row r="83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51"/>
      <c r="S832" s="51"/>
      <c r="T832" s="51"/>
      <c r="U832" s="51"/>
      <c r="V832" s="51"/>
      <c r="W832" s="51"/>
      <c r="X832" s="51"/>
      <c r="Y832" s="45"/>
      <c r="Z832" s="45"/>
      <c r="AA832" s="45"/>
      <c r="AB832" s="45"/>
      <c r="AC832" s="45"/>
      <c r="AD832" s="45"/>
      <c r="AE832" s="45"/>
      <c r="AF832" s="45"/>
      <c r="AG832" s="45"/>
      <c r="AH832" s="45"/>
      <c r="AI832" s="45"/>
      <c r="AJ832" s="45"/>
      <c r="AK832" s="45"/>
      <c r="AL832" s="45"/>
      <c r="AM832" s="45"/>
      <c r="AN832" s="45"/>
      <c r="AO832" s="45"/>
      <c r="AP832" s="45"/>
      <c r="AQ832" s="36"/>
      <c r="AR832" s="36"/>
      <c r="AS832" s="36"/>
      <c r="AT832" s="36"/>
      <c r="AU832" s="36"/>
      <c r="AV832" s="36"/>
      <c r="AW832" s="36"/>
      <c r="AX832" s="36"/>
      <c r="AY832" s="36"/>
      <c r="AZ832" s="36"/>
      <c r="BA832" s="36"/>
      <c r="BB832" s="36"/>
      <c r="BC832" s="36"/>
      <c r="BD832" s="36"/>
      <c r="BE832" s="36"/>
      <c r="BF832" s="36"/>
      <c r="BG832" s="36"/>
      <c r="BH832" s="36"/>
      <c r="BI832" s="36"/>
      <c r="BJ832" s="36"/>
      <c r="BK832" s="36"/>
      <c r="BL832" s="36"/>
      <c r="BM832" s="36"/>
      <c r="BN832" s="36"/>
      <c r="BO832" s="36"/>
      <c r="BP832" s="36"/>
      <c r="BQ832" s="36"/>
    </row>
    <row r="833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51"/>
      <c r="S833" s="51"/>
      <c r="T833" s="51"/>
      <c r="U833" s="51"/>
      <c r="V833" s="51"/>
      <c r="W833" s="51"/>
      <c r="X833" s="51"/>
      <c r="Y833" s="45"/>
      <c r="Z833" s="45"/>
      <c r="AA833" s="45"/>
      <c r="AB833" s="45"/>
      <c r="AC833" s="45"/>
      <c r="AD833" s="45"/>
      <c r="AE833" s="45"/>
      <c r="AF833" s="45"/>
      <c r="AG833" s="45"/>
      <c r="AH833" s="45"/>
      <c r="AI833" s="45"/>
      <c r="AJ833" s="45"/>
      <c r="AK833" s="45"/>
      <c r="AL833" s="45"/>
      <c r="AM833" s="45"/>
      <c r="AN833" s="45"/>
      <c r="AO833" s="45"/>
      <c r="AP833" s="45"/>
      <c r="AQ833" s="36"/>
      <c r="AR833" s="36"/>
      <c r="AS833" s="36"/>
      <c r="AT833" s="36"/>
      <c r="AU833" s="36"/>
      <c r="AV833" s="36"/>
      <c r="AW833" s="36"/>
      <c r="AX833" s="36"/>
      <c r="AY833" s="36"/>
      <c r="AZ833" s="36"/>
      <c r="BA833" s="36"/>
      <c r="BB833" s="36"/>
      <c r="BC833" s="36"/>
      <c r="BD833" s="36"/>
      <c r="BE833" s="36"/>
      <c r="BF833" s="36"/>
      <c r="BG833" s="36"/>
      <c r="BH833" s="36"/>
      <c r="BI833" s="36"/>
      <c r="BJ833" s="36"/>
      <c r="BK833" s="36"/>
      <c r="BL833" s="36"/>
      <c r="BM833" s="36"/>
      <c r="BN833" s="36"/>
      <c r="BO833" s="36"/>
      <c r="BP833" s="36"/>
      <c r="BQ833" s="36"/>
    </row>
    <row r="834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51"/>
      <c r="S834" s="51"/>
      <c r="T834" s="51"/>
      <c r="U834" s="51"/>
      <c r="V834" s="51"/>
      <c r="W834" s="51"/>
      <c r="X834" s="51"/>
      <c r="Y834" s="45"/>
      <c r="Z834" s="45"/>
      <c r="AA834" s="45"/>
      <c r="AB834" s="45"/>
      <c r="AC834" s="45"/>
      <c r="AD834" s="45"/>
      <c r="AE834" s="45"/>
      <c r="AF834" s="45"/>
      <c r="AG834" s="45"/>
      <c r="AH834" s="45"/>
      <c r="AI834" s="45"/>
      <c r="AJ834" s="45"/>
      <c r="AK834" s="45"/>
      <c r="AL834" s="45"/>
      <c r="AM834" s="45"/>
      <c r="AN834" s="45"/>
      <c r="AO834" s="45"/>
      <c r="AP834" s="45"/>
      <c r="AQ834" s="36"/>
      <c r="AR834" s="36"/>
      <c r="AS834" s="36"/>
      <c r="AT834" s="36"/>
      <c r="AU834" s="36"/>
      <c r="AV834" s="36"/>
      <c r="AW834" s="36"/>
      <c r="AX834" s="36"/>
      <c r="AY834" s="36"/>
      <c r="AZ834" s="36"/>
      <c r="BA834" s="36"/>
      <c r="BB834" s="36"/>
      <c r="BC834" s="36"/>
      <c r="BD834" s="36"/>
      <c r="BE834" s="36"/>
      <c r="BF834" s="36"/>
      <c r="BG834" s="36"/>
      <c r="BH834" s="36"/>
      <c r="BI834" s="36"/>
      <c r="BJ834" s="36"/>
      <c r="BK834" s="36"/>
      <c r="BL834" s="36"/>
      <c r="BM834" s="36"/>
      <c r="BN834" s="36"/>
      <c r="BO834" s="36"/>
      <c r="BP834" s="36"/>
      <c r="BQ834" s="36"/>
    </row>
    <row r="8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51"/>
      <c r="S835" s="51"/>
      <c r="T835" s="51"/>
      <c r="U835" s="51"/>
      <c r="V835" s="51"/>
      <c r="W835" s="51"/>
      <c r="X835" s="51"/>
      <c r="Y835" s="45"/>
      <c r="Z835" s="45"/>
      <c r="AA835" s="45"/>
      <c r="AB835" s="45"/>
      <c r="AC835" s="45"/>
      <c r="AD835" s="45"/>
      <c r="AE835" s="45"/>
      <c r="AF835" s="45"/>
      <c r="AG835" s="45"/>
      <c r="AH835" s="45"/>
      <c r="AI835" s="45"/>
      <c r="AJ835" s="45"/>
      <c r="AK835" s="45"/>
      <c r="AL835" s="45"/>
      <c r="AM835" s="45"/>
      <c r="AN835" s="45"/>
      <c r="AO835" s="45"/>
      <c r="AP835" s="45"/>
      <c r="AQ835" s="36"/>
      <c r="AR835" s="36"/>
      <c r="AS835" s="36"/>
      <c r="AT835" s="36"/>
      <c r="AU835" s="36"/>
      <c r="AV835" s="36"/>
      <c r="AW835" s="36"/>
      <c r="AX835" s="36"/>
      <c r="AY835" s="36"/>
      <c r="AZ835" s="36"/>
      <c r="BA835" s="36"/>
      <c r="BB835" s="36"/>
      <c r="BC835" s="36"/>
      <c r="BD835" s="36"/>
      <c r="BE835" s="36"/>
      <c r="BF835" s="36"/>
      <c r="BG835" s="36"/>
      <c r="BH835" s="36"/>
      <c r="BI835" s="36"/>
      <c r="BJ835" s="36"/>
      <c r="BK835" s="36"/>
      <c r="BL835" s="36"/>
      <c r="BM835" s="36"/>
      <c r="BN835" s="36"/>
      <c r="BO835" s="36"/>
      <c r="BP835" s="36"/>
      <c r="BQ835" s="36"/>
    </row>
    <row r="836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51"/>
      <c r="S836" s="51"/>
      <c r="T836" s="51"/>
      <c r="U836" s="51"/>
      <c r="V836" s="51"/>
      <c r="W836" s="51"/>
      <c r="X836" s="51"/>
      <c r="Y836" s="45"/>
      <c r="Z836" s="45"/>
      <c r="AA836" s="45"/>
      <c r="AB836" s="45"/>
      <c r="AC836" s="45"/>
      <c r="AD836" s="45"/>
      <c r="AE836" s="45"/>
      <c r="AF836" s="45"/>
      <c r="AG836" s="45"/>
      <c r="AH836" s="45"/>
      <c r="AI836" s="45"/>
      <c r="AJ836" s="45"/>
      <c r="AK836" s="45"/>
      <c r="AL836" s="45"/>
      <c r="AM836" s="45"/>
      <c r="AN836" s="45"/>
      <c r="AO836" s="45"/>
      <c r="AP836" s="45"/>
      <c r="AQ836" s="36"/>
      <c r="AR836" s="36"/>
      <c r="AS836" s="36"/>
      <c r="AT836" s="36"/>
      <c r="AU836" s="36"/>
      <c r="AV836" s="36"/>
      <c r="AW836" s="36"/>
      <c r="AX836" s="36"/>
      <c r="AY836" s="36"/>
      <c r="AZ836" s="36"/>
      <c r="BA836" s="36"/>
      <c r="BB836" s="36"/>
      <c r="BC836" s="36"/>
      <c r="BD836" s="36"/>
      <c r="BE836" s="36"/>
      <c r="BF836" s="36"/>
      <c r="BG836" s="36"/>
      <c r="BH836" s="36"/>
      <c r="BI836" s="36"/>
      <c r="BJ836" s="36"/>
      <c r="BK836" s="36"/>
      <c r="BL836" s="36"/>
      <c r="BM836" s="36"/>
      <c r="BN836" s="36"/>
      <c r="BO836" s="36"/>
      <c r="BP836" s="36"/>
      <c r="BQ836" s="36"/>
    </row>
    <row r="837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51"/>
      <c r="S837" s="51"/>
      <c r="T837" s="51"/>
      <c r="U837" s="51"/>
      <c r="V837" s="51"/>
      <c r="W837" s="51"/>
      <c r="X837" s="51"/>
      <c r="Y837" s="45"/>
      <c r="Z837" s="45"/>
      <c r="AA837" s="45"/>
      <c r="AB837" s="45"/>
      <c r="AC837" s="45"/>
      <c r="AD837" s="45"/>
      <c r="AE837" s="45"/>
      <c r="AF837" s="45"/>
      <c r="AG837" s="45"/>
      <c r="AH837" s="45"/>
      <c r="AI837" s="45"/>
      <c r="AJ837" s="45"/>
      <c r="AK837" s="45"/>
      <c r="AL837" s="45"/>
      <c r="AM837" s="45"/>
      <c r="AN837" s="45"/>
      <c r="AO837" s="45"/>
      <c r="AP837" s="45"/>
      <c r="AQ837" s="36"/>
      <c r="AR837" s="36"/>
      <c r="AS837" s="36"/>
      <c r="AT837" s="36"/>
      <c r="AU837" s="36"/>
      <c r="AV837" s="36"/>
      <c r="AW837" s="36"/>
      <c r="AX837" s="36"/>
      <c r="AY837" s="36"/>
      <c r="AZ837" s="36"/>
      <c r="BA837" s="36"/>
      <c r="BB837" s="36"/>
      <c r="BC837" s="36"/>
      <c r="BD837" s="36"/>
      <c r="BE837" s="36"/>
      <c r="BF837" s="36"/>
      <c r="BG837" s="36"/>
      <c r="BH837" s="36"/>
      <c r="BI837" s="36"/>
      <c r="BJ837" s="36"/>
      <c r="BK837" s="36"/>
      <c r="BL837" s="36"/>
      <c r="BM837" s="36"/>
      <c r="BN837" s="36"/>
      <c r="BO837" s="36"/>
      <c r="BP837" s="36"/>
      <c r="BQ837" s="36"/>
    </row>
    <row r="838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51"/>
      <c r="S838" s="51"/>
      <c r="T838" s="51"/>
      <c r="U838" s="51"/>
      <c r="V838" s="51"/>
      <c r="W838" s="51"/>
      <c r="X838" s="51"/>
      <c r="Y838" s="45"/>
      <c r="Z838" s="45"/>
      <c r="AA838" s="45"/>
      <c r="AB838" s="45"/>
      <c r="AC838" s="45"/>
      <c r="AD838" s="45"/>
      <c r="AE838" s="45"/>
      <c r="AF838" s="45"/>
      <c r="AG838" s="45"/>
      <c r="AH838" s="45"/>
      <c r="AI838" s="45"/>
      <c r="AJ838" s="45"/>
      <c r="AK838" s="45"/>
      <c r="AL838" s="45"/>
      <c r="AM838" s="45"/>
      <c r="AN838" s="45"/>
      <c r="AO838" s="45"/>
      <c r="AP838" s="45"/>
      <c r="AQ838" s="36"/>
      <c r="AR838" s="36"/>
      <c r="AS838" s="36"/>
      <c r="AT838" s="36"/>
      <c r="AU838" s="36"/>
      <c r="AV838" s="36"/>
      <c r="AW838" s="36"/>
      <c r="AX838" s="36"/>
      <c r="AY838" s="36"/>
      <c r="AZ838" s="36"/>
      <c r="BA838" s="36"/>
      <c r="BB838" s="36"/>
      <c r="BC838" s="36"/>
      <c r="BD838" s="36"/>
      <c r="BE838" s="36"/>
      <c r="BF838" s="36"/>
      <c r="BG838" s="36"/>
      <c r="BH838" s="36"/>
      <c r="BI838" s="36"/>
      <c r="BJ838" s="36"/>
      <c r="BK838" s="36"/>
      <c r="BL838" s="36"/>
      <c r="BM838" s="36"/>
      <c r="BN838" s="36"/>
      <c r="BO838" s="36"/>
      <c r="BP838" s="36"/>
      <c r="BQ838" s="36"/>
    </row>
    <row r="839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51"/>
      <c r="S839" s="51"/>
      <c r="T839" s="51"/>
      <c r="U839" s="51"/>
      <c r="V839" s="51"/>
      <c r="W839" s="51"/>
      <c r="X839" s="51"/>
      <c r="Y839" s="45"/>
      <c r="Z839" s="45"/>
      <c r="AA839" s="45"/>
      <c r="AB839" s="45"/>
      <c r="AC839" s="45"/>
      <c r="AD839" s="45"/>
      <c r="AE839" s="45"/>
      <c r="AF839" s="45"/>
      <c r="AG839" s="45"/>
      <c r="AH839" s="45"/>
      <c r="AI839" s="45"/>
      <c r="AJ839" s="45"/>
      <c r="AK839" s="45"/>
      <c r="AL839" s="45"/>
      <c r="AM839" s="45"/>
      <c r="AN839" s="45"/>
      <c r="AO839" s="45"/>
      <c r="AP839" s="45"/>
      <c r="AQ839" s="36"/>
      <c r="AR839" s="36"/>
      <c r="AS839" s="36"/>
      <c r="AT839" s="36"/>
      <c r="AU839" s="36"/>
      <c r="AV839" s="36"/>
      <c r="AW839" s="36"/>
      <c r="AX839" s="36"/>
      <c r="AY839" s="36"/>
      <c r="AZ839" s="36"/>
      <c r="BA839" s="36"/>
      <c r="BB839" s="36"/>
      <c r="BC839" s="36"/>
      <c r="BD839" s="36"/>
      <c r="BE839" s="36"/>
      <c r="BF839" s="36"/>
      <c r="BG839" s="36"/>
      <c r="BH839" s="36"/>
      <c r="BI839" s="36"/>
      <c r="BJ839" s="36"/>
      <c r="BK839" s="36"/>
      <c r="BL839" s="36"/>
      <c r="BM839" s="36"/>
      <c r="BN839" s="36"/>
      <c r="BO839" s="36"/>
      <c r="BP839" s="36"/>
      <c r="BQ839" s="36"/>
    </row>
    <row r="840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51"/>
      <c r="S840" s="51"/>
      <c r="T840" s="51"/>
      <c r="U840" s="51"/>
      <c r="V840" s="51"/>
      <c r="W840" s="51"/>
      <c r="X840" s="51"/>
      <c r="Y840" s="45"/>
      <c r="Z840" s="45"/>
      <c r="AA840" s="45"/>
      <c r="AB840" s="45"/>
      <c r="AC840" s="45"/>
      <c r="AD840" s="45"/>
      <c r="AE840" s="45"/>
      <c r="AF840" s="45"/>
      <c r="AG840" s="45"/>
      <c r="AH840" s="45"/>
      <c r="AI840" s="45"/>
      <c r="AJ840" s="45"/>
      <c r="AK840" s="45"/>
      <c r="AL840" s="45"/>
      <c r="AM840" s="45"/>
      <c r="AN840" s="45"/>
      <c r="AO840" s="45"/>
      <c r="AP840" s="45"/>
      <c r="AQ840" s="36"/>
      <c r="AR840" s="36"/>
      <c r="AS840" s="36"/>
      <c r="AT840" s="36"/>
      <c r="AU840" s="36"/>
      <c r="AV840" s="36"/>
      <c r="AW840" s="36"/>
      <c r="AX840" s="36"/>
      <c r="AY840" s="36"/>
      <c r="AZ840" s="36"/>
      <c r="BA840" s="36"/>
      <c r="BB840" s="36"/>
      <c r="BC840" s="36"/>
      <c r="BD840" s="36"/>
      <c r="BE840" s="36"/>
      <c r="BF840" s="36"/>
      <c r="BG840" s="36"/>
      <c r="BH840" s="36"/>
      <c r="BI840" s="36"/>
      <c r="BJ840" s="36"/>
      <c r="BK840" s="36"/>
      <c r="BL840" s="36"/>
      <c r="BM840" s="36"/>
      <c r="BN840" s="36"/>
      <c r="BO840" s="36"/>
      <c r="BP840" s="36"/>
      <c r="BQ840" s="36"/>
    </row>
    <row r="84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51"/>
      <c r="S841" s="51"/>
      <c r="T841" s="51"/>
      <c r="U841" s="51"/>
      <c r="V841" s="51"/>
      <c r="W841" s="51"/>
      <c r="X841" s="51"/>
      <c r="Y841" s="45"/>
      <c r="Z841" s="45"/>
      <c r="AA841" s="45"/>
      <c r="AB841" s="45"/>
      <c r="AC841" s="45"/>
      <c r="AD841" s="45"/>
      <c r="AE841" s="45"/>
      <c r="AF841" s="45"/>
      <c r="AG841" s="45"/>
      <c r="AH841" s="45"/>
      <c r="AI841" s="45"/>
      <c r="AJ841" s="45"/>
      <c r="AK841" s="45"/>
      <c r="AL841" s="45"/>
      <c r="AM841" s="45"/>
      <c r="AN841" s="45"/>
      <c r="AO841" s="45"/>
      <c r="AP841" s="45"/>
      <c r="AQ841" s="36"/>
      <c r="AR841" s="36"/>
      <c r="AS841" s="36"/>
      <c r="AT841" s="36"/>
      <c r="AU841" s="36"/>
      <c r="AV841" s="36"/>
      <c r="AW841" s="36"/>
      <c r="AX841" s="36"/>
      <c r="AY841" s="36"/>
      <c r="AZ841" s="36"/>
      <c r="BA841" s="36"/>
      <c r="BB841" s="36"/>
      <c r="BC841" s="36"/>
      <c r="BD841" s="36"/>
      <c r="BE841" s="36"/>
      <c r="BF841" s="36"/>
      <c r="BG841" s="36"/>
      <c r="BH841" s="36"/>
      <c r="BI841" s="36"/>
      <c r="BJ841" s="36"/>
      <c r="BK841" s="36"/>
      <c r="BL841" s="36"/>
      <c r="BM841" s="36"/>
      <c r="BN841" s="36"/>
      <c r="BO841" s="36"/>
      <c r="BP841" s="36"/>
      <c r="BQ841" s="36"/>
    </row>
    <row r="84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51"/>
      <c r="S842" s="51"/>
      <c r="T842" s="51"/>
      <c r="U842" s="51"/>
      <c r="V842" s="51"/>
      <c r="W842" s="51"/>
      <c r="X842" s="51"/>
      <c r="Y842" s="45"/>
      <c r="Z842" s="45"/>
      <c r="AA842" s="45"/>
      <c r="AB842" s="45"/>
      <c r="AC842" s="45"/>
      <c r="AD842" s="45"/>
      <c r="AE842" s="45"/>
      <c r="AF842" s="45"/>
      <c r="AG842" s="45"/>
      <c r="AH842" s="45"/>
      <c r="AI842" s="45"/>
      <c r="AJ842" s="45"/>
      <c r="AK842" s="45"/>
      <c r="AL842" s="45"/>
      <c r="AM842" s="45"/>
      <c r="AN842" s="45"/>
      <c r="AO842" s="45"/>
      <c r="AP842" s="45"/>
      <c r="AQ842" s="36"/>
      <c r="AR842" s="36"/>
      <c r="AS842" s="36"/>
      <c r="AT842" s="36"/>
      <c r="AU842" s="36"/>
      <c r="AV842" s="36"/>
      <c r="AW842" s="36"/>
      <c r="AX842" s="36"/>
      <c r="AY842" s="36"/>
      <c r="AZ842" s="36"/>
      <c r="BA842" s="36"/>
      <c r="BB842" s="36"/>
      <c r="BC842" s="36"/>
      <c r="BD842" s="36"/>
      <c r="BE842" s="36"/>
      <c r="BF842" s="36"/>
      <c r="BG842" s="36"/>
      <c r="BH842" s="36"/>
      <c r="BI842" s="36"/>
      <c r="BJ842" s="36"/>
      <c r="BK842" s="36"/>
      <c r="BL842" s="36"/>
      <c r="BM842" s="36"/>
      <c r="BN842" s="36"/>
      <c r="BO842" s="36"/>
      <c r="BP842" s="36"/>
      <c r="BQ842" s="36"/>
    </row>
    <row r="843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51"/>
      <c r="S843" s="51"/>
      <c r="T843" s="51"/>
      <c r="U843" s="51"/>
      <c r="V843" s="51"/>
      <c r="W843" s="51"/>
      <c r="X843" s="51"/>
      <c r="Y843" s="45"/>
      <c r="Z843" s="45"/>
      <c r="AA843" s="45"/>
      <c r="AB843" s="45"/>
      <c r="AC843" s="45"/>
      <c r="AD843" s="45"/>
      <c r="AE843" s="45"/>
      <c r="AF843" s="45"/>
      <c r="AG843" s="45"/>
      <c r="AH843" s="45"/>
      <c r="AI843" s="45"/>
      <c r="AJ843" s="45"/>
      <c r="AK843" s="45"/>
      <c r="AL843" s="45"/>
      <c r="AM843" s="45"/>
      <c r="AN843" s="45"/>
      <c r="AO843" s="45"/>
      <c r="AP843" s="45"/>
      <c r="AQ843" s="36"/>
      <c r="AR843" s="36"/>
      <c r="AS843" s="36"/>
      <c r="AT843" s="36"/>
      <c r="AU843" s="36"/>
      <c r="AV843" s="36"/>
      <c r="AW843" s="36"/>
      <c r="AX843" s="36"/>
      <c r="AY843" s="36"/>
      <c r="AZ843" s="36"/>
      <c r="BA843" s="36"/>
      <c r="BB843" s="36"/>
      <c r="BC843" s="36"/>
      <c r="BD843" s="36"/>
      <c r="BE843" s="36"/>
      <c r="BF843" s="36"/>
      <c r="BG843" s="36"/>
      <c r="BH843" s="36"/>
      <c r="BI843" s="36"/>
      <c r="BJ843" s="36"/>
      <c r="BK843" s="36"/>
      <c r="BL843" s="36"/>
      <c r="BM843" s="36"/>
      <c r="BN843" s="36"/>
      <c r="BO843" s="36"/>
      <c r="BP843" s="36"/>
      <c r="BQ843" s="36"/>
    </row>
    <row r="844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51"/>
      <c r="S844" s="51"/>
      <c r="T844" s="51"/>
      <c r="U844" s="51"/>
      <c r="V844" s="51"/>
      <c r="W844" s="51"/>
      <c r="X844" s="51"/>
      <c r="Y844" s="45"/>
      <c r="Z844" s="45"/>
      <c r="AA844" s="45"/>
      <c r="AB844" s="45"/>
      <c r="AC844" s="45"/>
      <c r="AD844" s="45"/>
      <c r="AE844" s="45"/>
      <c r="AF844" s="45"/>
      <c r="AG844" s="45"/>
      <c r="AH844" s="45"/>
      <c r="AI844" s="45"/>
      <c r="AJ844" s="45"/>
      <c r="AK844" s="45"/>
      <c r="AL844" s="45"/>
      <c r="AM844" s="45"/>
      <c r="AN844" s="45"/>
      <c r="AO844" s="45"/>
      <c r="AP844" s="45"/>
      <c r="AQ844" s="36"/>
      <c r="AR844" s="36"/>
      <c r="AS844" s="36"/>
      <c r="AT844" s="36"/>
      <c r="AU844" s="36"/>
      <c r="AV844" s="36"/>
      <c r="AW844" s="36"/>
      <c r="AX844" s="36"/>
      <c r="AY844" s="36"/>
      <c r="AZ844" s="36"/>
      <c r="BA844" s="36"/>
      <c r="BB844" s="36"/>
      <c r="BC844" s="36"/>
      <c r="BD844" s="36"/>
      <c r="BE844" s="36"/>
      <c r="BF844" s="36"/>
      <c r="BG844" s="36"/>
      <c r="BH844" s="36"/>
      <c r="BI844" s="36"/>
      <c r="BJ844" s="36"/>
      <c r="BK844" s="36"/>
      <c r="BL844" s="36"/>
      <c r="BM844" s="36"/>
      <c r="BN844" s="36"/>
      <c r="BO844" s="36"/>
      <c r="BP844" s="36"/>
      <c r="BQ844" s="36"/>
    </row>
    <row r="84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51"/>
      <c r="S845" s="51"/>
      <c r="T845" s="51"/>
      <c r="U845" s="51"/>
      <c r="V845" s="51"/>
      <c r="W845" s="51"/>
      <c r="X845" s="51"/>
      <c r="Y845" s="45"/>
      <c r="Z845" s="45"/>
      <c r="AA845" s="45"/>
      <c r="AB845" s="45"/>
      <c r="AC845" s="45"/>
      <c r="AD845" s="45"/>
      <c r="AE845" s="45"/>
      <c r="AF845" s="45"/>
      <c r="AG845" s="45"/>
      <c r="AH845" s="45"/>
      <c r="AI845" s="45"/>
      <c r="AJ845" s="45"/>
      <c r="AK845" s="45"/>
      <c r="AL845" s="45"/>
      <c r="AM845" s="45"/>
      <c r="AN845" s="45"/>
      <c r="AO845" s="45"/>
      <c r="AP845" s="45"/>
      <c r="AQ845" s="36"/>
      <c r="AR845" s="36"/>
      <c r="AS845" s="36"/>
      <c r="AT845" s="36"/>
      <c r="AU845" s="36"/>
      <c r="AV845" s="36"/>
      <c r="AW845" s="36"/>
      <c r="AX845" s="36"/>
      <c r="AY845" s="36"/>
      <c r="AZ845" s="36"/>
      <c r="BA845" s="36"/>
      <c r="BB845" s="36"/>
      <c r="BC845" s="36"/>
      <c r="BD845" s="36"/>
      <c r="BE845" s="36"/>
      <c r="BF845" s="36"/>
      <c r="BG845" s="36"/>
      <c r="BH845" s="36"/>
      <c r="BI845" s="36"/>
      <c r="BJ845" s="36"/>
      <c r="BK845" s="36"/>
      <c r="BL845" s="36"/>
      <c r="BM845" s="36"/>
      <c r="BN845" s="36"/>
      <c r="BO845" s="36"/>
      <c r="BP845" s="36"/>
      <c r="BQ845" s="36"/>
    </row>
    <row r="846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51"/>
      <c r="S846" s="51"/>
      <c r="T846" s="51"/>
      <c r="U846" s="51"/>
      <c r="V846" s="51"/>
      <c r="W846" s="51"/>
      <c r="X846" s="51"/>
      <c r="Y846" s="45"/>
      <c r="Z846" s="45"/>
      <c r="AA846" s="45"/>
      <c r="AB846" s="45"/>
      <c r="AC846" s="45"/>
      <c r="AD846" s="45"/>
      <c r="AE846" s="45"/>
      <c r="AF846" s="45"/>
      <c r="AG846" s="45"/>
      <c r="AH846" s="45"/>
      <c r="AI846" s="45"/>
      <c r="AJ846" s="45"/>
      <c r="AK846" s="45"/>
      <c r="AL846" s="45"/>
      <c r="AM846" s="45"/>
      <c r="AN846" s="45"/>
      <c r="AO846" s="45"/>
      <c r="AP846" s="45"/>
      <c r="AQ846" s="36"/>
      <c r="AR846" s="36"/>
      <c r="AS846" s="36"/>
      <c r="AT846" s="36"/>
      <c r="AU846" s="36"/>
      <c r="AV846" s="36"/>
      <c r="AW846" s="36"/>
      <c r="AX846" s="36"/>
      <c r="AY846" s="36"/>
      <c r="AZ846" s="36"/>
      <c r="BA846" s="36"/>
      <c r="BB846" s="36"/>
      <c r="BC846" s="36"/>
      <c r="BD846" s="36"/>
      <c r="BE846" s="36"/>
      <c r="BF846" s="36"/>
      <c r="BG846" s="36"/>
      <c r="BH846" s="36"/>
      <c r="BI846" s="36"/>
      <c r="BJ846" s="36"/>
      <c r="BK846" s="36"/>
      <c r="BL846" s="36"/>
      <c r="BM846" s="36"/>
      <c r="BN846" s="36"/>
      <c r="BO846" s="36"/>
      <c r="BP846" s="36"/>
      <c r="BQ846" s="36"/>
    </row>
    <row r="847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51"/>
      <c r="S847" s="51"/>
      <c r="T847" s="51"/>
      <c r="U847" s="51"/>
      <c r="V847" s="51"/>
      <c r="W847" s="51"/>
      <c r="X847" s="51"/>
      <c r="Y847" s="45"/>
      <c r="Z847" s="45"/>
      <c r="AA847" s="45"/>
      <c r="AB847" s="45"/>
      <c r="AC847" s="45"/>
      <c r="AD847" s="45"/>
      <c r="AE847" s="45"/>
      <c r="AF847" s="45"/>
      <c r="AG847" s="45"/>
      <c r="AH847" s="45"/>
      <c r="AI847" s="45"/>
      <c r="AJ847" s="45"/>
      <c r="AK847" s="45"/>
      <c r="AL847" s="45"/>
      <c r="AM847" s="45"/>
      <c r="AN847" s="45"/>
      <c r="AO847" s="45"/>
      <c r="AP847" s="45"/>
      <c r="AQ847" s="36"/>
      <c r="AR847" s="36"/>
      <c r="AS847" s="36"/>
      <c r="AT847" s="36"/>
      <c r="AU847" s="36"/>
      <c r="AV847" s="36"/>
      <c r="AW847" s="36"/>
      <c r="AX847" s="36"/>
      <c r="AY847" s="36"/>
      <c r="AZ847" s="36"/>
      <c r="BA847" s="36"/>
      <c r="BB847" s="36"/>
      <c r="BC847" s="36"/>
      <c r="BD847" s="36"/>
      <c r="BE847" s="36"/>
      <c r="BF847" s="36"/>
      <c r="BG847" s="36"/>
      <c r="BH847" s="36"/>
      <c r="BI847" s="36"/>
      <c r="BJ847" s="36"/>
      <c r="BK847" s="36"/>
      <c r="BL847" s="36"/>
      <c r="BM847" s="36"/>
      <c r="BN847" s="36"/>
      <c r="BO847" s="36"/>
      <c r="BP847" s="36"/>
      <c r="BQ847" s="36"/>
    </row>
    <row r="848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51"/>
      <c r="S848" s="51"/>
      <c r="T848" s="51"/>
      <c r="U848" s="51"/>
      <c r="V848" s="51"/>
      <c r="W848" s="51"/>
      <c r="X848" s="51"/>
      <c r="Y848" s="45"/>
      <c r="Z848" s="45"/>
      <c r="AA848" s="45"/>
      <c r="AB848" s="45"/>
      <c r="AC848" s="45"/>
      <c r="AD848" s="45"/>
      <c r="AE848" s="45"/>
      <c r="AF848" s="45"/>
      <c r="AG848" s="45"/>
      <c r="AH848" s="45"/>
      <c r="AI848" s="45"/>
      <c r="AJ848" s="45"/>
      <c r="AK848" s="45"/>
      <c r="AL848" s="45"/>
      <c r="AM848" s="45"/>
      <c r="AN848" s="45"/>
      <c r="AO848" s="45"/>
      <c r="AP848" s="45"/>
      <c r="AQ848" s="36"/>
      <c r="AR848" s="36"/>
      <c r="AS848" s="36"/>
      <c r="AT848" s="36"/>
      <c r="AU848" s="36"/>
      <c r="AV848" s="36"/>
      <c r="AW848" s="36"/>
      <c r="AX848" s="36"/>
      <c r="AY848" s="36"/>
      <c r="AZ848" s="36"/>
      <c r="BA848" s="36"/>
      <c r="BB848" s="36"/>
      <c r="BC848" s="36"/>
      <c r="BD848" s="36"/>
      <c r="BE848" s="36"/>
      <c r="BF848" s="36"/>
      <c r="BG848" s="36"/>
      <c r="BH848" s="36"/>
      <c r="BI848" s="36"/>
      <c r="BJ848" s="36"/>
      <c r="BK848" s="36"/>
      <c r="BL848" s="36"/>
      <c r="BM848" s="36"/>
      <c r="BN848" s="36"/>
      <c r="BO848" s="36"/>
      <c r="BP848" s="36"/>
      <c r="BQ848" s="36"/>
    </row>
    <row r="849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51"/>
      <c r="S849" s="51"/>
      <c r="T849" s="51"/>
      <c r="U849" s="51"/>
      <c r="V849" s="51"/>
      <c r="W849" s="51"/>
      <c r="X849" s="51"/>
      <c r="Y849" s="45"/>
      <c r="Z849" s="45"/>
      <c r="AA849" s="45"/>
      <c r="AB849" s="45"/>
      <c r="AC849" s="45"/>
      <c r="AD849" s="45"/>
      <c r="AE849" s="45"/>
      <c r="AF849" s="45"/>
      <c r="AG849" s="45"/>
      <c r="AH849" s="45"/>
      <c r="AI849" s="45"/>
      <c r="AJ849" s="45"/>
      <c r="AK849" s="45"/>
      <c r="AL849" s="45"/>
      <c r="AM849" s="45"/>
      <c r="AN849" s="45"/>
      <c r="AO849" s="45"/>
      <c r="AP849" s="45"/>
      <c r="AQ849" s="36"/>
      <c r="AR849" s="36"/>
      <c r="AS849" s="36"/>
      <c r="AT849" s="36"/>
      <c r="AU849" s="36"/>
      <c r="AV849" s="36"/>
      <c r="AW849" s="36"/>
      <c r="AX849" s="36"/>
      <c r="AY849" s="36"/>
      <c r="AZ849" s="36"/>
      <c r="BA849" s="36"/>
      <c r="BB849" s="36"/>
      <c r="BC849" s="36"/>
      <c r="BD849" s="36"/>
      <c r="BE849" s="36"/>
      <c r="BF849" s="36"/>
      <c r="BG849" s="36"/>
      <c r="BH849" s="36"/>
      <c r="BI849" s="36"/>
      <c r="BJ849" s="36"/>
      <c r="BK849" s="36"/>
      <c r="BL849" s="36"/>
      <c r="BM849" s="36"/>
      <c r="BN849" s="36"/>
      <c r="BO849" s="36"/>
      <c r="BP849" s="36"/>
      <c r="BQ849" s="36"/>
    </row>
    <row r="850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51"/>
      <c r="S850" s="51"/>
      <c r="T850" s="51"/>
      <c r="U850" s="51"/>
      <c r="V850" s="51"/>
      <c r="W850" s="51"/>
      <c r="X850" s="51"/>
      <c r="Y850" s="45"/>
      <c r="Z850" s="45"/>
      <c r="AA850" s="45"/>
      <c r="AB850" s="45"/>
      <c r="AC850" s="45"/>
      <c r="AD850" s="45"/>
      <c r="AE850" s="45"/>
      <c r="AF850" s="45"/>
      <c r="AG850" s="45"/>
      <c r="AH850" s="45"/>
      <c r="AI850" s="45"/>
      <c r="AJ850" s="45"/>
      <c r="AK850" s="45"/>
      <c r="AL850" s="45"/>
      <c r="AM850" s="45"/>
      <c r="AN850" s="45"/>
      <c r="AO850" s="45"/>
      <c r="AP850" s="45"/>
      <c r="AQ850" s="36"/>
      <c r="AR850" s="36"/>
      <c r="AS850" s="36"/>
      <c r="AT850" s="36"/>
      <c r="AU850" s="36"/>
      <c r="AV850" s="36"/>
      <c r="AW850" s="36"/>
      <c r="AX850" s="36"/>
      <c r="AY850" s="36"/>
      <c r="AZ850" s="36"/>
      <c r="BA850" s="36"/>
      <c r="BB850" s="36"/>
      <c r="BC850" s="36"/>
      <c r="BD850" s="36"/>
      <c r="BE850" s="36"/>
      <c r="BF850" s="36"/>
      <c r="BG850" s="36"/>
      <c r="BH850" s="36"/>
      <c r="BI850" s="36"/>
      <c r="BJ850" s="36"/>
      <c r="BK850" s="36"/>
      <c r="BL850" s="36"/>
      <c r="BM850" s="36"/>
      <c r="BN850" s="36"/>
      <c r="BO850" s="36"/>
      <c r="BP850" s="36"/>
      <c r="BQ850" s="36"/>
    </row>
    <row r="85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51"/>
      <c r="S851" s="51"/>
      <c r="T851" s="51"/>
      <c r="U851" s="51"/>
      <c r="V851" s="51"/>
      <c r="W851" s="51"/>
      <c r="X851" s="51"/>
      <c r="Y851" s="45"/>
      <c r="Z851" s="45"/>
      <c r="AA851" s="45"/>
      <c r="AB851" s="45"/>
      <c r="AC851" s="45"/>
      <c r="AD851" s="45"/>
      <c r="AE851" s="45"/>
      <c r="AF851" s="45"/>
      <c r="AG851" s="45"/>
      <c r="AH851" s="45"/>
      <c r="AI851" s="45"/>
      <c r="AJ851" s="45"/>
      <c r="AK851" s="45"/>
      <c r="AL851" s="45"/>
      <c r="AM851" s="45"/>
      <c r="AN851" s="45"/>
      <c r="AO851" s="45"/>
      <c r="AP851" s="45"/>
      <c r="AQ851" s="36"/>
      <c r="AR851" s="36"/>
      <c r="AS851" s="36"/>
      <c r="AT851" s="36"/>
      <c r="AU851" s="36"/>
      <c r="AV851" s="36"/>
      <c r="AW851" s="36"/>
      <c r="AX851" s="36"/>
      <c r="AY851" s="36"/>
      <c r="AZ851" s="36"/>
      <c r="BA851" s="36"/>
      <c r="BB851" s="36"/>
      <c r="BC851" s="36"/>
      <c r="BD851" s="36"/>
      <c r="BE851" s="36"/>
      <c r="BF851" s="36"/>
      <c r="BG851" s="36"/>
      <c r="BH851" s="36"/>
      <c r="BI851" s="36"/>
      <c r="BJ851" s="36"/>
      <c r="BK851" s="36"/>
      <c r="BL851" s="36"/>
      <c r="BM851" s="36"/>
      <c r="BN851" s="36"/>
      <c r="BO851" s="36"/>
      <c r="BP851" s="36"/>
      <c r="BQ851" s="36"/>
    </row>
    <row r="85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51"/>
      <c r="S852" s="51"/>
      <c r="T852" s="51"/>
      <c r="U852" s="51"/>
      <c r="V852" s="51"/>
      <c r="W852" s="51"/>
      <c r="X852" s="51"/>
      <c r="Y852" s="45"/>
      <c r="Z852" s="45"/>
      <c r="AA852" s="45"/>
      <c r="AB852" s="45"/>
      <c r="AC852" s="45"/>
      <c r="AD852" s="45"/>
      <c r="AE852" s="45"/>
      <c r="AF852" s="45"/>
      <c r="AG852" s="45"/>
      <c r="AH852" s="45"/>
      <c r="AI852" s="45"/>
      <c r="AJ852" s="45"/>
      <c r="AK852" s="45"/>
      <c r="AL852" s="45"/>
      <c r="AM852" s="45"/>
      <c r="AN852" s="45"/>
      <c r="AO852" s="45"/>
      <c r="AP852" s="45"/>
      <c r="AQ852" s="36"/>
      <c r="AR852" s="36"/>
      <c r="AS852" s="36"/>
      <c r="AT852" s="36"/>
      <c r="AU852" s="36"/>
      <c r="AV852" s="36"/>
      <c r="AW852" s="36"/>
      <c r="AX852" s="36"/>
      <c r="AY852" s="36"/>
      <c r="AZ852" s="36"/>
      <c r="BA852" s="36"/>
      <c r="BB852" s="36"/>
      <c r="BC852" s="36"/>
      <c r="BD852" s="36"/>
      <c r="BE852" s="36"/>
      <c r="BF852" s="36"/>
      <c r="BG852" s="36"/>
      <c r="BH852" s="36"/>
      <c r="BI852" s="36"/>
      <c r="BJ852" s="36"/>
      <c r="BK852" s="36"/>
      <c r="BL852" s="36"/>
      <c r="BM852" s="36"/>
      <c r="BN852" s="36"/>
      <c r="BO852" s="36"/>
      <c r="BP852" s="36"/>
      <c r="BQ852" s="36"/>
    </row>
    <row r="853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51"/>
      <c r="S853" s="51"/>
      <c r="T853" s="51"/>
      <c r="U853" s="51"/>
      <c r="V853" s="51"/>
      <c r="W853" s="51"/>
      <c r="X853" s="51"/>
      <c r="Y853" s="45"/>
      <c r="Z853" s="45"/>
      <c r="AA853" s="45"/>
      <c r="AB853" s="45"/>
      <c r="AC853" s="45"/>
      <c r="AD853" s="45"/>
      <c r="AE853" s="45"/>
      <c r="AF853" s="45"/>
      <c r="AG853" s="45"/>
      <c r="AH853" s="45"/>
      <c r="AI853" s="45"/>
      <c r="AJ853" s="45"/>
      <c r="AK853" s="45"/>
      <c r="AL853" s="45"/>
      <c r="AM853" s="45"/>
      <c r="AN853" s="45"/>
      <c r="AO853" s="45"/>
      <c r="AP853" s="45"/>
      <c r="AQ853" s="36"/>
      <c r="AR853" s="36"/>
      <c r="AS853" s="36"/>
      <c r="AT853" s="36"/>
      <c r="AU853" s="36"/>
      <c r="AV853" s="36"/>
      <c r="AW853" s="36"/>
      <c r="AX853" s="36"/>
      <c r="AY853" s="36"/>
      <c r="AZ853" s="36"/>
      <c r="BA853" s="36"/>
      <c r="BB853" s="36"/>
      <c r="BC853" s="36"/>
      <c r="BD853" s="36"/>
      <c r="BE853" s="36"/>
      <c r="BF853" s="36"/>
      <c r="BG853" s="36"/>
      <c r="BH853" s="36"/>
      <c r="BI853" s="36"/>
      <c r="BJ853" s="36"/>
      <c r="BK853" s="36"/>
      <c r="BL853" s="36"/>
      <c r="BM853" s="36"/>
      <c r="BN853" s="36"/>
      <c r="BO853" s="36"/>
      <c r="BP853" s="36"/>
      <c r="BQ853" s="36"/>
    </row>
    <row r="854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51"/>
      <c r="S854" s="51"/>
      <c r="T854" s="51"/>
      <c r="U854" s="51"/>
      <c r="V854" s="51"/>
      <c r="W854" s="51"/>
      <c r="X854" s="51"/>
      <c r="Y854" s="45"/>
      <c r="Z854" s="45"/>
      <c r="AA854" s="45"/>
      <c r="AB854" s="45"/>
      <c r="AC854" s="45"/>
      <c r="AD854" s="45"/>
      <c r="AE854" s="45"/>
      <c r="AF854" s="45"/>
      <c r="AG854" s="45"/>
      <c r="AH854" s="45"/>
      <c r="AI854" s="45"/>
      <c r="AJ854" s="45"/>
      <c r="AK854" s="45"/>
      <c r="AL854" s="45"/>
      <c r="AM854" s="45"/>
      <c r="AN854" s="45"/>
      <c r="AO854" s="45"/>
      <c r="AP854" s="45"/>
      <c r="AQ854" s="36"/>
      <c r="AR854" s="36"/>
      <c r="AS854" s="36"/>
      <c r="AT854" s="36"/>
      <c r="AU854" s="36"/>
      <c r="AV854" s="36"/>
      <c r="AW854" s="36"/>
      <c r="AX854" s="36"/>
      <c r="AY854" s="36"/>
      <c r="AZ854" s="36"/>
      <c r="BA854" s="36"/>
      <c r="BB854" s="36"/>
      <c r="BC854" s="36"/>
      <c r="BD854" s="36"/>
      <c r="BE854" s="36"/>
      <c r="BF854" s="36"/>
      <c r="BG854" s="36"/>
      <c r="BH854" s="36"/>
      <c r="BI854" s="36"/>
      <c r="BJ854" s="36"/>
      <c r="BK854" s="36"/>
      <c r="BL854" s="36"/>
      <c r="BM854" s="36"/>
      <c r="BN854" s="36"/>
      <c r="BO854" s="36"/>
      <c r="BP854" s="36"/>
      <c r="BQ854" s="36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51"/>
      <c r="S855" s="51"/>
      <c r="T855" s="51"/>
      <c r="U855" s="51"/>
      <c r="V855" s="51"/>
      <c r="W855" s="51"/>
      <c r="X855" s="51"/>
      <c r="Y855" s="45"/>
      <c r="Z855" s="45"/>
      <c r="AA855" s="45"/>
      <c r="AB855" s="45"/>
      <c r="AC855" s="45"/>
      <c r="AD855" s="45"/>
      <c r="AE855" s="45"/>
      <c r="AF855" s="45"/>
      <c r="AG855" s="45"/>
      <c r="AH855" s="45"/>
      <c r="AI855" s="45"/>
      <c r="AJ855" s="45"/>
      <c r="AK855" s="45"/>
      <c r="AL855" s="45"/>
      <c r="AM855" s="45"/>
      <c r="AN855" s="45"/>
      <c r="AO855" s="45"/>
      <c r="AP855" s="45"/>
      <c r="AQ855" s="36"/>
      <c r="AR855" s="36"/>
      <c r="AS855" s="36"/>
      <c r="AT855" s="36"/>
      <c r="AU855" s="36"/>
      <c r="AV855" s="36"/>
      <c r="AW855" s="36"/>
      <c r="AX855" s="36"/>
      <c r="AY855" s="36"/>
      <c r="AZ855" s="36"/>
      <c r="BA855" s="36"/>
      <c r="BB855" s="36"/>
      <c r="BC855" s="36"/>
      <c r="BD855" s="36"/>
      <c r="BE855" s="36"/>
      <c r="BF855" s="36"/>
      <c r="BG855" s="36"/>
      <c r="BH855" s="36"/>
      <c r="BI855" s="36"/>
      <c r="BJ855" s="36"/>
      <c r="BK855" s="36"/>
      <c r="BL855" s="36"/>
      <c r="BM855" s="36"/>
      <c r="BN855" s="36"/>
      <c r="BO855" s="36"/>
      <c r="BP855" s="36"/>
      <c r="BQ855" s="36"/>
    </row>
    <row r="856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51"/>
      <c r="S856" s="51"/>
      <c r="T856" s="51"/>
      <c r="U856" s="51"/>
      <c r="V856" s="51"/>
      <c r="W856" s="51"/>
      <c r="X856" s="51"/>
      <c r="Y856" s="45"/>
      <c r="Z856" s="45"/>
      <c r="AA856" s="45"/>
      <c r="AB856" s="45"/>
      <c r="AC856" s="45"/>
      <c r="AD856" s="45"/>
      <c r="AE856" s="45"/>
      <c r="AF856" s="45"/>
      <c r="AG856" s="45"/>
      <c r="AH856" s="45"/>
      <c r="AI856" s="45"/>
      <c r="AJ856" s="45"/>
      <c r="AK856" s="45"/>
      <c r="AL856" s="45"/>
      <c r="AM856" s="45"/>
      <c r="AN856" s="45"/>
      <c r="AO856" s="45"/>
      <c r="AP856" s="45"/>
      <c r="AQ856" s="36"/>
      <c r="AR856" s="36"/>
      <c r="AS856" s="36"/>
      <c r="AT856" s="36"/>
      <c r="AU856" s="36"/>
      <c r="AV856" s="36"/>
      <c r="AW856" s="36"/>
      <c r="AX856" s="36"/>
      <c r="AY856" s="36"/>
      <c r="AZ856" s="36"/>
      <c r="BA856" s="36"/>
      <c r="BB856" s="36"/>
      <c r="BC856" s="36"/>
      <c r="BD856" s="36"/>
      <c r="BE856" s="36"/>
      <c r="BF856" s="36"/>
      <c r="BG856" s="36"/>
      <c r="BH856" s="36"/>
      <c r="BI856" s="36"/>
      <c r="BJ856" s="36"/>
      <c r="BK856" s="36"/>
      <c r="BL856" s="36"/>
      <c r="BM856" s="36"/>
      <c r="BN856" s="36"/>
      <c r="BO856" s="36"/>
      <c r="BP856" s="36"/>
      <c r="BQ856" s="36"/>
    </row>
    <row r="857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51"/>
      <c r="S857" s="51"/>
      <c r="T857" s="51"/>
      <c r="U857" s="51"/>
      <c r="V857" s="51"/>
      <c r="W857" s="51"/>
      <c r="X857" s="51"/>
      <c r="Y857" s="45"/>
      <c r="Z857" s="45"/>
      <c r="AA857" s="45"/>
      <c r="AB857" s="45"/>
      <c r="AC857" s="45"/>
      <c r="AD857" s="45"/>
      <c r="AE857" s="45"/>
      <c r="AF857" s="45"/>
      <c r="AG857" s="45"/>
      <c r="AH857" s="45"/>
      <c r="AI857" s="45"/>
      <c r="AJ857" s="45"/>
      <c r="AK857" s="45"/>
      <c r="AL857" s="45"/>
      <c r="AM857" s="45"/>
      <c r="AN857" s="45"/>
      <c r="AO857" s="45"/>
      <c r="AP857" s="45"/>
      <c r="AQ857" s="36"/>
      <c r="AR857" s="36"/>
      <c r="AS857" s="36"/>
      <c r="AT857" s="36"/>
      <c r="AU857" s="36"/>
      <c r="AV857" s="36"/>
      <c r="AW857" s="36"/>
      <c r="AX857" s="36"/>
      <c r="AY857" s="36"/>
      <c r="AZ857" s="36"/>
      <c r="BA857" s="36"/>
      <c r="BB857" s="36"/>
      <c r="BC857" s="36"/>
      <c r="BD857" s="36"/>
      <c r="BE857" s="36"/>
      <c r="BF857" s="36"/>
      <c r="BG857" s="36"/>
      <c r="BH857" s="36"/>
      <c r="BI857" s="36"/>
      <c r="BJ857" s="36"/>
      <c r="BK857" s="36"/>
      <c r="BL857" s="36"/>
      <c r="BM857" s="36"/>
      <c r="BN857" s="36"/>
      <c r="BO857" s="36"/>
      <c r="BP857" s="36"/>
      <c r="BQ857" s="36"/>
    </row>
    <row r="858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51"/>
      <c r="S858" s="51"/>
      <c r="T858" s="51"/>
      <c r="U858" s="51"/>
      <c r="V858" s="51"/>
      <c r="W858" s="51"/>
      <c r="X858" s="51"/>
      <c r="Y858" s="45"/>
      <c r="Z858" s="45"/>
      <c r="AA858" s="45"/>
      <c r="AB858" s="45"/>
      <c r="AC858" s="45"/>
      <c r="AD858" s="45"/>
      <c r="AE858" s="45"/>
      <c r="AF858" s="45"/>
      <c r="AG858" s="45"/>
      <c r="AH858" s="45"/>
      <c r="AI858" s="45"/>
      <c r="AJ858" s="45"/>
      <c r="AK858" s="45"/>
      <c r="AL858" s="45"/>
      <c r="AM858" s="45"/>
      <c r="AN858" s="45"/>
      <c r="AO858" s="45"/>
      <c r="AP858" s="45"/>
      <c r="AQ858" s="36"/>
      <c r="AR858" s="36"/>
      <c r="AS858" s="36"/>
      <c r="AT858" s="36"/>
      <c r="AU858" s="36"/>
      <c r="AV858" s="36"/>
      <c r="AW858" s="36"/>
      <c r="AX858" s="36"/>
      <c r="AY858" s="36"/>
      <c r="AZ858" s="36"/>
      <c r="BA858" s="36"/>
      <c r="BB858" s="36"/>
      <c r="BC858" s="36"/>
      <c r="BD858" s="36"/>
      <c r="BE858" s="36"/>
      <c r="BF858" s="36"/>
      <c r="BG858" s="36"/>
      <c r="BH858" s="36"/>
      <c r="BI858" s="36"/>
      <c r="BJ858" s="36"/>
      <c r="BK858" s="36"/>
      <c r="BL858" s="36"/>
      <c r="BM858" s="36"/>
      <c r="BN858" s="36"/>
      <c r="BO858" s="36"/>
      <c r="BP858" s="36"/>
      <c r="BQ858" s="36"/>
    </row>
    <row r="859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51"/>
      <c r="S859" s="51"/>
      <c r="T859" s="51"/>
      <c r="U859" s="51"/>
      <c r="V859" s="51"/>
      <c r="W859" s="51"/>
      <c r="X859" s="51"/>
      <c r="Y859" s="45"/>
      <c r="Z859" s="45"/>
      <c r="AA859" s="45"/>
      <c r="AB859" s="45"/>
      <c r="AC859" s="45"/>
      <c r="AD859" s="45"/>
      <c r="AE859" s="45"/>
      <c r="AF859" s="45"/>
      <c r="AG859" s="45"/>
      <c r="AH859" s="45"/>
      <c r="AI859" s="45"/>
      <c r="AJ859" s="45"/>
      <c r="AK859" s="45"/>
      <c r="AL859" s="45"/>
      <c r="AM859" s="45"/>
      <c r="AN859" s="45"/>
      <c r="AO859" s="45"/>
      <c r="AP859" s="45"/>
      <c r="AQ859" s="36"/>
      <c r="AR859" s="36"/>
      <c r="AS859" s="36"/>
      <c r="AT859" s="36"/>
      <c r="AU859" s="36"/>
      <c r="AV859" s="36"/>
      <c r="AW859" s="36"/>
      <c r="AX859" s="36"/>
      <c r="AY859" s="36"/>
      <c r="AZ859" s="36"/>
      <c r="BA859" s="36"/>
      <c r="BB859" s="36"/>
      <c r="BC859" s="36"/>
      <c r="BD859" s="36"/>
      <c r="BE859" s="36"/>
      <c r="BF859" s="36"/>
      <c r="BG859" s="36"/>
      <c r="BH859" s="36"/>
      <c r="BI859" s="36"/>
      <c r="BJ859" s="36"/>
      <c r="BK859" s="36"/>
      <c r="BL859" s="36"/>
      <c r="BM859" s="36"/>
      <c r="BN859" s="36"/>
      <c r="BO859" s="36"/>
      <c r="BP859" s="36"/>
      <c r="BQ859" s="36"/>
    </row>
    <row r="860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51"/>
      <c r="S860" s="51"/>
      <c r="T860" s="51"/>
      <c r="U860" s="51"/>
      <c r="V860" s="51"/>
      <c r="W860" s="51"/>
      <c r="X860" s="51"/>
      <c r="Y860" s="45"/>
      <c r="Z860" s="45"/>
      <c r="AA860" s="45"/>
      <c r="AB860" s="45"/>
      <c r="AC860" s="45"/>
      <c r="AD860" s="45"/>
      <c r="AE860" s="45"/>
      <c r="AF860" s="45"/>
      <c r="AG860" s="45"/>
      <c r="AH860" s="45"/>
      <c r="AI860" s="45"/>
      <c r="AJ860" s="45"/>
      <c r="AK860" s="45"/>
      <c r="AL860" s="45"/>
      <c r="AM860" s="45"/>
      <c r="AN860" s="45"/>
      <c r="AO860" s="45"/>
      <c r="AP860" s="45"/>
      <c r="AQ860" s="36"/>
      <c r="AR860" s="36"/>
      <c r="AS860" s="36"/>
      <c r="AT860" s="36"/>
      <c r="AU860" s="36"/>
      <c r="AV860" s="36"/>
      <c r="AW860" s="36"/>
      <c r="AX860" s="36"/>
      <c r="AY860" s="36"/>
      <c r="AZ860" s="36"/>
      <c r="BA860" s="36"/>
      <c r="BB860" s="36"/>
      <c r="BC860" s="36"/>
      <c r="BD860" s="36"/>
      <c r="BE860" s="36"/>
      <c r="BF860" s="36"/>
      <c r="BG860" s="36"/>
      <c r="BH860" s="36"/>
      <c r="BI860" s="36"/>
      <c r="BJ860" s="36"/>
      <c r="BK860" s="36"/>
      <c r="BL860" s="36"/>
      <c r="BM860" s="36"/>
      <c r="BN860" s="36"/>
      <c r="BO860" s="36"/>
      <c r="BP860" s="36"/>
      <c r="BQ860" s="36"/>
    </row>
    <row r="86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51"/>
      <c r="S861" s="51"/>
      <c r="T861" s="51"/>
      <c r="U861" s="51"/>
      <c r="V861" s="51"/>
      <c r="W861" s="51"/>
      <c r="X861" s="51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5"/>
      <c r="AM861" s="45"/>
      <c r="AN861" s="45"/>
      <c r="AO861" s="45"/>
      <c r="AP861" s="45"/>
      <c r="AQ861" s="36"/>
      <c r="AR861" s="36"/>
      <c r="AS861" s="36"/>
      <c r="AT861" s="36"/>
      <c r="AU861" s="36"/>
      <c r="AV861" s="36"/>
      <c r="AW861" s="36"/>
      <c r="AX861" s="36"/>
      <c r="AY861" s="36"/>
      <c r="AZ861" s="36"/>
      <c r="BA861" s="36"/>
      <c r="BB861" s="36"/>
      <c r="BC861" s="36"/>
      <c r="BD861" s="36"/>
      <c r="BE861" s="36"/>
      <c r="BF861" s="36"/>
      <c r="BG861" s="36"/>
      <c r="BH861" s="36"/>
      <c r="BI861" s="36"/>
      <c r="BJ861" s="36"/>
      <c r="BK861" s="36"/>
      <c r="BL861" s="36"/>
      <c r="BM861" s="36"/>
      <c r="BN861" s="36"/>
      <c r="BO861" s="36"/>
      <c r="BP861" s="36"/>
      <c r="BQ861" s="36"/>
    </row>
    <row r="86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51"/>
      <c r="S862" s="51"/>
      <c r="T862" s="51"/>
      <c r="U862" s="51"/>
      <c r="V862" s="51"/>
      <c r="W862" s="51"/>
      <c r="X862" s="51"/>
      <c r="Y862" s="45"/>
      <c r="Z862" s="45"/>
      <c r="AA862" s="45"/>
      <c r="AB862" s="45"/>
      <c r="AC862" s="45"/>
      <c r="AD862" s="45"/>
      <c r="AE862" s="45"/>
      <c r="AF862" s="45"/>
      <c r="AG862" s="45"/>
      <c r="AH862" s="45"/>
      <c r="AI862" s="45"/>
      <c r="AJ862" s="45"/>
      <c r="AK862" s="45"/>
      <c r="AL862" s="45"/>
      <c r="AM862" s="45"/>
      <c r="AN862" s="45"/>
      <c r="AO862" s="45"/>
      <c r="AP862" s="45"/>
      <c r="AQ862" s="36"/>
      <c r="AR862" s="36"/>
      <c r="AS862" s="36"/>
      <c r="AT862" s="36"/>
      <c r="AU862" s="36"/>
      <c r="AV862" s="36"/>
      <c r="AW862" s="36"/>
      <c r="AX862" s="36"/>
      <c r="AY862" s="36"/>
      <c r="AZ862" s="36"/>
      <c r="BA862" s="36"/>
      <c r="BB862" s="36"/>
      <c r="BC862" s="36"/>
      <c r="BD862" s="36"/>
      <c r="BE862" s="36"/>
      <c r="BF862" s="36"/>
      <c r="BG862" s="36"/>
      <c r="BH862" s="36"/>
      <c r="BI862" s="36"/>
      <c r="BJ862" s="36"/>
      <c r="BK862" s="36"/>
      <c r="BL862" s="36"/>
      <c r="BM862" s="36"/>
      <c r="BN862" s="36"/>
      <c r="BO862" s="36"/>
      <c r="BP862" s="36"/>
      <c r="BQ862" s="36"/>
    </row>
    <row r="863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51"/>
      <c r="S863" s="51"/>
      <c r="T863" s="51"/>
      <c r="U863" s="51"/>
      <c r="V863" s="51"/>
      <c r="W863" s="51"/>
      <c r="X863" s="51"/>
      <c r="Y863" s="45"/>
      <c r="Z863" s="45"/>
      <c r="AA863" s="45"/>
      <c r="AB863" s="45"/>
      <c r="AC863" s="45"/>
      <c r="AD863" s="45"/>
      <c r="AE863" s="45"/>
      <c r="AF863" s="45"/>
      <c r="AG863" s="45"/>
      <c r="AH863" s="45"/>
      <c r="AI863" s="45"/>
      <c r="AJ863" s="45"/>
      <c r="AK863" s="45"/>
      <c r="AL863" s="45"/>
      <c r="AM863" s="45"/>
      <c r="AN863" s="45"/>
      <c r="AO863" s="45"/>
      <c r="AP863" s="45"/>
      <c r="AQ863" s="36"/>
      <c r="AR863" s="36"/>
      <c r="AS863" s="36"/>
      <c r="AT863" s="36"/>
      <c r="AU863" s="36"/>
      <c r="AV863" s="36"/>
      <c r="AW863" s="36"/>
      <c r="AX863" s="36"/>
      <c r="AY863" s="36"/>
      <c r="AZ863" s="36"/>
      <c r="BA863" s="36"/>
      <c r="BB863" s="36"/>
      <c r="BC863" s="36"/>
      <c r="BD863" s="36"/>
      <c r="BE863" s="36"/>
      <c r="BF863" s="36"/>
      <c r="BG863" s="36"/>
      <c r="BH863" s="36"/>
      <c r="BI863" s="36"/>
      <c r="BJ863" s="36"/>
      <c r="BK863" s="36"/>
      <c r="BL863" s="36"/>
      <c r="BM863" s="36"/>
      <c r="BN863" s="36"/>
      <c r="BO863" s="36"/>
      <c r="BP863" s="36"/>
      <c r="BQ863" s="36"/>
    </row>
    <row r="864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51"/>
      <c r="S864" s="51"/>
      <c r="T864" s="51"/>
      <c r="U864" s="51"/>
      <c r="V864" s="51"/>
      <c r="W864" s="51"/>
      <c r="X864" s="51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5"/>
      <c r="AM864" s="45"/>
      <c r="AN864" s="45"/>
      <c r="AO864" s="45"/>
      <c r="AP864" s="45"/>
      <c r="AQ864" s="36"/>
      <c r="AR864" s="36"/>
      <c r="AS864" s="36"/>
      <c r="AT864" s="36"/>
      <c r="AU864" s="36"/>
      <c r="AV864" s="36"/>
      <c r="AW864" s="36"/>
      <c r="AX864" s="36"/>
      <c r="AY864" s="36"/>
      <c r="AZ864" s="36"/>
      <c r="BA864" s="36"/>
      <c r="BB864" s="36"/>
      <c r="BC864" s="36"/>
      <c r="BD864" s="36"/>
      <c r="BE864" s="36"/>
      <c r="BF864" s="36"/>
      <c r="BG864" s="36"/>
      <c r="BH864" s="36"/>
      <c r="BI864" s="36"/>
      <c r="BJ864" s="36"/>
      <c r="BK864" s="36"/>
      <c r="BL864" s="36"/>
      <c r="BM864" s="36"/>
      <c r="BN864" s="36"/>
      <c r="BO864" s="36"/>
      <c r="BP864" s="36"/>
      <c r="BQ864" s="36"/>
    </row>
    <row r="86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51"/>
      <c r="S865" s="51"/>
      <c r="T865" s="51"/>
      <c r="U865" s="51"/>
      <c r="V865" s="51"/>
      <c r="W865" s="51"/>
      <c r="X865" s="51"/>
      <c r="Y865" s="45"/>
      <c r="Z865" s="45"/>
      <c r="AA865" s="45"/>
      <c r="AB865" s="45"/>
      <c r="AC865" s="45"/>
      <c r="AD865" s="45"/>
      <c r="AE865" s="45"/>
      <c r="AF865" s="45"/>
      <c r="AG865" s="45"/>
      <c r="AH865" s="45"/>
      <c r="AI865" s="45"/>
      <c r="AJ865" s="45"/>
      <c r="AK865" s="45"/>
      <c r="AL865" s="45"/>
      <c r="AM865" s="45"/>
      <c r="AN865" s="45"/>
      <c r="AO865" s="45"/>
      <c r="AP865" s="45"/>
      <c r="AQ865" s="36"/>
      <c r="AR865" s="36"/>
      <c r="AS865" s="36"/>
      <c r="AT865" s="36"/>
      <c r="AU865" s="36"/>
      <c r="AV865" s="36"/>
      <c r="AW865" s="36"/>
      <c r="AX865" s="36"/>
      <c r="AY865" s="36"/>
      <c r="AZ865" s="36"/>
      <c r="BA865" s="36"/>
      <c r="BB865" s="36"/>
      <c r="BC865" s="36"/>
      <c r="BD865" s="36"/>
      <c r="BE865" s="36"/>
      <c r="BF865" s="36"/>
      <c r="BG865" s="36"/>
      <c r="BH865" s="36"/>
      <c r="BI865" s="36"/>
      <c r="BJ865" s="36"/>
      <c r="BK865" s="36"/>
      <c r="BL865" s="36"/>
      <c r="BM865" s="36"/>
      <c r="BN865" s="36"/>
      <c r="BO865" s="36"/>
      <c r="BP865" s="36"/>
      <c r="BQ865" s="36"/>
    </row>
    <row r="866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51"/>
      <c r="S866" s="51"/>
      <c r="T866" s="51"/>
      <c r="U866" s="51"/>
      <c r="V866" s="51"/>
      <c r="W866" s="51"/>
      <c r="X866" s="51"/>
      <c r="Y866" s="45"/>
      <c r="Z866" s="45"/>
      <c r="AA866" s="45"/>
      <c r="AB866" s="45"/>
      <c r="AC866" s="45"/>
      <c r="AD866" s="45"/>
      <c r="AE866" s="45"/>
      <c r="AF866" s="45"/>
      <c r="AG866" s="45"/>
      <c r="AH866" s="45"/>
      <c r="AI866" s="45"/>
      <c r="AJ866" s="45"/>
      <c r="AK866" s="45"/>
      <c r="AL866" s="45"/>
      <c r="AM866" s="45"/>
      <c r="AN866" s="45"/>
      <c r="AO866" s="45"/>
      <c r="AP866" s="45"/>
      <c r="AQ866" s="36"/>
      <c r="AR866" s="36"/>
      <c r="AS866" s="36"/>
      <c r="AT866" s="36"/>
      <c r="AU866" s="36"/>
      <c r="AV866" s="36"/>
      <c r="AW866" s="36"/>
      <c r="AX866" s="36"/>
      <c r="AY866" s="36"/>
      <c r="AZ866" s="36"/>
      <c r="BA866" s="36"/>
      <c r="BB866" s="36"/>
      <c r="BC866" s="36"/>
      <c r="BD866" s="36"/>
      <c r="BE866" s="36"/>
      <c r="BF866" s="36"/>
      <c r="BG866" s="36"/>
      <c r="BH866" s="36"/>
      <c r="BI866" s="36"/>
      <c r="BJ866" s="36"/>
      <c r="BK866" s="36"/>
      <c r="BL866" s="36"/>
      <c r="BM866" s="36"/>
      <c r="BN866" s="36"/>
      <c r="BO866" s="36"/>
      <c r="BP866" s="36"/>
      <c r="BQ866" s="36"/>
    </row>
    <row r="867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51"/>
      <c r="S867" s="51"/>
      <c r="T867" s="51"/>
      <c r="U867" s="51"/>
      <c r="V867" s="51"/>
      <c r="W867" s="51"/>
      <c r="X867" s="51"/>
      <c r="Y867" s="45"/>
      <c r="Z867" s="45"/>
      <c r="AA867" s="45"/>
      <c r="AB867" s="45"/>
      <c r="AC867" s="45"/>
      <c r="AD867" s="45"/>
      <c r="AE867" s="45"/>
      <c r="AF867" s="45"/>
      <c r="AG867" s="45"/>
      <c r="AH867" s="45"/>
      <c r="AI867" s="45"/>
      <c r="AJ867" s="45"/>
      <c r="AK867" s="45"/>
      <c r="AL867" s="45"/>
      <c r="AM867" s="45"/>
      <c r="AN867" s="45"/>
      <c r="AO867" s="45"/>
      <c r="AP867" s="45"/>
      <c r="AQ867" s="36"/>
      <c r="AR867" s="36"/>
      <c r="AS867" s="36"/>
      <c r="AT867" s="36"/>
      <c r="AU867" s="36"/>
      <c r="AV867" s="36"/>
      <c r="AW867" s="36"/>
      <c r="AX867" s="36"/>
      <c r="AY867" s="36"/>
      <c r="AZ867" s="36"/>
      <c r="BA867" s="36"/>
      <c r="BB867" s="36"/>
      <c r="BC867" s="36"/>
      <c r="BD867" s="36"/>
      <c r="BE867" s="36"/>
      <c r="BF867" s="36"/>
      <c r="BG867" s="36"/>
      <c r="BH867" s="36"/>
      <c r="BI867" s="36"/>
      <c r="BJ867" s="36"/>
      <c r="BK867" s="36"/>
      <c r="BL867" s="36"/>
      <c r="BM867" s="36"/>
      <c r="BN867" s="36"/>
      <c r="BO867" s="36"/>
      <c r="BP867" s="36"/>
      <c r="BQ867" s="36"/>
    </row>
    <row r="868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51"/>
      <c r="S868" s="51"/>
      <c r="T868" s="51"/>
      <c r="U868" s="51"/>
      <c r="V868" s="51"/>
      <c r="W868" s="51"/>
      <c r="X868" s="51"/>
      <c r="Y868" s="45"/>
      <c r="Z868" s="45"/>
      <c r="AA868" s="45"/>
      <c r="AB868" s="45"/>
      <c r="AC868" s="45"/>
      <c r="AD868" s="45"/>
      <c r="AE868" s="45"/>
      <c r="AF868" s="45"/>
      <c r="AG868" s="45"/>
      <c r="AH868" s="45"/>
      <c r="AI868" s="45"/>
      <c r="AJ868" s="45"/>
      <c r="AK868" s="45"/>
      <c r="AL868" s="45"/>
      <c r="AM868" s="45"/>
      <c r="AN868" s="45"/>
      <c r="AO868" s="45"/>
      <c r="AP868" s="45"/>
      <c r="AQ868" s="36"/>
      <c r="AR868" s="36"/>
      <c r="AS868" s="36"/>
      <c r="AT868" s="36"/>
      <c r="AU868" s="36"/>
      <c r="AV868" s="36"/>
      <c r="AW868" s="36"/>
      <c r="AX868" s="36"/>
      <c r="AY868" s="36"/>
      <c r="AZ868" s="36"/>
      <c r="BA868" s="36"/>
      <c r="BB868" s="36"/>
      <c r="BC868" s="36"/>
      <c r="BD868" s="36"/>
      <c r="BE868" s="36"/>
      <c r="BF868" s="36"/>
      <c r="BG868" s="36"/>
      <c r="BH868" s="36"/>
      <c r="BI868" s="36"/>
      <c r="BJ868" s="36"/>
      <c r="BK868" s="36"/>
      <c r="BL868" s="36"/>
      <c r="BM868" s="36"/>
      <c r="BN868" s="36"/>
      <c r="BO868" s="36"/>
      <c r="BP868" s="36"/>
      <c r="BQ868" s="36"/>
    </row>
    <row r="869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51"/>
      <c r="S869" s="51"/>
      <c r="T869" s="51"/>
      <c r="U869" s="51"/>
      <c r="V869" s="51"/>
      <c r="W869" s="51"/>
      <c r="X869" s="51"/>
      <c r="Y869" s="45"/>
      <c r="Z869" s="45"/>
      <c r="AA869" s="45"/>
      <c r="AB869" s="45"/>
      <c r="AC869" s="45"/>
      <c r="AD869" s="45"/>
      <c r="AE869" s="45"/>
      <c r="AF869" s="45"/>
      <c r="AG869" s="45"/>
      <c r="AH869" s="45"/>
      <c r="AI869" s="45"/>
      <c r="AJ869" s="45"/>
      <c r="AK869" s="45"/>
      <c r="AL869" s="45"/>
      <c r="AM869" s="45"/>
      <c r="AN869" s="45"/>
      <c r="AO869" s="45"/>
      <c r="AP869" s="45"/>
      <c r="AQ869" s="36"/>
      <c r="AR869" s="36"/>
      <c r="AS869" s="36"/>
      <c r="AT869" s="36"/>
      <c r="AU869" s="36"/>
      <c r="AV869" s="36"/>
      <c r="AW869" s="36"/>
      <c r="AX869" s="36"/>
      <c r="AY869" s="36"/>
      <c r="AZ869" s="36"/>
      <c r="BA869" s="36"/>
      <c r="BB869" s="36"/>
      <c r="BC869" s="36"/>
      <c r="BD869" s="36"/>
      <c r="BE869" s="36"/>
      <c r="BF869" s="36"/>
      <c r="BG869" s="36"/>
      <c r="BH869" s="36"/>
      <c r="BI869" s="36"/>
      <c r="BJ869" s="36"/>
      <c r="BK869" s="36"/>
      <c r="BL869" s="36"/>
      <c r="BM869" s="36"/>
      <c r="BN869" s="36"/>
      <c r="BO869" s="36"/>
      <c r="BP869" s="36"/>
      <c r="BQ869" s="36"/>
    </row>
    <row r="870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51"/>
      <c r="S870" s="51"/>
      <c r="T870" s="51"/>
      <c r="U870" s="51"/>
      <c r="V870" s="51"/>
      <c r="W870" s="51"/>
      <c r="X870" s="51"/>
      <c r="Y870" s="45"/>
      <c r="Z870" s="45"/>
      <c r="AA870" s="45"/>
      <c r="AB870" s="45"/>
      <c r="AC870" s="45"/>
      <c r="AD870" s="45"/>
      <c r="AE870" s="45"/>
      <c r="AF870" s="45"/>
      <c r="AG870" s="45"/>
      <c r="AH870" s="45"/>
      <c r="AI870" s="45"/>
      <c r="AJ870" s="45"/>
      <c r="AK870" s="45"/>
      <c r="AL870" s="45"/>
      <c r="AM870" s="45"/>
      <c r="AN870" s="45"/>
      <c r="AO870" s="45"/>
      <c r="AP870" s="45"/>
      <c r="AQ870" s="36"/>
      <c r="AR870" s="36"/>
      <c r="AS870" s="36"/>
      <c r="AT870" s="36"/>
      <c r="AU870" s="36"/>
      <c r="AV870" s="36"/>
      <c r="AW870" s="36"/>
      <c r="AX870" s="36"/>
      <c r="AY870" s="36"/>
      <c r="AZ870" s="36"/>
      <c r="BA870" s="36"/>
      <c r="BB870" s="36"/>
      <c r="BC870" s="36"/>
      <c r="BD870" s="36"/>
      <c r="BE870" s="36"/>
      <c r="BF870" s="36"/>
      <c r="BG870" s="36"/>
      <c r="BH870" s="36"/>
      <c r="BI870" s="36"/>
      <c r="BJ870" s="36"/>
      <c r="BK870" s="36"/>
      <c r="BL870" s="36"/>
      <c r="BM870" s="36"/>
      <c r="BN870" s="36"/>
      <c r="BO870" s="36"/>
      <c r="BP870" s="36"/>
      <c r="BQ870" s="36"/>
    </row>
    <row r="87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51"/>
      <c r="S871" s="51"/>
      <c r="T871" s="51"/>
      <c r="U871" s="51"/>
      <c r="V871" s="51"/>
      <c r="W871" s="51"/>
      <c r="X871" s="51"/>
      <c r="Y871" s="45"/>
      <c r="Z871" s="45"/>
      <c r="AA871" s="45"/>
      <c r="AB871" s="45"/>
      <c r="AC871" s="45"/>
      <c r="AD871" s="45"/>
      <c r="AE871" s="45"/>
      <c r="AF871" s="45"/>
      <c r="AG871" s="45"/>
      <c r="AH871" s="45"/>
      <c r="AI871" s="45"/>
      <c r="AJ871" s="45"/>
      <c r="AK871" s="45"/>
      <c r="AL871" s="45"/>
      <c r="AM871" s="45"/>
      <c r="AN871" s="45"/>
      <c r="AO871" s="45"/>
      <c r="AP871" s="45"/>
      <c r="AQ871" s="36"/>
      <c r="AR871" s="36"/>
      <c r="AS871" s="36"/>
      <c r="AT871" s="36"/>
      <c r="AU871" s="36"/>
      <c r="AV871" s="36"/>
      <c r="AW871" s="36"/>
      <c r="AX871" s="36"/>
      <c r="AY871" s="36"/>
      <c r="AZ871" s="36"/>
      <c r="BA871" s="36"/>
      <c r="BB871" s="36"/>
      <c r="BC871" s="36"/>
      <c r="BD871" s="36"/>
      <c r="BE871" s="36"/>
      <c r="BF871" s="36"/>
      <c r="BG871" s="36"/>
      <c r="BH871" s="36"/>
      <c r="BI871" s="36"/>
      <c r="BJ871" s="36"/>
      <c r="BK871" s="36"/>
      <c r="BL871" s="36"/>
      <c r="BM871" s="36"/>
      <c r="BN871" s="36"/>
      <c r="BO871" s="36"/>
      <c r="BP871" s="36"/>
      <c r="BQ871" s="36"/>
    </row>
    <row r="87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51"/>
      <c r="S872" s="51"/>
      <c r="T872" s="51"/>
      <c r="U872" s="51"/>
      <c r="V872" s="51"/>
      <c r="W872" s="51"/>
      <c r="X872" s="51"/>
      <c r="Y872" s="45"/>
      <c r="Z872" s="45"/>
      <c r="AA872" s="45"/>
      <c r="AB872" s="45"/>
      <c r="AC872" s="45"/>
      <c r="AD872" s="45"/>
      <c r="AE872" s="45"/>
      <c r="AF872" s="45"/>
      <c r="AG872" s="45"/>
      <c r="AH872" s="45"/>
      <c r="AI872" s="45"/>
      <c r="AJ872" s="45"/>
      <c r="AK872" s="45"/>
      <c r="AL872" s="45"/>
      <c r="AM872" s="45"/>
      <c r="AN872" s="45"/>
      <c r="AO872" s="45"/>
      <c r="AP872" s="45"/>
      <c r="AQ872" s="36"/>
      <c r="AR872" s="36"/>
      <c r="AS872" s="36"/>
      <c r="AT872" s="36"/>
      <c r="AU872" s="36"/>
      <c r="AV872" s="36"/>
      <c r="AW872" s="36"/>
      <c r="AX872" s="36"/>
      <c r="AY872" s="36"/>
      <c r="AZ872" s="36"/>
      <c r="BA872" s="36"/>
      <c r="BB872" s="36"/>
      <c r="BC872" s="36"/>
      <c r="BD872" s="36"/>
      <c r="BE872" s="36"/>
      <c r="BF872" s="36"/>
      <c r="BG872" s="36"/>
      <c r="BH872" s="36"/>
      <c r="BI872" s="36"/>
      <c r="BJ872" s="36"/>
      <c r="BK872" s="36"/>
      <c r="BL872" s="36"/>
      <c r="BM872" s="36"/>
      <c r="BN872" s="36"/>
      <c r="BO872" s="36"/>
      <c r="BP872" s="36"/>
      <c r="BQ872" s="36"/>
    </row>
    <row r="873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51"/>
      <c r="S873" s="51"/>
      <c r="T873" s="51"/>
      <c r="U873" s="51"/>
      <c r="V873" s="51"/>
      <c r="W873" s="51"/>
      <c r="X873" s="51"/>
      <c r="Y873" s="45"/>
      <c r="Z873" s="45"/>
      <c r="AA873" s="45"/>
      <c r="AB873" s="45"/>
      <c r="AC873" s="45"/>
      <c r="AD873" s="45"/>
      <c r="AE873" s="45"/>
      <c r="AF873" s="45"/>
      <c r="AG873" s="45"/>
      <c r="AH873" s="45"/>
      <c r="AI873" s="45"/>
      <c r="AJ873" s="45"/>
      <c r="AK873" s="45"/>
      <c r="AL873" s="45"/>
      <c r="AM873" s="45"/>
      <c r="AN873" s="45"/>
      <c r="AO873" s="45"/>
      <c r="AP873" s="45"/>
      <c r="AQ873" s="36"/>
      <c r="AR873" s="36"/>
      <c r="AS873" s="36"/>
      <c r="AT873" s="36"/>
      <c r="AU873" s="36"/>
      <c r="AV873" s="36"/>
      <c r="AW873" s="36"/>
      <c r="AX873" s="36"/>
      <c r="AY873" s="36"/>
      <c r="AZ873" s="36"/>
      <c r="BA873" s="36"/>
      <c r="BB873" s="36"/>
      <c r="BC873" s="36"/>
      <c r="BD873" s="36"/>
      <c r="BE873" s="36"/>
      <c r="BF873" s="36"/>
      <c r="BG873" s="36"/>
      <c r="BH873" s="36"/>
      <c r="BI873" s="36"/>
      <c r="BJ873" s="36"/>
      <c r="BK873" s="36"/>
      <c r="BL873" s="36"/>
      <c r="BM873" s="36"/>
      <c r="BN873" s="36"/>
      <c r="BO873" s="36"/>
      <c r="BP873" s="36"/>
      <c r="BQ873" s="36"/>
    </row>
    <row r="874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51"/>
      <c r="S874" s="51"/>
      <c r="T874" s="51"/>
      <c r="U874" s="51"/>
      <c r="V874" s="51"/>
      <c r="W874" s="51"/>
      <c r="X874" s="51"/>
      <c r="Y874" s="45"/>
      <c r="Z874" s="45"/>
      <c r="AA874" s="45"/>
      <c r="AB874" s="45"/>
      <c r="AC874" s="45"/>
      <c r="AD874" s="45"/>
      <c r="AE874" s="45"/>
      <c r="AF874" s="45"/>
      <c r="AG874" s="45"/>
      <c r="AH874" s="45"/>
      <c r="AI874" s="45"/>
      <c r="AJ874" s="45"/>
      <c r="AK874" s="45"/>
      <c r="AL874" s="45"/>
      <c r="AM874" s="45"/>
      <c r="AN874" s="45"/>
      <c r="AO874" s="45"/>
      <c r="AP874" s="45"/>
      <c r="AQ874" s="36"/>
      <c r="AR874" s="36"/>
      <c r="AS874" s="36"/>
      <c r="AT874" s="36"/>
      <c r="AU874" s="36"/>
      <c r="AV874" s="36"/>
      <c r="AW874" s="36"/>
      <c r="AX874" s="36"/>
      <c r="AY874" s="36"/>
      <c r="AZ874" s="36"/>
      <c r="BA874" s="36"/>
      <c r="BB874" s="36"/>
      <c r="BC874" s="36"/>
      <c r="BD874" s="36"/>
      <c r="BE874" s="36"/>
      <c r="BF874" s="36"/>
      <c r="BG874" s="36"/>
      <c r="BH874" s="36"/>
      <c r="BI874" s="36"/>
      <c r="BJ874" s="36"/>
      <c r="BK874" s="36"/>
      <c r="BL874" s="36"/>
      <c r="BM874" s="36"/>
      <c r="BN874" s="36"/>
      <c r="BO874" s="36"/>
      <c r="BP874" s="36"/>
      <c r="BQ874" s="36"/>
    </row>
    <row r="87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51"/>
      <c r="S875" s="51"/>
      <c r="T875" s="51"/>
      <c r="U875" s="51"/>
      <c r="V875" s="51"/>
      <c r="W875" s="51"/>
      <c r="X875" s="51"/>
      <c r="Y875" s="45"/>
      <c r="Z875" s="45"/>
      <c r="AA875" s="45"/>
      <c r="AB875" s="45"/>
      <c r="AC875" s="45"/>
      <c r="AD875" s="45"/>
      <c r="AE875" s="45"/>
      <c r="AF875" s="45"/>
      <c r="AG875" s="45"/>
      <c r="AH875" s="45"/>
      <c r="AI875" s="45"/>
      <c r="AJ875" s="45"/>
      <c r="AK875" s="45"/>
      <c r="AL875" s="45"/>
      <c r="AM875" s="45"/>
      <c r="AN875" s="45"/>
      <c r="AO875" s="45"/>
      <c r="AP875" s="45"/>
      <c r="AQ875" s="36"/>
      <c r="AR875" s="36"/>
      <c r="AS875" s="36"/>
      <c r="AT875" s="36"/>
      <c r="AU875" s="36"/>
      <c r="AV875" s="36"/>
      <c r="AW875" s="36"/>
      <c r="AX875" s="36"/>
      <c r="AY875" s="36"/>
      <c r="AZ875" s="36"/>
      <c r="BA875" s="36"/>
      <c r="BB875" s="36"/>
      <c r="BC875" s="36"/>
      <c r="BD875" s="36"/>
      <c r="BE875" s="36"/>
      <c r="BF875" s="36"/>
      <c r="BG875" s="36"/>
      <c r="BH875" s="36"/>
      <c r="BI875" s="36"/>
      <c r="BJ875" s="36"/>
      <c r="BK875" s="36"/>
      <c r="BL875" s="36"/>
      <c r="BM875" s="36"/>
      <c r="BN875" s="36"/>
      <c r="BO875" s="36"/>
      <c r="BP875" s="36"/>
      <c r="BQ875" s="36"/>
    </row>
    <row r="876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51"/>
      <c r="S876" s="51"/>
      <c r="T876" s="51"/>
      <c r="U876" s="51"/>
      <c r="V876" s="51"/>
      <c r="W876" s="51"/>
      <c r="X876" s="51"/>
      <c r="Y876" s="45"/>
      <c r="Z876" s="45"/>
      <c r="AA876" s="45"/>
      <c r="AB876" s="45"/>
      <c r="AC876" s="45"/>
      <c r="AD876" s="45"/>
      <c r="AE876" s="45"/>
      <c r="AF876" s="45"/>
      <c r="AG876" s="45"/>
      <c r="AH876" s="45"/>
      <c r="AI876" s="45"/>
      <c r="AJ876" s="45"/>
      <c r="AK876" s="45"/>
      <c r="AL876" s="45"/>
      <c r="AM876" s="45"/>
      <c r="AN876" s="45"/>
      <c r="AO876" s="45"/>
      <c r="AP876" s="45"/>
      <c r="AQ876" s="36"/>
      <c r="AR876" s="36"/>
      <c r="AS876" s="36"/>
      <c r="AT876" s="36"/>
      <c r="AU876" s="36"/>
      <c r="AV876" s="36"/>
      <c r="AW876" s="36"/>
      <c r="AX876" s="36"/>
      <c r="AY876" s="36"/>
      <c r="AZ876" s="36"/>
      <c r="BA876" s="36"/>
      <c r="BB876" s="36"/>
      <c r="BC876" s="36"/>
      <c r="BD876" s="36"/>
      <c r="BE876" s="36"/>
      <c r="BF876" s="36"/>
      <c r="BG876" s="36"/>
      <c r="BH876" s="36"/>
      <c r="BI876" s="36"/>
      <c r="BJ876" s="36"/>
      <c r="BK876" s="36"/>
      <c r="BL876" s="36"/>
      <c r="BM876" s="36"/>
      <c r="BN876" s="36"/>
      <c r="BO876" s="36"/>
      <c r="BP876" s="36"/>
      <c r="BQ876" s="36"/>
    </row>
    <row r="877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51"/>
      <c r="S877" s="51"/>
      <c r="T877" s="51"/>
      <c r="U877" s="51"/>
      <c r="V877" s="51"/>
      <c r="W877" s="51"/>
      <c r="X877" s="51"/>
      <c r="Y877" s="45"/>
      <c r="Z877" s="45"/>
      <c r="AA877" s="45"/>
      <c r="AB877" s="45"/>
      <c r="AC877" s="45"/>
      <c r="AD877" s="45"/>
      <c r="AE877" s="45"/>
      <c r="AF877" s="45"/>
      <c r="AG877" s="45"/>
      <c r="AH877" s="45"/>
      <c r="AI877" s="45"/>
      <c r="AJ877" s="45"/>
      <c r="AK877" s="45"/>
      <c r="AL877" s="45"/>
      <c r="AM877" s="45"/>
      <c r="AN877" s="45"/>
      <c r="AO877" s="45"/>
      <c r="AP877" s="45"/>
      <c r="AQ877" s="36"/>
      <c r="AR877" s="36"/>
      <c r="AS877" s="36"/>
      <c r="AT877" s="36"/>
      <c r="AU877" s="36"/>
      <c r="AV877" s="36"/>
      <c r="AW877" s="36"/>
      <c r="AX877" s="36"/>
      <c r="AY877" s="36"/>
      <c r="AZ877" s="36"/>
      <c r="BA877" s="36"/>
      <c r="BB877" s="36"/>
      <c r="BC877" s="36"/>
      <c r="BD877" s="36"/>
      <c r="BE877" s="36"/>
      <c r="BF877" s="36"/>
      <c r="BG877" s="36"/>
      <c r="BH877" s="36"/>
      <c r="BI877" s="36"/>
      <c r="BJ877" s="36"/>
      <c r="BK877" s="36"/>
      <c r="BL877" s="36"/>
      <c r="BM877" s="36"/>
      <c r="BN877" s="36"/>
      <c r="BO877" s="36"/>
      <c r="BP877" s="36"/>
      <c r="BQ877" s="36"/>
    </row>
    <row r="878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51"/>
      <c r="S878" s="51"/>
      <c r="T878" s="51"/>
      <c r="U878" s="51"/>
      <c r="V878" s="51"/>
      <c r="W878" s="51"/>
      <c r="X878" s="51"/>
      <c r="Y878" s="45"/>
      <c r="Z878" s="45"/>
      <c r="AA878" s="45"/>
      <c r="AB878" s="45"/>
      <c r="AC878" s="45"/>
      <c r="AD878" s="45"/>
      <c r="AE878" s="45"/>
      <c r="AF878" s="45"/>
      <c r="AG878" s="45"/>
      <c r="AH878" s="45"/>
      <c r="AI878" s="45"/>
      <c r="AJ878" s="45"/>
      <c r="AK878" s="45"/>
      <c r="AL878" s="45"/>
      <c r="AM878" s="45"/>
      <c r="AN878" s="45"/>
      <c r="AO878" s="45"/>
      <c r="AP878" s="45"/>
      <c r="AQ878" s="36"/>
      <c r="AR878" s="36"/>
      <c r="AS878" s="36"/>
      <c r="AT878" s="36"/>
      <c r="AU878" s="36"/>
      <c r="AV878" s="36"/>
      <c r="AW878" s="36"/>
      <c r="AX878" s="36"/>
      <c r="AY878" s="36"/>
      <c r="AZ878" s="36"/>
      <c r="BA878" s="36"/>
      <c r="BB878" s="36"/>
      <c r="BC878" s="36"/>
      <c r="BD878" s="36"/>
      <c r="BE878" s="36"/>
      <c r="BF878" s="36"/>
      <c r="BG878" s="36"/>
      <c r="BH878" s="36"/>
      <c r="BI878" s="36"/>
      <c r="BJ878" s="36"/>
      <c r="BK878" s="36"/>
      <c r="BL878" s="36"/>
      <c r="BM878" s="36"/>
      <c r="BN878" s="36"/>
      <c r="BO878" s="36"/>
      <c r="BP878" s="36"/>
      <c r="BQ878" s="36"/>
    </row>
    <row r="879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51"/>
      <c r="S879" s="51"/>
      <c r="T879" s="51"/>
      <c r="U879" s="51"/>
      <c r="V879" s="51"/>
      <c r="W879" s="51"/>
      <c r="X879" s="51"/>
      <c r="Y879" s="45"/>
      <c r="Z879" s="45"/>
      <c r="AA879" s="45"/>
      <c r="AB879" s="45"/>
      <c r="AC879" s="45"/>
      <c r="AD879" s="45"/>
      <c r="AE879" s="45"/>
      <c r="AF879" s="45"/>
      <c r="AG879" s="45"/>
      <c r="AH879" s="45"/>
      <c r="AI879" s="45"/>
      <c r="AJ879" s="45"/>
      <c r="AK879" s="45"/>
      <c r="AL879" s="45"/>
      <c r="AM879" s="45"/>
      <c r="AN879" s="45"/>
      <c r="AO879" s="45"/>
      <c r="AP879" s="45"/>
      <c r="AQ879" s="36"/>
      <c r="AR879" s="36"/>
      <c r="AS879" s="36"/>
      <c r="AT879" s="36"/>
      <c r="AU879" s="36"/>
      <c r="AV879" s="36"/>
      <c r="AW879" s="36"/>
      <c r="AX879" s="36"/>
      <c r="AY879" s="36"/>
      <c r="AZ879" s="36"/>
      <c r="BA879" s="36"/>
      <c r="BB879" s="36"/>
      <c r="BC879" s="36"/>
      <c r="BD879" s="36"/>
      <c r="BE879" s="36"/>
      <c r="BF879" s="36"/>
      <c r="BG879" s="36"/>
      <c r="BH879" s="36"/>
      <c r="BI879" s="36"/>
      <c r="BJ879" s="36"/>
      <c r="BK879" s="36"/>
      <c r="BL879" s="36"/>
      <c r="BM879" s="36"/>
      <c r="BN879" s="36"/>
      <c r="BO879" s="36"/>
      <c r="BP879" s="36"/>
      <c r="BQ879" s="36"/>
    </row>
    <row r="880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51"/>
      <c r="S880" s="51"/>
      <c r="T880" s="51"/>
      <c r="U880" s="51"/>
      <c r="V880" s="51"/>
      <c r="W880" s="51"/>
      <c r="X880" s="51"/>
      <c r="Y880" s="45"/>
      <c r="Z880" s="45"/>
      <c r="AA880" s="45"/>
      <c r="AB880" s="45"/>
      <c r="AC880" s="45"/>
      <c r="AD880" s="45"/>
      <c r="AE880" s="45"/>
      <c r="AF880" s="45"/>
      <c r="AG880" s="45"/>
      <c r="AH880" s="45"/>
      <c r="AI880" s="45"/>
      <c r="AJ880" s="45"/>
      <c r="AK880" s="45"/>
      <c r="AL880" s="45"/>
      <c r="AM880" s="45"/>
      <c r="AN880" s="45"/>
      <c r="AO880" s="45"/>
      <c r="AP880" s="45"/>
      <c r="AQ880" s="36"/>
      <c r="AR880" s="36"/>
      <c r="AS880" s="36"/>
      <c r="AT880" s="36"/>
      <c r="AU880" s="36"/>
      <c r="AV880" s="36"/>
      <c r="AW880" s="36"/>
      <c r="AX880" s="36"/>
      <c r="AY880" s="36"/>
      <c r="AZ880" s="36"/>
      <c r="BA880" s="36"/>
      <c r="BB880" s="36"/>
      <c r="BC880" s="36"/>
      <c r="BD880" s="36"/>
      <c r="BE880" s="36"/>
      <c r="BF880" s="36"/>
      <c r="BG880" s="36"/>
      <c r="BH880" s="36"/>
      <c r="BI880" s="36"/>
      <c r="BJ880" s="36"/>
      <c r="BK880" s="36"/>
      <c r="BL880" s="36"/>
      <c r="BM880" s="36"/>
      <c r="BN880" s="36"/>
      <c r="BO880" s="36"/>
      <c r="BP880" s="36"/>
      <c r="BQ880" s="36"/>
    </row>
    <row r="88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51"/>
      <c r="S881" s="51"/>
      <c r="T881" s="51"/>
      <c r="U881" s="51"/>
      <c r="V881" s="51"/>
      <c r="W881" s="51"/>
      <c r="X881" s="51"/>
      <c r="Y881" s="45"/>
      <c r="Z881" s="45"/>
      <c r="AA881" s="45"/>
      <c r="AB881" s="45"/>
      <c r="AC881" s="45"/>
      <c r="AD881" s="45"/>
      <c r="AE881" s="45"/>
      <c r="AF881" s="45"/>
      <c r="AG881" s="45"/>
      <c r="AH881" s="45"/>
      <c r="AI881" s="45"/>
      <c r="AJ881" s="45"/>
      <c r="AK881" s="45"/>
      <c r="AL881" s="45"/>
      <c r="AM881" s="45"/>
      <c r="AN881" s="45"/>
      <c r="AO881" s="45"/>
      <c r="AP881" s="45"/>
      <c r="AQ881" s="36"/>
      <c r="AR881" s="36"/>
      <c r="AS881" s="36"/>
      <c r="AT881" s="36"/>
      <c r="AU881" s="36"/>
      <c r="AV881" s="36"/>
      <c r="AW881" s="36"/>
      <c r="AX881" s="36"/>
      <c r="AY881" s="36"/>
      <c r="AZ881" s="36"/>
      <c r="BA881" s="36"/>
      <c r="BB881" s="36"/>
      <c r="BC881" s="36"/>
      <c r="BD881" s="36"/>
      <c r="BE881" s="36"/>
      <c r="BF881" s="36"/>
      <c r="BG881" s="36"/>
      <c r="BH881" s="36"/>
      <c r="BI881" s="36"/>
      <c r="BJ881" s="36"/>
      <c r="BK881" s="36"/>
      <c r="BL881" s="36"/>
      <c r="BM881" s="36"/>
      <c r="BN881" s="36"/>
      <c r="BO881" s="36"/>
      <c r="BP881" s="36"/>
      <c r="BQ881" s="36"/>
    </row>
    <row r="88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51"/>
      <c r="S882" s="51"/>
      <c r="T882" s="51"/>
      <c r="U882" s="51"/>
      <c r="V882" s="51"/>
      <c r="W882" s="51"/>
      <c r="X882" s="51"/>
      <c r="Y882" s="45"/>
      <c r="Z882" s="45"/>
      <c r="AA882" s="45"/>
      <c r="AB882" s="45"/>
      <c r="AC882" s="45"/>
      <c r="AD882" s="45"/>
      <c r="AE882" s="45"/>
      <c r="AF882" s="45"/>
      <c r="AG882" s="45"/>
      <c r="AH882" s="45"/>
      <c r="AI882" s="45"/>
      <c r="AJ882" s="45"/>
      <c r="AK882" s="45"/>
      <c r="AL882" s="45"/>
      <c r="AM882" s="45"/>
      <c r="AN882" s="45"/>
      <c r="AO882" s="45"/>
      <c r="AP882" s="45"/>
      <c r="AQ882" s="36"/>
      <c r="AR882" s="36"/>
      <c r="AS882" s="36"/>
      <c r="AT882" s="36"/>
      <c r="AU882" s="36"/>
      <c r="AV882" s="36"/>
      <c r="AW882" s="36"/>
      <c r="AX882" s="36"/>
      <c r="AY882" s="36"/>
      <c r="AZ882" s="36"/>
      <c r="BA882" s="36"/>
      <c r="BB882" s="36"/>
      <c r="BC882" s="36"/>
      <c r="BD882" s="36"/>
      <c r="BE882" s="36"/>
      <c r="BF882" s="36"/>
      <c r="BG882" s="36"/>
      <c r="BH882" s="36"/>
      <c r="BI882" s="36"/>
      <c r="BJ882" s="36"/>
      <c r="BK882" s="36"/>
      <c r="BL882" s="36"/>
      <c r="BM882" s="36"/>
      <c r="BN882" s="36"/>
      <c r="BO882" s="36"/>
      <c r="BP882" s="36"/>
      <c r="BQ882" s="36"/>
    </row>
    <row r="883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51"/>
      <c r="S883" s="51"/>
      <c r="T883" s="51"/>
      <c r="U883" s="51"/>
      <c r="V883" s="51"/>
      <c r="W883" s="51"/>
      <c r="X883" s="51"/>
      <c r="Y883" s="45"/>
      <c r="Z883" s="45"/>
      <c r="AA883" s="45"/>
      <c r="AB883" s="45"/>
      <c r="AC883" s="45"/>
      <c r="AD883" s="45"/>
      <c r="AE883" s="45"/>
      <c r="AF883" s="45"/>
      <c r="AG883" s="45"/>
      <c r="AH883" s="45"/>
      <c r="AI883" s="45"/>
      <c r="AJ883" s="45"/>
      <c r="AK883" s="45"/>
      <c r="AL883" s="45"/>
      <c r="AM883" s="45"/>
      <c r="AN883" s="45"/>
      <c r="AO883" s="45"/>
      <c r="AP883" s="45"/>
      <c r="AQ883" s="36"/>
      <c r="AR883" s="36"/>
      <c r="AS883" s="36"/>
      <c r="AT883" s="36"/>
      <c r="AU883" s="36"/>
      <c r="AV883" s="36"/>
      <c r="AW883" s="36"/>
      <c r="AX883" s="36"/>
      <c r="AY883" s="36"/>
      <c r="AZ883" s="36"/>
      <c r="BA883" s="36"/>
      <c r="BB883" s="36"/>
      <c r="BC883" s="36"/>
      <c r="BD883" s="36"/>
      <c r="BE883" s="36"/>
      <c r="BF883" s="36"/>
      <c r="BG883" s="36"/>
      <c r="BH883" s="36"/>
      <c r="BI883" s="36"/>
      <c r="BJ883" s="36"/>
      <c r="BK883" s="36"/>
      <c r="BL883" s="36"/>
      <c r="BM883" s="36"/>
      <c r="BN883" s="36"/>
      <c r="BO883" s="36"/>
      <c r="BP883" s="36"/>
      <c r="BQ883" s="36"/>
    </row>
    <row r="884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51"/>
      <c r="S884" s="51"/>
      <c r="T884" s="51"/>
      <c r="U884" s="51"/>
      <c r="V884" s="51"/>
      <c r="W884" s="51"/>
      <c r="X884" s="51"/>
      <c r="Y884" s="45"/>
      <c r="Z884" s="45"/>
      <c r="AA884" s="45"/>
      <c r="AB884" s="45"/>
      <c r="AC884" s="45"/>
      <c r="AD884" s="45"/>
      <c r="AE884" s="45"/>
      <c r="AF884" s="45"/>
      <c r="AG884" s="45"/>
      <c r="AH884" s="45"/>
      <c r="AI884" s="45"/>
      <c r="AJ884" s="45"/>
      <c r="AK884" s="45"/>
      <c r="AL884" s="45"/>
      <c r="AM884" s="45"/>
      <c r="AN884" s="45"/>
      <c r="AO884" s="45"/>
      <c r="AP884" s="45"/>
      <c r="AQ884" s="36"/>
      <c r="AR884" s="36"/>
      <c r="AS884" s="36"/>
      <c r="AT884" s="36"/>
      <c r="AU884" s="36"/>
      <c r="AV884" s="36"/>
      <c r="AW884" s="36"/>
      <c r="AX884" s="36"/>
      <c r="AY884" s="36"/>
      <c r="AZ884" s="36"/>
      <c r="BA884" s="36"/>
      <c r="BB884" s="36"/>
      <c r="BC884" s="36"/>
      <c r="BD884" s="36"/>
      <c r="BE884" s="36"/>
      <c r="BF884" s="36"/>
      <c r="BG884" s="36"/>
      <c r="BH884" s="36"/>
      <c r="BI884" s="36"/>
      <c r="BJ884" s="36"/>
      <c r="BK884" s="36"/>
      <c r="BL884" s="36"/>
      <c r="BM884" s="36"/>
      <c r="BN884" s="36"/>
      <c r="BO884" s="36"/>
      <c r="BP884" s="36"/>
      <c r="BQ884" s="36"/>
    </row>
    <row r="88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51"/>
      <c r="S885" s="51"/>
      <c r="T885" s="51"/>
      <c r="U885" s="51"/>
      <c r="V885" s="51"/>
      <c r="W885" s="51"/>
      <c r="X885" s="51"/>
      <c r="Y885" s="45"/>
      <c r="Z885" s="45"/>
      <c r="AA885" s="45"/>
      <c r="AB885" s="45"/>
      <c r="AC885" s="45"/>
      <c r="AD885" s="45"/>
      <c r="AE885" s="45"/>
      <c r="AF885" s="45"/>
      <c r="AG885" s="45"/>
      <c r="AH885" s="45"/>
      <c r="AI885" s="45"/>
      <c r="AJ885" s="45"/>
      <c r="AK885" s="45"/>
      <c r="AL885" s="45"/>
      <c r="AM885" s="45"/>
      <c r="AN885" s="45"/>
      <c r="AO885" s="45"/>
      <c r="AP885" s="45"/>
      <c r="AQ885" s="36"/>
      <c r="AR885" s="36"/>
      <c r="AS885" s="36"/>
      <c r="AT885" s="36"/>
      <c r="AU885" s="36"/>
      <c r="AV885" s="36"/>
      <c r="AW885" s="36"/>
      <c r="AX885" s="36"/>
      <c r="AY885" s="36"/>
      <c r="AZ885" s="36"/>
      <c r="BA885" s="36"/>
      <c r="BB885" s="36"/>
      <c r="BC885" s="36"/>
      <c r="BD885" s="36"/>
      <c r="BE885" s="36"/>
      <c r="BF885" s="36"/>
      <c r="BG885" s="36"/>
      <c r="BH885" s="36"/>
      <c r="BI885" s="36"/>
      <c r="BJ885" s="36"/>
      <c r="BK885" s="36"/>
      <c r="BL885" s="36"/>
      <c r="BM885" s="36"/>
      <c r="BN885" s="36"/>
      <c r="BO885" s="36"/>
      <c r="BP885" s="36"/>
      <c r="BQ885" s="36"/>
    </row>
    <row r="886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51"/>
      <c r="S886" s="51"/>
      <c r="T886" s="51"/>
      <c r="U886" s="51"/>
      <c r="V886" s="51"/>
      <c r="W886" s="51"/>
      <c r="X886" s="51"/>
      <c r="Y886" s="45"/>
      <c r="Z886" s="45"/>
      <c r="AA886" s="45"/>
      <c r="AB886" s="45"/>
      <c r="AC886" s="45"/>
      <c r="AD886" s="45"/>
      <c r="AE886" s="45"/>
      <c r="AF886" s="45"/>
      <c r="AG886" s="45"/>
      <c r="AH886" s="45"/>
      <c r="AI886" s="45"/>
      <c r="AJ886" s="45"/>
      <c r="AK886" s="45"/>
      <c r="AL886" s="45"/>
      <c r="AM886" s="45"/>
      <c r="AN886" s="45"/>
      <c r="AO886" s="45"/>
      <c r="AP886" s="45"/>
      <c r="AQ886" s="36"/>
      <c r="AR886" s="36"/>
      <c r="AS886" s="36"/>
      <c r="AT886" s="36"/>
      <c r="AU886" s="36"/>
      <c r="AV886" s="36"/>
      <c r="AW886" s="36"/>
      <c r="AX886" s="36"/>
      <c r="AY886" s="36"/>
      <c r="AZ886" s="36"/>
      <c r="BA886" s="36"/>
      <c r="BB886" s="36"/>
      <c r="BC886" s="36"/>
      <c r="BD886" s="36"/>
      <c r="BE886" s="36"/>
      <c r="BF886" s="36"/>
      <c r="BG886" s="36"/>
      <c r="BH886" s="36"/>
      <c r="BI886" s="36"/>
      <c r="BJ886" s="36"/>
      <c r="BK886" s="36"/>
      <c r="BL886" s="36"/>
      <c r="BM886" s="36"/>
      <c r="BN886" s="36"/>
      <c r="BO886" s="36"/>
      <c r="BP886" s="36"/>
      <c r="BQ886" s="36"/>
    </row>
    <row r="887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51"/>
      <c r="S887" s="51"/>
      <c r="T887" s="51"/>
      <c r="U887" s="51"/>
      <c r="V887" s="51"/>
      <c r="W887" s="51"/>
      <c r="X887" s="51"/>
      <c r="Y887" s="45"/>
      <c r="Z887" s="45"/>
      <c r="AA887" s="45"/>
      <c r="AB887" s="45"/>
      <c r="AC887" s="45"/>
      <c r="AD887" s="45"/>
      <c r="AE887" s="45"/>
      <c r="AF887" s="45"/>
      <c r="AG887" s="45"/>
      <c r="AH887" s="45"/>
      <c r="AI887" s="45"/>
      <c r="AJ887" s="45"/>
      <c r="AK887" s="45"/>
      <c r="AL887" s="45"/>
      <c r="AM887" s="45"/>
      <c r="AN887" s="45"/>
      <c r="AO887" s="45"/>
      <c r="AP887" s="45"/>
      <c r="AQ887" s="36"/>
      <c r="AR887" s="36"/>
      <c r="AS887" s="36"/>
      <c r="AT887" s="36"/>
      <c r="AU887" s="36"/>
      <c r="AV887" s="36"/>
      <c r="AW887" s="36"/>
      <c r="AX887" s="36"/>
      <c r="AY887" s="36"/>
      <c r="AZ887" s="36"/>
      <c r="BA887" s="36"/>
      <c r="BB887" s="36"/>
      <c r="BC887" s="36"/>
      <c r="BD887" s="36"/>
      <c r="BE887" s="36"/>
      <c r="BF887" s="36"/>
      <c r="BG887" s="36"/>
      <c r="BH887" s="36"/>
      <c r="BI887" s="36"/>
      <c r="BJ887" s="36"/>
      <c r="BK887" s="36"/>
      <c r="BL887" s="36"/>
      <c r="BM887" s="36"/>
      <c r="BN887" s="36"/>
      <c r="BO887" s="36"/>
      <c r="BP887" s="36"/>
      <c r="BQ887" s="36"/>
    </row>
    <row r="888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51"/>
      <c r="S888" s="51"/>
      <c r="T888" s="51"/>
      <c r="U888" s="51"/>
      <c r="V888" s="51"/>
      <c r="W888" s="51"/>
      <c r="X888" s="51"/>
      <c r="Y888" s="45"/>
      <c r="Z888" s="45"/>
      <c r="AA888" s="45"/>
      <c r="AB888" s="45"/>
      <c r="AC888" s="45"/>
      <c r="AD888" s="45"/>
      <c r="AE888" s="45"/>
      <c r="AF888" s="45"/>
      <c r="AG888" s="45"/>
      <c r="AH888" s="45"/>
      <c r="AI888" s="45"/>
      <c r="AJ888" s="45"/>
      <c r="AK888" s="45"/>
      <c r="AL888" s="45"/>
      <c r="AM888" s="45"/>
      <c r="AN888" s="45"/>
      <c r="AO888" s="45"/>
      <c r="AP888" s="45"/>
      <c r="AQ888" s="36"/>
      <c r="AR888" s="36"/>
      <c r="AS888" s="36"/>
      <c r="AT888" s="36"/>
      <c r="AU888" s="36"/>
      <c r="AV888" s="36"/>
      <c r="AW888" s="36"/>
      <c r="AX888" s="36"/>
      <c r="AY888" s="36"/>
      <c r="AZ888" s="36"/>
      <c r="BA888" s="36"/>
      <c r="BB888" s="36"/>
      <c r="BC888" s="36"/>
      <c r="BD888" s="36"/>
      <c r="BE888" s="36"/>
      <c r="BF888" s="36"/>
      <c r="BG888" s="36"/>
      <c r="BH888" s="36"/>
      <c r="BI888" s="36"/>
      <c r="BJ888" s="36"/>
      <c r="BK888" s="36"/>
      <c r="BL888" s="36"/>
      <c r="BM888" s="36"/>
      <c r="BN888" s="36"/>
      <c r="BO888" s="36"/>
      <c r="BP888" s="36"/>
      <c r="BQ888" s="36"/>
    </row>
    <row r="889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51"/>
      <c r="S889" s="51"/>
      <c r="T889" s="51"/>
      <c r="U889" s="51"/>
      <c r="V889" s="51"/>
      <c r="W889" s="51"/>
      <c r="X889" s="51"/>
      <c r="Y889" s="45"/>
      <c r="Z889" s="45"/>
      <c r="AA889" s="45"/>
      <c r="AB889" s="45"/>
      <c r="AC889" s="45"/>
      <c r="AD889" s="45"/>
      <c r="AE889" s="45"/>
      <c r="AF889" s="45"/>
      <c r="AG889" s="45"/>
      <c r="AH889" s="45"/>
      <c r="AI889" s="45"/>
      <c r="AJ889" s="45"/>
      <c r="AK889" s="45"/>
      <c r="AL889" s="45"/>
      <c r="AM889" s="45"/>
      <c r="AN889" s="45"/>
      <c r="AO889" s="45"/>
      <c r="AP889" s="45"/>
      <c r="AQ889" s="36"/>
      <c r="AR889" s="36"/>
      <c r="AS889" s="36"/>
      <c r="AT889" s="36"/>
      <c r="AU889" s="36"/>
      <c r="AV889" s="36"/>
      <c r="AW889" s="36"/>
      <c r="AX889" s="36"/>
      <c r="AY889" s="36"/>
      <c r="AZ889" s="36"/>
      <c r="BA889" s="36"/>
      <c r="BB889" s="36"/>
      <c r="BC889" s="36"/>
      <c r="BD889" s="36"/>
      <c r="BE889" s="36"/>
      <c r="BF889" s="36"/>
      <c r="BG889" s="36"/>
      <c r="BH889" s="36"/>
      <c r="BI889" s="36"/>
      <c r="BJ889" s="36"/>
      <c r="BK889" s="36"/>
      <c r="BL889" s="36"/>
      <c r="BM889" s="36"/>
      <c r="BN889" s="36"/>
      <c r="BO889" s="36"/>
      <c r="BP889" s="36"/>
      <c r="BQ889" s="36"/>
    </row>
    <row r="890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51"/>
      <c r="S890" s="51"/>
      <c r="T890" s="51"/>
      <c r="U890" s="51"/>
      <c r="V890" s="51"/>
      <c r="W890" s="51"/>
      <c r="X890" s="51"/>
      <c r="Y890" s="45"/>
      <c r="Z890" s="45"/>
      <c r="AA890" s="45"/>
      <c r="AB890" s="45"/>
      <c r="AC890" s="45"/>
      <c r="AD890" s="45"/>
      <c r="AE890" s="45"/>
      <c r="AF890" s="45"/>
      <c r="AG890" s="45"/>
      <c r="AH890" s="45"/>
      <c r="AI890" s="45"/>
      <c r="AJ890" s="45"/>
      <c r="AK890" s="45"/>
      <c r="AL890" s="45"/>
      <c r="AM890" s="45"/>
      <c r="AN890" s="45"/>
      <c r="AO890" s="45"/>
      <c r="AP890" s="45"/>
      <c r="AQ890" s="36"/>
      <c r="AR890" s="36"/>
      <c r="AS890" s="36"/>
      <c r="AT890" s="36"/>
      <c r="AU890" s="36"/>
      <c r="AV890" s="36"/>
      <c r="AW890" s="36"/>
      <c r="AX890" s="36"/>
      <c r="AY890" s="36"/>
      <c r="AZ890" s="36"/>
      <c r="BA890" s="36"/>
      <c r="BB890" s="36"/>
      <c r="BC890" s="36"/>
      <c r="BD890" s="36"/>
      <c r="BE890" s="36"/>
      <c r="BF890" s="36"/>
      <c r="BG890" s="36"/>
      <c r="BH890" s="36"/>
      <c r="BI890" s="36"/>
      <c r="BJ890" s="36"/>
      <c r="BK890" s="36"/>
      <c r="BL890" s="36"/>
      <c r="BM890" s="36"/>
      <c r="BN890" s="36"/>
      <c r="BO890" s="36"/>
      <c r="BP890" s="36"/>
      <c r="BQ890" s="36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51"/>
      <c r="S891" s="51"/>
      <c r="T891" s="51"/>
      <c r="U891" s="51"/>
      <c r="V891" s="51"/>
      <c r="W891" s="51"/>
      <c r="X891" s="51"/>
      <c r="Y891" s="45"/>
      <c r="Z891" s="45"/>
      <c r="AA891" s="45"/>
      <c r="AB891" s="45"/>
      <c r="AC891" s="45"/>
      <c r="AD891" s="45"/>
      <c r="AE891" s="45"/>
      <c r="AF891" s="45"/>
      <c r="AG891" s="45"/>
      <c r="AH891" s="45"/>
      <c r="AI891" s="45"/>
      <c r="AJ891" s="45"/>
      <c r="AK891" s="45"/>
      <c r="AL891" s="45"/>
      <c r="AM891" s="45"/>
      <c r="AN891" s="45"/>
      <c r="AO891" s="45"/>
      <c r="AP891" s="45"/>
      <c r="AQ891" s="36"/>
      <c r="AR891" s="36"/>
      <c r="AS891" s="36"/>
      <c r="AT891" s="36"/>
      <c r="AU891" s="36"/>
      <c r="AV891" s="36"/>
      <c r="AW891" s="36"/>
      <c r="AX891" s="36"/>
      <c r="AY891" s="36"/>
      <c r="AZ891" s="36"/>
      <c r="BA891" s="36"/>
      <c r="BB891" s="36"/>
      <c r="BC891" s="36"/>
      <c r="BD891" s="36"/>
      <c r="BE891" s="36"/>
      <c r="BF891" s="36"/>
      <c r="BG891" s="36"/>
      <c r="BH891" s="36"/>
      <c r="BI891" s="36"/>
      <c r="BJ891" s="36"/>
      <c r="BK891" s="36"/>
      <c r="BL891" s="36"/>
      <c r="BM891" s="36"/>
      <c r="BN891" s="36"/>
      <c r="BO891" s="36"/>
      <c r="BP891" s="36"/>
      <c r="BQ891" s="36"/>
    </row>
    <row r="89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51"/>
      <c r="S892" s="51"/>
      <c r="T892" s="51"/>
      <c r="U892" s="51"/>
      <c r="V892" s="51"/>
      <c r="W892" s="51"/>
      <c r="X892" s="51"/>
      <c r="Y892" s="45"/>
      <c r="Z892" s="45"/>
      <c r="AA892" s="45"/>
      <c r="AB892" s="45"/>
      <c r="AC892" s="45"/>
      <c r="AD892" s="45"/>
      <c r="AE892" s="45"/>
      <c r="AF892" s="45"/>
      <c r="AG892" s="45"/>
      <c r="AH892" s="45"/>
      <c r="AI892" s="45"/>
      <c r="AJ892" s="45"/>
      <c r="AK892" s="45"/>
      <c r="AL892" s="45"/>
      <c r="AM892" s="45"/>
      <c r="AN892" s="45"/>
      <c r="AO892" s="45"/>
      <c r="AP892" s="45"/>
      <c r="AQ892" s="36"/>
      <c r="AR892" s="36"/>
      <c r="AS892" s="36"/>
      <c r="AT892" s="36"/>
      <c r="AU892" s="36"/>
      <c r="AV892" s="36"/>
      <c r="AW892" s="36"/>
      <c r="AX892" s="36"/>
      <c r="AY892" s="36"/>
      <c r="AZ892" s="36"/>
      <c r="BA892" s="36"/>
      <c r="BB892" s="36"/>
      <c r="BC892" s="36"/>
      <c r="BD892" s="36"/>
      <c r="BE892" s="36"/>
      <c r="BF892" s="36"/>
      <c r="BG892" s="36"/>
      <c r="BH892" s="36"/>
      <c r="BI892" s="36"/>
      <c r="BJ892" s="36"/>
      <c r="BK892" s="36"/>
      <c r="BL892" s="36"/>
      <c r="BM892" s="36"/>
      <c r="BN892" s="36"/>
      <c r="BO892" s="36"/>
      <c r="BP892" s="36"/>
      <c r="BQ892" s="36"/>
    </row>
    <row r="893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51"/>
      <c r="S893" s="51"/>
      <c r="T893" s="51"/>
      <c r="U893" s="51"/>
      <c r="V893" s="51"/>
      <c r="W893" s="51"/>
      <c r="X893" s="51"/>
      <c r="Y893" s="45"/>
      <c r="Z893" s="45"/>
      <c r="AA893" s="45"/>
      <c r="AB893" s="45"/>
      <c r="AC893" s="45"/>
      <c r="AD893" s="45"/>
      <c r="AE893" s="45"/>
      <c r="AF893" s="45"/>
      <c r="AG893" s="45"/>
      <c r="AH893" s="45"/>
      <c r="AI893" s="45"/>
      <c r="AJ893" s="45"/>
      <c r="AK893" s="45"/>
      <c r="AL893" s="45"/>
      <c r="AM893" s="45"/>
      <c r="AN893" s="45"/>
      <c r="AO893" s="45"/>
      <c r="AP893" s="45"/>
      <c r="AQ893" s="36"/>
      <c r="AR893" s="36"/>
      <c r="AS893" s="36"/>
      <c r="AT893" s="36"/>
      <c r="AU893" s="36"/>
      <c r="AV893" s="36"/>
      <c r="AW893" s="36"/>
      <c r="AX893" s="36"/>
      <c r="AY893" s="36"/>
      <c r="AZ893" s="36"/>
      <c r="BA893" s="36"/>
      <c r="BB893" s="36"/>
      <c r="BC893" s="36"/>
      <c r="BD893" s="36"/>
      <c r="BE893" s="36"/>
      <c r="BF893" s="36"/>
      <c r="BG893" s="36"/>
      <c r="BH893" s="36"/>
      <c r="BI893" s="36"/>
      <c r="BJ893" s="36"/>
      <c r="BK893" s="36"/>
      <c r="BL893" s="36"/>
      <c r="BM893" s="36"/>
      <c r="BN893" s="36"/>
      <c r="BO893" s="36"/>
      <c r="BP893" s="36"/>
      <c r="BQ893" s="36"/>
    </row>
    <row r="894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51"/>
      <c r="S894" s="51"/>
      <c r="T894" s="51"/>
      <c r="U894" s="51"/>
      <c r="V894" s="51"/>
      <c r="W894" s="51"/>
      <c r="X894" s="51"/>
      <c r="Y894" s="45"/>
      <c r="Z894" s="45"/>
      <c r="AA894" s="45"/>
      <c r="AB894" s="45"/>
      <c r="AC894" s="45"/>
      <c r="AD894" s="45"/>
      <c r="AE894" s="45"/>
      <c r="AF894" s="45"/>
      <c r="AG894" s="45"/>
      <c r="AH894" s="45"/>
      <c r="AI894" s="45"/>
      <c r="AJ894" s="45"/>
      <c r="AK894" s="45"/>
      <c r="AL894" s="45"/>
      <c r="AM894" s="45"/>
      <c r="AN894" s="45"/>
      <c r="AO894" s="45"/>
      <c r="AP894" s="45"/>
      <c r="AQ894" s="36"/>
      <c r="AR894" s="36"/>
      <c r="AS894" s="36"/>
      <c r="AT894" s="36"/>
      <c r="AU894" s="36"/>
      <c r="AV894" s="36"/>
      <c r="AW894" s="36"/>
      <c r="AX894" s="36"/>
      <c r="AY894" s="36"/>
      <c r="AZ894" s="36"/>
      <c r="BA894" s="36"/>
      <c r="BB894" s="36"/>
      <c r="BC894" s="36"/>
      <c r="BD894" s="36"/>
      <c r="BE894" s="36"/>
      <c r="BF894" s="36"/>
      <c r="BG894" s="36"/>
      <c r="BH894" s="36"/>
      <c r="BI894" s="36"/>
      <c r="BJ894" s="36"/>
      <c r="BK894" s="36"/>
      <c r="BL894" s="36"/>
      <c r="BM894" s="36"/>
      <c r="BN894" s="36"/>
      <c r="BO894" s="36"/>
      <c r="BP894" s="36"/>
      <c r="BQ894" s="36"/>
    </row>
    <row r="89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51"/>
      <c r="S895" s="51"/>
      <c r="T895" s="51"/>
      <c r="U895" s="51"/>
      <c r="V895" s="51"/>
      <c r="W895" s="51"/>
      <c r="X895" s="51"/>
      <c r="Y895" s="45"/>
      <c r="Z895" s="45"/>
      <c r="AA895" s="45"/>
      <c r="AB895" s="45"/>
      <c r="AC895" s="45"/>
      <c r="AD895" s="45"/>
      <c r="AE895" s="45"/>
      <c r="AF895" s="45"/>
      <c r="AG895" s="45"/>
      <c r="AH895" s="45"/>
      <c r="AI895" s="45"/>
      <c r="AJ895" s="45"/>
      <c r="AK895" s="45"/>
      <c r="AL895" s="45"/>
      <c r="AM895" s="45"/>
      <c r="AN895" s="45"/>
      <c r="AO895" s="45"/>
      <c r="AP895" s="45"/>
      <c r="AQ895" s="36"/>
      <c r="AR895" s="36"/>
      <c r="AS895" s="36"/>
      <c r="AT895" s="36"/>
      <c r="AU895" s="36"/>
      <c r="AV895" s="36"/>
      <c r="AW895" s="36"/>
      <c r="AX895" s="36"/>
      <c r="AY895" s="36"/>
      <c r="AZ895" s="36"/>
      <c r="BA895" s="36"/>
      <c r="BB895" s="36"/>
      <c r="BC895" s="36"/>
      <c r="BD895" s="36"/>
      <c r="BE895" s="36"/>
      <c r="BF895" s="36"/>
      <c r="BG895" s="36"/>
      <c r="BH895" s="36"/>
      <c r="BI895" s="36"/>
      <c r="BJ895" s="36"/>
      <c r="BK895" s="36"/>
      <c r="BL895" s="36"/>
      <c r="BM895" s="36"/>
      <c r="BN895" s="36"/>
      <c r="BO895" s="36"/>
      <c r="BP895" s="36"/>
      <c r="BQ895" s="36"/>
    </row>
    <row r="896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51"/>
      <c r="S896" s="51"/>
      <c r="T896" s="51"/>
      <c r="U896" s="51"/>
      <c r="V896" s="51"/>
      <c r="W896" s="51"/>
      <c r="X896" s="51"/>
      <c r="Y896" s="45"/>
      <c r="Z896" s="45"/>
      <c r="AA896" s="45"/>
      <c r="AB896" s="45"/>
      <c r="AC896" s="45"/>
      <c r="AD896" s="45"/>
      <c r="AE896" s="45"/>
      <c r="AF896" s="45"/>
      <c r="AG896" s="45"/>
      <c r="AH896" s="45"/>
      <c r="AI896" s="45"/>
      <c r="AJ896" s="45"/>
      <c r="AK896" s="45"/>
      <c r="AL896" s="45"/>
      <c r="AM896" s="45"/>
      <c r="AN896" s="45"/>
      <c r="AO896" s="45"/>
      <c r="AP896" s="45"/>
      <c r="AQ896" s="36"/>
      <c r="AR896" s="36"/>
      <c r="AS896" s="36"/>
      <c r="AT896" s="36"/>
      <c r="AU896" s="36"/>
      <c r="AV896" s="36"/>
      <c r="AW896" s="36"/>
      <c r="AX896" s="36"/>
      <c r="AY896" s="36"/>
      <c r="AZ896" s="36"/>
      <c r="BA896" s="36"/>
      <c r="BB896" s="36"/>
      <c r="BC896" s="36"/>
      <c r="BD896" s="36"/>
      <c r="BE896" s="36"/>
      <c r="BF896" s="36"/>
      <c r="BG896" s="36"/>
      <c r="BH896" s="36"/>
      <c r="BI896" s="36"/>
      <c r="BJ896" s="36"/>
      <c r="BK896" s="36"/>
      <c r="BL896" s="36"/>
      <c r="BM896" s="36"/>
      <c r="BN896" s="36"/>
      <c r="BO896" s="36"/>
      <c r="BP896" s="36"/>
      <c r="BQ896" s="36"/>
    </row>
    <row r="897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51"/>
      <c r="S897" s="51"/>
      <c r="T897" s="51"/>
      <c r="U897" s="51"/>
      <c r="V897" s="51"/>
      <c r="W897" s="51"/>
      <c r="X897" s="51"/>
      <c r="Y897" s="45"/>
      <c r="Z897" s="45"/>
      <c r="AA897" s="45"/>
      <c r="AB897" s="45"/>
      <c r="AC897" s="45"/>
      <c r="AD897" s="45"/>
      <c r="AE897" s="45"/>
      <c r="AF897" s="45"/>
      <c r="AG897" s="45"/>
      <c r="AH897" s="45"/>
      <c r="AI897" s="45"/>
      <c r="AJ897" s="45"/>
      <c r="AK897" s="45"/>
      <c r="AL897" s="45"/>
      <c r="AM897" s="45"/>
      <c r="AN897" s="45"/>
      <c r="AO897" s="45"/>
      <c r="AP897" s="45"/>
      <c r="AQ897" s="36"/>
      <c r="AR897" s="36"/>
      <c r="AS897" s="36"/>
      <c r="AT897" s="36"/>
      <c r="AU897" s="36"/>
      <c r="AV897" s="36"/>
      <c r="AW897" s="36"/>
      <c r="AX897" s="36"/>
      <c r="AY897" s="36"/>
      <c r="AZ897" s="36"/>
      <c r="BA897" s="36"/>
      <c r="BB897" s="36"/>
      <c r="BC897" s="36"/>
      <c r="BD897" s="36"/>
      <c r="BE897" s="36"/>
      <c r="BF897" s="36"/>
      <c r="BG897" s="36"/>
      <c r="BH897" s="36"/>
      <c r="BI897" s="36"/>
      <c r="BJ897" s="36"/>
      <c r="BK897" s="36"/>
      <c r="BL897" s="36"/>
      <c r="BM897" s="36"/>
      <c r="BN897" s="36"/>
      <c r="BO897" s="36"/>
      <c r="BP897" s="36"/>
      <c r="BQ897" s="36"/>
    </row>
    <row r="898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51"/>
      <c r="S898" s="51"/>
      <c r="T898" s="51"/>
      <c r="U898" s="51"/>
      <c r="V898" s="51"/>
      <c r="W898" s="51"/>
      <c r="X898" s="51"/>
      <c r="Y898" s="45"/>
      <c r="Z898" s="45"/>
      <c r="AA898" s="45"/>
      <c r="AB898" s="45"/>
      <c r="AC898" s="45"/>
      <c r="AD898" s="45"/>
      <c r="AE898" s="45"/>
      <c r="AF898" s="45"/>
      <c r="AG898" s="45"/>
      <c r="AH898" s="45"/>
      <c r="AI898" s="45"/>
      <c r="AJ898" s="45"/>
      <c r="AK898" s="45"/>
      <c r="AL898" s="45"/>
      <c r="AM898" s="45"/>
      <c r="AN898" s="45"/>
      <c r="AO898" s="45"/>
      <c r="AP898" s="45"/>
      <c r="AQ898" s="36"/>
      <c r="AR898" s="36"/>
      <c r="AS898" s="36"/>
      <c r="AT898" s="36"/>
      <c r="AU898" s="36"/>
      <c r="AV898" s="36"/>
      <c r="AW898" s="36"/>
      <c r="AX898" s="36"/>
      <c r="AY898" s="36"/>
      <c r="AZ898" s="36"/>
      <c r="BA898" s="36"/>
      <c r="BB898" s="36"/>
      <c r="BC898" s="36"/>
      <c r="BD898" s="36"/>
      <c r="BE898" s="36"/>
      <c r="BF898" s="36"/>
      <c r="BG898" s="36"/>
      <c r="BH898" s="36"/>
      <c r="BI898" s="36"/>
      <c r="BJ898" s="36"/>
      <c r="BK898" s="36"/>
      <c r="BL898" s="36"/>
      <c r="BM898" s="36"/>
      <c r="BN898" s="36"/>
      <c r="BO898" s="36"/>
      <c r="BP898" s="36"/>
      <c r="BQ898" s="36"/>
    </row>
    <row r="899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51"/>
      <c r="S899" s="51"/>
      <c r="T899" s="51"/>
      <c r="U899" s="51"/>
      <c r="V899" s="51"/>
      <c r="W899" s="51"/>
      <c r="X899" s="51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5"/>
      <c r="AM899" s="45"/>
      <c r="AN899" s="45"/>
      <c r="AO899" s="45"/>
      <c r="AP899" s="45"/>
      <c r="AQ899" s="36"/>
      <c r="AR899" s="36"/>
      <c r="AS899" s="36"/>
      <c r="AT899" s="36"/>
      <c r="AU899" s="36"/>
      <c r="AV899" s="36"/>
      <c r="AW899" s="36"/>
      <c r="AX899" s="36"/>
      <c r="AY899" s="36"/>
      <c r="AZ899" s="36"/>
      <c r="BA899" s="36"/>
      <c r="BB899" s="36"/>
      <c r="BC899" s="36"/>
      <c r="BD899" s="36"/>
      <c r="BE899" s="36"/>
      <c r="BF899" s="36"/>
      <c r="BG899" s="36"/>
      <c r="BH899" s="36"/>
      <c r="BI899" s="36"/>
      <c r="BJ899" s="36"/>
      <c r="BK899" s="36"/>
      <c r="BL899" s="36"/>
      <c r="BM899" s="36"/>
      <c r="BN899" s="36"/>
      <c r="BO899" s="36"/>
      <c r="BP899" s="36"/>
      <c r="BQ899" s="36"/>
    </row>
    <row r="900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51"/>
      <c r="S900" s="51"/>
      <c r="T900" s="51"/>
      <c r="U900" s="51"/>
      <c r="V900" s="51"/>
      <c r="W900" s="51"/>
      <c r="X900" s="51"/>
      <c r="Y900" s="45"/>
      <c r="Z900" s="45"/>
      <c r="AA900" s="45"/>
      <c r="AB900" s="45"/>
      <c r="AC900" s="45"/>
      <c r="AD900" s="45"/>
      <c r="AE900" s="45"/>
      <c r="AF900" s="45"/>
      <c r="AG900" s="45"/>
      <c r="AH900" s="45"/>
      <c r="AI900" s="45"/>
      <c r="AJ900" s="45"/>
      <c r="AK900" s="45"/>
      <c r="AL900" s="45"/>
      <c r="AM900" s="45"/>
      <c r="AN900" s="45"/>
      <c r="AO900" s="45"/>
      <c r="AP900" s="45"/>
      <c r="AQ900" s="36"/>
      <c r="AR900" s="36"/>
      <c r="AS900" s="36"/>
      <c r="AT900" s="36"/>
      <c r="AU900" s="36"/>
      <c r="AV900" s="36"/>
      <c r="AW900" s="36"/>
      <c r="AX900" s="36"/>
      <c r="AY900" s="36"/>
      <c r="AZ900" s="36"/>
      <c r="BA900" s="36"/>
      <c r="BB900" s="36"/>
      <c r="BC900" s="36"/>
      <c r="BD900" s="36"/>
      <c r="BE900" s="36"/>
      <c r="BF900" s="36"/>
      <c r="BG900" s="36"/>
      <c r="BH900" s="36"/>
      <c r="BI900" s="36"/>
      <c r="BJ900" s="36"/>
      <c r="BK900" s="36"/>
      <c r="BL900" s="36"/>
      <c r="BM900" s="36"/>
      <c r="BN900" s="36"/>
      <c r="BO900" s="36"/>
      <c r="BP900" s="36"/>
      <c r="BQ900" s="36"/>
    </row>
    <row r="90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51"/>
      <c r="S901" s="51"/>
      <c r="T901" s="51"/>
      <c r="U901" s="51"/>
      <c r="V901" s="51"/>
      <c r="W901" s="51"/>
      <c r="X901" s="51"/>
      <c r="Y901" s="45"/>
      <c r="Z901" s="45"/>
      <c r="AA901" s="45"/>
      <c r="AB901" s="45"/>
      <c r="AC901" s="45"/>
      <c r="AD901" s="45"/>
      <c r="AE901" s="45"/>
      <c r="AF901" s="45"/>
      <c r="AG901" s="45"/>
      <c r="AH901" s="45"/>
      <c r="AI901" s="45"/>
      <c r="AJ901" s="45"/>
      <c r="AK901" s="45"/>
      <c r="AL901" s="45"/>
      <c r="AM901" s="45"/>
      <c r="AN901" s="45"/>
      <c r="AO901" s="45"/>
      <c r="AP901" s="45"/>
      <c r="AQ901" s="36"/>
      <c r="AR901" s="36"/>
      <c r="AS901" s="36"/>
      <c r="AT901" s="36"/>
      <c r="AU901" s="36"/>
      <c r="AV901" s="36"/>
      <c r="AW901" s="36"/>
      <c r="AX901" s="36"/>
      <c r="AY901" s="36"/>
      <c r="AZ901" s="36"/>
      <c r="BA901" s="36"/>
      <c r="BB901" s="36"/>
      <c r="BC901" s="36"/>
      <c r="BD901" s="36"/>
      <c r="BE901" s="36"/>
      <c r="BF901" s="36"/>
      <c r="BG901" s="36"/>
      <c r="BH901" s="36"/>
      <c r="BI901" s="36"/>
      <c r="BJ901" s="36"/>
      <c r="BK901" s="36"/>
      <c r="BL901" s="36"/>
      <c r="BM901" s="36"/>
      <c r="BN901" s="36"/>
      <c r="BO901" s="36"/>
      <c r="BP901" s="36"/>
      <c r="BQ901" s="36"/>
    </row>
    <row r="90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51"/>
      <c r="S902" s="51"/>
      <c r="T902" s="51"/>
      <c r="U902" s="51"/>
      <c r="V902" s="51"/>
      <c r="W902" s="51"/>
      <c r="X902" s="51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5"/>
      <c r="AM902" s="45"/>
      <c r="AN902" s="45"/>
      <c r="AO902" s="45"/>
      <c r="AP902" s="45"/>
      <c r="AQ902" s="36"/>
      <c r="AR902" s="36"/>
      <c r="AS902" s="36"/>
      <c r="AT902" s="36"/>
      <c r="AU902" s="36"/>
      <c r="AV902" s="36"/>
      <c r="AW902" s="36"/>
      <c r="AX902" s="36"/>
      <c r="AY902" s="36"/>
      <c r="AZ902" s="36"/>
      <c r="BA902" s="36"/>
      <c r="BB902" s="36"/>
      <c r="BC902" s="36"/>
      <c r="BD902" s="36"/>
      <c r="BE902" s="36"/>
      <c r="BF902" s="36"/>
      <c r="BG902" s="36"/>
      <c r="BH902" s="36"/>
      <c r="BI902" s="36"/>
      <c r="BJ902" s="36"/>
      <c r="BK902" s="36"/>
      <c r="BL902" s="36"/>
      <c r="BM902" s="36"/>
      <c r="BN902" s="36"/>
      <c r="BO902" s="36"/>
      <c r="BP902" s="36"/>
      <c r="BQ902" s="36"/>
    </row>
    <row r="903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51"/>
      <c r="S903" s="51"/>
      <c r="T903" s="51"/>
      <c r="U903" s="51"/>
      <c r="V903" s="51"/>
      <c r="W903" s="51"/>
      <c r="X903" s="51"/>
      <c r="Y903" s="45"/>
      <c r="Z903" s="45"/>
      <c r="AA903" s="45"/>
      <c r="AB903" s="45"/>
      <c r="AC903" s="45"/>
      <c r="AD903" s="45"/>
      <c r="AE903" s="45"/>
      <c r="AF903" s="45"/>
      <c r="AG903" s="45"/>
      <c r="AH903" s="45"/>
      <c r="AI903" s="45"/>
      <c r="AJ903" s="45"/>
      <c r="AK903" s="45"/>
      <c r="AL903" s="45"/>
      <c r="AM903" s="45"/>
      <c r="AN903" s="45"/>
      <c r="AO903" s="45"/>
      <c r="AP903" s="45"/>
      <c r="AQ903" s="36"/>
      <c r="AR903" s="36"/>
      <c r="AS903" s="36"/>
      <c r="AT903" s="36"/>
      <c r="AU903" s="36"/>
      <c r="AV903" s="36"/>
      <c r="AW903" s="36"/>
      <c r="AX903" s="36"/>
      <c r="AY903" s="36"/>
      <c r="AZ903" s="36"/>
      <c r="BA903" s="36"/>
      <c r="BB903" s="36"/>
      <c r="BC903" s="36"/>
      <c r="BD903" s="36"/>
      <c r="BE903" s="36"/>
      <c r="BF903" s="36"/>
      <c r="BG903" s="36"/>
      <c r="BH903" s="36"/>
      <c r="BI903" s="36"/>
      <c r="BJ903" s="36"/>
      <c r="BK903" s="36"/>
      <c r="BL903" s="36"/>
      <c r="BM903" s="36"/>
      <c r="BN903" s="36"/>
      <c r="BO903" s="36"/>
      <c r="BP903" s="36"/>
      <c r="BQ903" s="36"/>
    </row>
    <row r="904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51"/>
      <c r="S904" s="51"/>
      <c r="T904" s="51"/>
      <c r="U904" s="51"/>
      <c r="V904" s="51"/>
      <c r="W904" s="51"/>
      <c r="X904" s="51"/>
      <c r="Y904" s="45"/>
      <c r="Z904" s="45"/>
      <c r="AA904" s="45"/>
      <c r="AB904" s="45"/>
      <c r="AC904" s="45"/>
      <c r="AD904" s="45"/>
      <c r="AE904" s="45"/>
      <c r="AF904" s="45"/>
      <c r="AG904" s="45"/>
      <c r="AH904" s="45"/>
      <c r="AI904" s="45"/>
      <c r="AJ904" s="45"/>
      <c r="AK904" s="45"/>
      <c r="AL904" s="45"/>
      <c r="AM904" s="45"/>
      <c r="AN904" s="45"/>
      <c r="AO904" s="45"/>
      <c r="AP904" s="45"/>
      <c r="AQ904" s="36"/>
      <c r="AR904" s="36"/>
      <c r="AS904" s="36"/>
      <c r="AT904" s="36"/>
      <c r="AU904" s="36"/>
      <c r="AV904" s="36"/>
      <c r="AW904" s="36"/>
      <c r="AX904" s="36"/>
      <c r="AY904" s="36"/>
      <c r="AZ904" s="36"/>
      <c r="BA904" s="36"/>
      <c r="BB904" s="36"/>
      <c r="BC904" s="36"/>
      <c r="BD904" s="36"/>
      <c r="BE904" s="36"/>
      <c r="BF904" s="36"/>
      <c r="BG904" s="36"/>
      <c r="BH904" s="36"/>
      <c r="BI904" s="36"/>
      <c r="BJ904" s="36"/>
      <c r="BK904" s="36"/>
      <c r="BL904" s="36"/>
      <c r="BM904" s="36"/>
      <c r="BN904" s="36"/>
      <c r="BO904" s="36"/>
      <c r="BP904" s="36"/>
      <c r="BQ904" s="36"/>
    </row>
    <row r="90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51"/>
      <c r="S905" s="51"/>
      <c r="T905" s="51"/>
      <c r="U905" s="51"/>
      <c r="V905" s="51"/>
      <c r="W905" s="51"/>
      <c r="X905" s="51"/>
      <c r="Y905" s="45"/>
      <c r="Z905" s="45"/>
      <c r="AA905" s="45"/>
      <c r="AB905" s="45"/>
      <c r="AC905" s="45"/>
      <c r="AD905" s="45"/>
      <c r="AE905" s="45"/>
      <c r="AF905" s="45"/>
      <c r="AG905" s="45"/>
      <c r="AH905" s="45"/>
      <c r="AI905" s="45"/>
      <c r="AJ905" s="45"/>
      <c r="AK905" s="45"/>
      <c r="AL905" s="45"/>
      <c r="AM905" s="45"/>
      <c r="AN905" s="45"/>
      <c r="AO905" s="45"/>
      <c r="AP905" s="45"/>
      <c r="AQ905" s="36"/>
      <c r="AR905" s="36"/>
      <c r="AS905" s="36"/>
      <c r="AT905" s="36"/>
      <c r="AU905" s="36"/>
      <c r="AV905" s="36"/>
      <c r="AW905" s="36"/>
      <c r="AX905" s="36"/>
      <c r="AY905" s="36"/>
      <c r="AZ905" s="36"/>
      <c r="BA905" s="36"/>
      <c r="BB905" s="36"/>
      <c r="BC905" s="36"/>
      <c r="BD905" s="36"/>
      <c r="BE905" s="36"/>
      <c r="BF905" s="36"/>
      <c r="BG905" s="36"/>
      <c r="BH905" s="36"/>
      <c r="BI905" s="36"/>
      <c r="BJ905" s="36"/>
      <c r="BK905" s="36"/>
      <c r="BL905" s="36"/>
      <c r="BM905" s="36"/>
      <c r="BN905" s="36"/>
      <c r="BO905" s="36"/>
      <c r="BP905" s="36"/>
      <c r="BQ905" s="36"/>
    </row>
    <row r="906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51"/>
      <c r="S906" s="51"/>
      <c r="T906" s="51"/>
      <c r="U906" s="51"/>
      <c r="V906" s="51"/>
      <c r="W906" s="51"/>
      <c r="X906" s="51"/>
      <c r="Y906" s="45"/>
      <c r="Z906" s="45"/>
      <c r="AA906" s="45"/>
      <c r="AB906" s="45"/>
      <c r="AC906" s="45"/>
      <c r="AD906" s="45"/>
      <c r="AE906" s="45"/>
      <c r="AF906" s="45"/>
      <c r="AG906" s="45"/>
      <c r="AH906" s="45"/>
      <c r="AI906" s="45"/>
      <c r="AJ906" s="45"/>
      <c r="AK906" s="45"/>
      <c r="AL906" s="45"/>
      <c r="AM906" s="45"/>
      <c r="AN906" s="45"/>
      <c r="AO906" s="45"/>
      <c r="AP906" s="45"/>
      <c r="AQ906" s="36"/>
      <c r="AR906" s="36"/>
      <c r="AS906" s="36"/>
      <c r="AT906" s="36"/>
      <c r="AU906" s="36"/>
      <c r="AV906" s="36"/>
      <c r="AW906" s="36"/>
      <c r="AX906" s="36"/>
      <c r="AY906" s="36"/>
      <c r="AZ906" s="36"/>
      <c r="BA906" s="36"/>
      <c r="BB906" s="36"/>
      <c r="BC906" s="36"/>
      <c r="BD906" s="36"/>
      <c r="BE906" s="36"/>
      <c r="BF906" s="36"/>
      <c r="BG906" s="36"/>
      <c r="BH906" s="36"/>
      <c r="BI906" s="36"/>
      <c r="BJ906" s="36"/>
      <c r="BK906" s="36"/>
      <c r="BL906" s="36"/>
      <c r="BM906" s="36"/>
      <c r="BN906" s="36"/>
      <c r="BO906" s="36"/>
      <c r="BP906" s="36"/>
      <c r="BQ906" s="36"/>
    </row>
    <row r="907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51"/>
      <c r="S907" s="51"/>
      <c r="T907" s="51"/>
      <c r="U907" s="51"/>
      <c r="V907" s="51"/>
      <c r="W907" s="51"/>
      <c r="X907" s="51"/>
      <c r="Y907" s="45"/>
      <c r="Z907" s="45"/>
      <c r="AA907" s="45"/>
      <c r="AB907" s="45"/>
      <c r="AC907" s="45"/>
      <c r="AD907" s="45"/>
      <c r="AE907" s="45"/>
      <c r="AF907" s="45"/>
      <c r="AG907" s="45"/>
      <c r="AH907" s="45"/>
      <c r="AI907" s="45"/>
      <c r="AJ907" s="45"/>
      <c r="AK907" s="45"/>
      <c r="AL907" s="45"/>
      <c r="AM907" s="45"/>
      <c r="AN907" s="45"/>
      <c r="AO907" s="45"/>
      <c r="AP907" s="45"/>
      <c r="AQ907" s="36"/>
      <c r="AR907" s="36"/>
      <c r="AS907" s="36"/>
      <c r="AT907" s="36"/>
      <c r="AU907" s="36"/>
      <c r="AV907" s="36"/>
      <c r="AW907" s="36"/>
      <c r="AX907" s="36"/>
      <c r="AY907" s="36"/>
      <c r="AZ907" s="36"/>
      <c r="BA907" s="36"/>
      <c r="BB907" s="36"/>
      <c r="BC907" s="36"/>
      <c r="BD907" s="36"/>
      <c r="BE907" s="36"/>
      <c r="BF907" s="36"/>
      <c r="BG907" s="36"/>
      <c r="BH907" s="36"/>
      <c r="BI907" s="36"/>
      <c r="BJ907" s="36"/>
      <c r="BK907" s="36"/>
      <c r="BL907" s="36"/>
      <c r="BM907" s="36"/>
      <c r="BN907" s="36"/>
      <c r="BO907" s="36"/>
      <c r="BP907" s="36"/>
      <c r="BQ907" s="36"/>
    </row>
    <row r="908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51"/>
      <c r="S908" s="51"/>
      <c r="T908" s="51"/>
      <c r="U908" s="51"/>
      <c r="V908" s="51"/>
      <c r="W908" s="51"/>
      <c r="X908" s="51"/>
      <c r="Y908" s="45"/>
      <c r="Z908" s="45"/>
      <c r="AA908" s="45"/>
      <c r="AB908" s="45"/>
      <c r="AC908" s="45"/>
      <c r="AD908" s="45"/>
      <c r="AE908" s="45"/>
      <c r="AF908" s="45"/>
      <c r="AG908" s="45"/>
      <c r="AH908" s="45"/>
      <c r="AI908" s="45"/>
      <c r="AJ908" s="45"/>
      <c r="AK908" s="45"/>
      <c r="AL908" s="45"/>
      <c r="AM908" s="45"/>
      <c r="AN908" s="45"/>
      <c r="AO908" s="45"/>
      <c r="AP908" s="45"/>
      <c r="AQ908" s="36"/>
      <c r="AR908" s="36"/>
      <c r="AS908" s="36"/>
      <c r="AT908" s="36"/>
      <c r="AU908" s="36"/>
      <c r="AV908" s="36"/>
      <c r="AW908" s="36"/>
      <c r="AX908" s="36"/>
      <c r="AY908" s="36"/>
      <c r="AZ908" s="36"/>
      <c r="BA908" s="36"/>
      <c r="BB908" s="36"/>
      <c r="BC908" s="36"/>
      <c r="BD908" s="36"/>
      <c r="BE908" s="36"/>
      <c r="BF908" s="36"/>
      <c r="BG908" s="36"/>
      <c r="BH908" s="36"/>
      <c r="BI908" s="36"/>
      <c r="BJ908" s="36"/>
      <c r="BK908" s="36"/>
      <c r="BL908" s="36"/>
      <c r="BM908" s="36"/>
      <c r="BN908" s="36"/>
      <c r="BO908" s="36"/>
      <c r="BP908" s="36"/>
      <c r="BQ908" s="36"/>
    </row>
    <row r="909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51"/>
      <c r="S909" s="51"/>
      <c r="T909" s="51"/>
      <c r="U909" s="51"/>
      <c r="V909" s="51"/>
      <c r="W909" s="51"/>
      <c r="X909" s="51"/>
      <c r="Y909" s="45"/>
      <c r="Z909" s="45"/>
      <c r="AA909" s="45"/>
      <c r="AB909" s="45"/>
      <c r="AC909" s="45"/>
      <c r="AD909" s="45"/>
      <c r="AE909" s="45"/>
      <c r="AF909" s="45"/>
      <c r="AG909" s="45"/>
      <c r="AH909" s="45"/>
      <c r="AI909" s="45"/>
      <c r="AJ909" s="45"/>
      <c r="AK909" s="45"/>
      <c r="AL909" s="45"/>
      <c r="AM909" s="45"/>
      <c r="AN909" s="45"/>
      <c r="AO909" s="45"/>
      <c r="AP909" s="45"/>
      <c r="AQ909" s="36"/>
      <c r="AR909" s="36"/>
      <c r="AS909" s="36"/>
      <c r="AT909" s="36"/>
      <c r="AU909" s="36"/>
      <c r="AV909" s="36"/>
      <c r="AW909" s="36"/>
      <c r="AX909" s="36"/>
      <c r="AY909" s="36"/>
      <c r="AZ909" s="36"/>
      <c r="BA909" s="36"/>
      <c r="BB909" s="36"/>
      <c r="BC909" s="36"/>
      <c r="BD909" s="36"/>
      <c r="BE909" s="36"/>
      <c r="BF909" s="36"/>
      <c r="BG909" s="36"/>
      <c r="BH909" s="36"/>
      <c r="BI909" s="36"/>
      <c r="BJ909" s="36"/>
      <c r="BK909" s="36"/>
      <c r="BL909" s="36"/>
      <c r="BM909" s="36"/>
      <c r="BN909" s="36"/>
      <c r="BO909" s="36"/>
      <c r="BP909" s="36"/>
      <c r="BQ909" s="36"/>
    </row>
    <row r="910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51"/>
      <c r="S910" s="51"/>
      <c r="T910" s="51"/>
      <c r="U910" s="51"/>
      <c r="V910" s="51"/>
      <c r="W910" s="51"/>
      <c r="X910" s="51"/>
      <c r="Y910" s="45"/>
      <c r="Z910" s="45"/>
      <c r="AA910" s="45"/>
      <c r="AB910" s="45"/>
      <c r="AC910" s="45"/>
      <c r="AD910" s="45"/>
      <c r="AE910" s="45"/>
      <c r="AF910" s="45"/>
      <c r="AG910" s="45"/>
      <c r="AH910" s="45"/>
      <c r="AI910" s="45"/>
      <c r="AJ910" s="45"/>
      <c r="AK910" s="45"/>
      <c r="AL910" s="45"/>
      <c r="AM910" s="45"/>
      <c r="AN910" s="45"/>
      <c r="AO910" s="45"/>
      <c r="AP910" s="45"/>
      <c r="AQ910" s="36"/>
      <c r="AR910" s="36"/>
      <c r="AS910" s="36"/>
      <c r="AT910" s="36"/>
      <c r="AU910" s="36"/>
      <c r="AV910" s="36"/>
      <c r="AW910" s="36"/>
      <c r="AX910" s="36"/>
      <c r="AY910" s="36"/>
      <c r="AZ910" s="36"/>
      <c r="BA910" s="36"/>
      <c r="BB910" s="36"/>
      <c r="BC910" s="36"/>
      <c r="BD910" s="36"/>
      <c r="BE910" s="36"/>
      <c r="BF910" s="36"/>
      <c r="BG910" s="36"/>
      <c r="BH910" s="36"/>
      <c r="BI910" s="36"/>
      <c r="BJ910" s="36"/>
      <c r="BK910" s="36"/>
      <c r="BL910" s="36"/>
      <c r="BM910" s="36"/>
      <c r="BN910" s="36"/>
      <c r="BO910" s="36"/>
      <c r="BP910" s="36"/>
      <c r="BQ910" s="36"/>
    </row>
    <row r="91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51"/>
      <c r="S911" s="51"/>
      <c r="T911" s="51"/>
      <c r="U911" s="51"/>
      <c r="V911" s="51"/>
      <c r="W911" s="51"/>
      <c r="X911" s="51"/>
      <c r="Y911" s="45"/>
      <c r="Z911" s="45"/>
      <c r="AA911" s="45"/>
      <c r="AB911" s="45"/>
      <c r="AC911" s="45"/>
      <c r="AD911" s="45"/>
      <c r="AE911" s="45"/>
      <c r="AF911" s="45"/>
      <c r="AG911" s="45"/>
      <c r="AH911" s="45"/>
      <c r="AI911" s="45"/>
      <c r="AJ911" s="45"/>
      <c r="AK911" s="45"/>
      <c r="AL911" s="45"/>
      <c r="AM911" s="45"/>
      <c r="AN911" s="45"/>
      <c r="AO911" s="45"/>
      <c r="AP911" s="45"/>
      <c r="AQ911" s="36"/>
      <c r="AR911" s="36"/>
      <c r="AS911" s="36"/>
      <c r="AT911" s="36"/>
      <c r="AU911" s="36"/>
      <c r="AV911" s="36"/>
      <c r="AW911" s="36"/>
      <c r="AX911" s="36"/>
      <c r="AY911" s="36"/>
      <c r="AZ911" s="36"/>
      <c r="BA911" s="36"/>
      <c r="BB911" s="36"/>
      <c r="BC911" s="36"/>
      <c r="BD911" s="36"/>
      <c r="BE911" s="36"/>
      <c r="BF911" s="36"/>
      <c r="BG911" s="36"/>
      <c r="BH911" s="36"/>
      <c r="BI911" s="36"/>
      <c r="BJ911" s="36"/>
      <c r="BK911" s="36"/>
      <c r="BL911" s="36"/>
      <c r="BM911" s="36"/>
      <c r="BN911" s="36"/>
      <c r="BO911" s="36"/>
      <c r="BP911" s="36"/>
      <c r="BQ911" s="36"/>
    </row>
    <row r="91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51"/>
      <c r="S912" s="51"/>
      <c r="T912" s="51"/>
      <c r="U912" s="51"/>
      <c r="V912" s="51"/>
      <c r="W912" s="51"/>
      <c r="X912" s="51"/>
      <c r="Y912" s="45"/>
      <c r="Z912" s="45"/>
      <c r="AA912" s="45"/>
      <c r="AB912" s="45"/>
      <c r="AC912" s="45"/>
      <c r="AD912" s="45"/>
      <c r="AE912" s="45"/>
      <c r="AF912" s="45"/>
      <c r="AG912" s="45"/>
      <c r="AH912" s="45"/>
      <c r="AI912" s="45"/>
      <c r="AJ912" s="45"/>
      <c r="AK912" s="45"/>
      <c r="AL912" s="45"/>
      <c r="AM912" s="45"/>
      <c r="AN912" s="45"/>
      <c r="AO912" s="45"/>
      <c r="AP912" s="45"/>
      <c r="AQ912" s="36"/>
      <c r="AR912" s="36"/>
      <c r="AS912" s="36"/>
      <c r="AT912" s="36"/>
      <c r="AU912" s="36"/>
      <c r="AV912" s="36"/>
      <c r="AW912" s="36"/>
      <c r="AX912" s="36"/>
      <c r="AY912" s="36"/>
      <c r="AZ912" s="36"/>
      <c r="BA912" s="36"/>
      <c r="BB912" s="36"/>
      <c r="BC912" s="36"/>
      <c r="BD912" s="36"/>
      <c r="BE912" s="36"/>
      <c r="BF912" s="36"/>
      <c r="BG912" s="36"/>
      <c r="BH912" s="36"/>
      <c r="BI912" s="36"/>
      <c r="BJ912" s="36"/>
      <c r="BK912" s="36"/>
      <c r="BL912" s="36"/>
      <c r="BM912" s="36"/>
      <c r="BN912" s="36"/>
      <c r="BO912" s="36"/>
      <c r="BP912" s="36"/>
      <c r="BQ912" s="36"/>
    </row>
    <row r="913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51"/>
      <c r="S913" s="51"/>
      <c r="T913" s="51"/>
      <c r="U913" s="51"/>
      <c r="V913" s="51"/>
      <c r="W913" s="51"/>
      <c r="X913" s="51"/>
      <c r="Y913" s="45"/>
      <c r="Z913" s="45"/>
      <c r="AA913" s="45"/>
      <c r="AB913" s="45"/>
      <c r="AC913" s="45"/>
      <c r="AD913" s="45"/>
      <c r="AE913" s="45"/>
      <c r="AF913" s="45"/>
      <c r="AG913" s="45"/>
      <c r="AH913" s="45"/>
      <c r="AI913" s="45"/>
      <c r="AJ913" s="45"/>
      <c r="AK913" s="45"/>
      <c r="AL913" s="45"/>
      <c r="AM913" s="45"/>
      <c r="AN913" s="45"/>
      <c r="AO913" s="45"/>
      <c r="AP913" s="45"/>
      <c r="AQ913" s="36"/>
      <c r="AR913" s="36"/>
      <c r="AS913" s="36"/>
      <c r="AT913" s="36"/>
      <c r="AU913" s="36"/>
      <c r="AV913" s="36"/>
      <c r="AW913" s="36"/>
      <c r="AX913" s="36"/>
      <c r="AY913" s="36"/>
      <c r="AZ913" s="36"/>
      <c r="BA913" s="36"/>
      <c r="BB913" s="36"/>
      <c r="BC913" s="36"/>
      <c r="BD913" s="36"/>
      <c r="BE913" s="36"/>
      <c r="BF913" s="36"/>
      <c r="BG913" s="36"/>
      <c r="BH913" s="36"/>
      <c r="BI913" s="36"/>
      <c r="BJ913" s="36"/>
      <c r="BK913" s="36"/>
      <c r="BL913" s="36"/>
      <c r="BM913" s="36"/>
      <c r="BN913" s="36"/>
      <c r="BO913" s="36"/>
      <c r="BP913" s="36"/>
      <c r="BQ913" s="36"/>
    </row>
    <row r="914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51"/>
      <c r="S914" s="51"/>
      <c r="T914" s="51"/>
      <c r="U914" s="51"/>
      <c r="V914" s="51"/>
      <c r="W914" s="51"/>
      <c r="X914" s="51"/>
      <c r="Y914" s="45"/>
      <c r="Z914" s="45"/>
      <c r="AA914" s="45"/>
      <c r="AB914" s="45"/>
      <c r="AC914" s="45"/>
      <c r="AD914" s="45"/>
      <c r="AE914" s="45"/>
      <c r="AF914" s="45"/>
      <c r="AG914" s="45"/>
      <c r="AH914" s="45"/>
      <c r="AI914" s="45"/>
      <c r="AJ914" s="45"/>
      <c r="AK914" s="45"/>
      <c r="AL914" s="45"/>
      <c r="AM914" s="45"/>
      <c r="AN914" s="45"/>
      <c r="AO914" s="45"/>
      <c r="AP914" s="45"/>
      <c r="AQ914" s="36"/>
      <c r="AR914" s="36"/>
      <c r="AS914" s="36"/>
      <c r="AT914" s="36"/>
      <c r="AU914" s="36"/>
      <c r="AV914" s="36"/>
      <c r="AW914" s="36"/>
      <c r="AX914" s="36"/>
      <c r="AY914" s="36"/>
      <c r="AZ914" s="36"/>
      <c r="BA914" s="36"/>
      <c r="BB914" s="36"/>
      <c r="BC914" s="36"/>
      <c r="BD914" s="36"/>
      <c r="BE914" s="36"/>
      <c r="BF914" s="36"/>
      <c r="BG914" s="36"/>
      <c r="BH914" s="36"/>
      <c r="BI914" s="36"/>
      <c r="BJ914" s="36"/>
      <c r="BK914" s="36"/>
      <c r="BL914" s="36"/>
      <c r="BM914" s="36"/>
      <c r="BN914" s="36"/>
      <c r="BO914" s="36"/>
      <c r="BP914" s="36"/>
      <c r="BQ914" s="36"/>
    </row>
    <row r="91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51"/>
      <c r="S915" s="51"/>
      <c r="T915" s="51"/>
      <c r="U915" s="51"/>
      <c r="V915" s="51"/>
      <c r="W915" s="51"/>
      <c r="X915" s="51"/>
      <c r="Y915" s="45"/>
      <c r="Z915" s="45"/>
      <c r="AA915" s="45"/>
      <c r="AB915" s="45"/>
      <c r="AC915" s="45"/>
      <c r="AD915" s="45"/>
      <c r="AE915" s="45"/>
      <c r="AF915" s="45"/>
      <c r="AG915" s="45"/>
      <c r="AH915" s="45"/>
      <c r="AI915" s="45"/>
      <c r="AJ915" s="45"/>
      <c r="AK915" s="45"/>
      <c r="AL915" s="45"/>
      <c r="AM915" s="45"/>
      <c r="AN915" s="45"/>
      <c r="AO915" s="45"/>
      <c r="AP915" s="45"/>
      <c r="AQ915" s="36"/>
      <c r="AR915" s="36"/>
      <c r="AS915" s="36"/>
      <c r="AT915" s="36"/>
      <c r="AU915" s="36"/>
      <c r="AV915" s="36"/>
      <c r="AW915" s="36"/>
      <c r="AX915" s="36"/>
      <c r="AY915" s="36"/>
      <c r="AZ915" s="36"/>
      <c r="BA915" s="36"/>
      <c r="BB915" s="36"/>
      <c r="BC915" s="36"/>
      <c r="BD915" s="36"/>
      <c r="BE915" s="36"/>
      <c r="BF915" s="36"/>
      <c r="BG915" s="36"/>
      <c r="BH915" s="36"/>
      <c r="BI915" s="36"/>
      <c r="BJ915" s="36"/>
      <c r="BK915" s="36"/>
      <c r="BL915" s="36"/>
      <c r="BM915" s="36"/>
      <c r="BN915" s="36"/>
      <c r="BO915" s="36"/>
      <c r="BP915" s="36"/>
      <c r="BQ915" s="36"/>
    </row>
    <row r="916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51"/>
      <c r="S916" s="51"/>
      <c r="T916" s="51"/>
      <c r="U916" s="51"/>
      <c r="V916" s="51"/>
      <c r="W916" s="51"/>
      <c r="X916" s="51"/>
      <c r="Y916" s="45"/>
      <c r="Z916" s="45"/>
      <c r="AA916" s="45"/>
      <c r="AB916" s="45"/>
      <c r="AC916" s="45"/>
      <c r="AD916" s="45"/>
      <c r="AE916" s="45"/>
      <c r="AF916" s="45"/>
      <c r="AG916" s="45"/>
      <c r="AH916" s="45"/>
      <c r="AI916" s="45"/>
      <c r="AJ916" s="45"/>
      <c r="AK916" s="45"/>
      <c r="AL916" s="45"/>
      <c r="AM916" s="45"/>
      <c r="AN916" s="45"/>
      <c r="AO916" s="45"/>
      <c r="AP916" s="45"/>
      <c r="AQ916" s="36"/>
      <c r="AR916" s="36"/>
      <c r="AS916" s="36"/>
      <c r="AT916" s="36"/>
      <c r="AU916" s="36"/>
      <c r="AV916" s="36"/>
      <c r="AW916" s="36"/>
      <c r="AX916" s="36"/>
      <c r="AY916" s="36"/>
      <c r="AZ916" s="36"/>
      <c r="BA916" s="36"/>
      <c r="BB916" s="36"/>
      <c r="BC916" s="36"/>
      <c r="BD916" s="36"/>
      <c r="BE916" s="36"/>
      <c r="BF916" s="36"/>
      <c r="BG916" s="36"/>
      <c r="BH916" s="36"/>
      <c r="BI916" s="36"/>
      <c r="BJ916" s="36"/>
      <c r="BK916" s="36"/>
      <c r="BL916" s="36"/>
      <c r="BM916" s="36"/>
      <c r="BN916" s="36"/>
      <c r="BO916" s="36"/>
      <c r="BP916" s="36"/>
      <c r="BQ916" s="36"/>
    </row>
    <row r="917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51"/>
      <c r="S917" s="51"/>
      <c r="T917" s="51"/>
      <c r="U917" s="51"/>
      <c r="V917" s="51"/>
      <c r="W917" s="51"/>
      <c r="X917" s="51"/>
      <c r="Y917" s="45"/>
      <c r="Z917" s="45"/>
      <c r="AA917" s="45"/>
      <c r="AB917" s="45"/>
      <c r="AC917" s="45"/>
      <c r="AD917" s="45"/>
      <c r="AE917" s="45"/>
      <c r="AF917" s="45"/>
      <c r="AG917" s="45"/>
      <c r="AH917" s="45"/>
      <c r="AI917" s="45"/>
      <c r="AJ917" s="45"/>
      <c r="AK917" s="45"/>
      <c r="AL917" s="45"/>
      <c r="AM917" s="45"/>
      <c r="AN917" s="45"/>
      <c r="AO917" s="45"/>
      <c r="AP917" s="45"/>
      <c r="AQ917" s="36"/>
      <c r="AR917" s="36"/>
      <c r="AS917" s="36"/>
      <c r="AT917" s="36"/>
      <c r="AU917" s="36"/>
      <c r="AV917" s="36"/>
      <c r="AW917" s="36"/>
      <c r="AX917" s="36"/>
      <c r="AY917" s="36"/>
      <c r="AZ917" s="36"/>
      <c r="BA917" s="36"/>
      <c r="BB917" s="36"/>
      <c r="BC917" s="36"/>
      <c r="BD917" s="36"/>
      <c r="BE917" s="36"/>
      <c r="BF917" s="36"/>
      <c r="BG917" s="36"/>
      <c r="BH917" s="36"/>
      <c r="BI917" s="36"/>
      <c r="BJ917" s="36"/>
      <c r="BK917" s="36"/>
      <c r="BL917" s="36"/>
      <c r="BM917" s="36"/>
      <c r="BN917" s="36"/>
      <c r="BO917" s="36"/>
      <c r="BP917" s="36"/>
      <c r="BQ917" s="36"/>
    </row>
    <row r="918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51"/>
      <c r="S918" s="51"/>
      <c r="T918" s="51"/>
      <c r="U918" s="51"/>
      <c r="V918" s="51"/>
      <c r="W918" s="51"/>
      <c r="X918" s="51"/>
      <c r="Y918" s="45"/>
      <c r="Z918" s="45"/>
      <c r="AA918" s="45"/>
      <c r="AB918" s="45"/>
      <c r="AC918" s="45"/>
      <c r="AD918" s="45"/>
      <c r="AE918" s="45"/>
      <c r="AF918" s="45"/>
      <c r="AG918" s="45"/>
      <c r="AH918" s="45"/>
      <c r="AI918" s="45"/>
      <c r="AJ918" s="45"/>
      <c r="AK918" s="45"/>
      <c r="AL918" s="45"/>
      <c r="AM918" s="45"/>
      <c r="AN918" s="45"/>
      <c r="AO918" s="45"/>
      <c r="AP918" s="45"/>
      <c r="AQ918" s="36"/>
      <c r="AR918" s="36"/>
      <c r="AS918" s="36"/>
      <c r="AT918" s="36"/>
      <c r="AU918" s="36"/>
      <c r="AV918" s="36"/>
      <c r="AW918" s="36"/>
      <c r="AX918" s="36"/>
      <c r="AY918" s="36"/>
      <c r="AZ918" s="36"/>
      <c r="BA918" s="36"/>
      <c r="BB918" s="36"/>
      <c r="BC918" s="36"/>
      <c r="BD918" s="36"/>
      <c r="BE918" s="36"/>
      <c r="BF918" s="36"/>
      <c r="BG918" s="36"/>
      <c r="BH918" s="36"/>
      <c r="BI918" s="36"/>
      <c r="BJ918" s="36"/>
      <c r="BK918" s="36"/>
      <c r="BL918" s="36"/>
      <c r="BM918" s="36"/>
      <c r="BN918" s="36"/>
      <c r="BO918" s="36"/>
      <c r="BP918" s="36"/>
      <c r="BQ918" s="36"/>
    </row>
    <row r="919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51"/>
      <c r="S919" s="51"/>
      <c r="T919" s="51"/>
      <c r="U919" s="51"/>
      <c r="V919" s="51"/>
      <c r="W919" s="51"/>
      <c r="X919" s="51"/>
      <c r="Y919" s="45"/>
      <c r="Z919" s="45"/>
      <c r="AA919" s="45"/>
      <c r="AB919" s="45"/>
      <c r="AC919" s="45"/>
      <c r="AD919" s="45"/>
      <c r="AE919" s="45"/>
      <c r="AF919" s="45"/>
      <c r="AG919" s="45"/>
      <c r="AH919" s="45"/>
      <c r="AI919" s="45"/>
      <c r="AJ919" s="45"/>
      <c r="AK919" s="45"/>
      <c r="AL919" s="45"/>
      <c r="AM919" s="45"/>
      <c r="AN919" s="45"/>
      <c r="AO919" s="45"/>
      <c r="AP919" s="45"/>
      <c r="AQ919" s="36"/>
      <c r="AR919" s="36"/>
      <c r="AS919" s="36"/>
      <c r="AT919" s="36"/>
      <c r="AU919" s="36"/>
      <c r="AV919" s="36"/>
      <c r="AW919" s="36"/>
      <c r="AX919" s="36"/>
      <c r="AY919" s="36"/>
      <c r="AZ919" s="36"/>
      <c r="BA919" s="36"/>
      <c r="BB919" s="36"/>
      <c r="BC919" s="36"/>
      <c r="BD919" s="36"/>
      <c r="BE919" s="36"/>
      <c r="BF919" s="36"/>
      <c r="BG919" s="36"/>
      <c r="BH919" s="36"/>
      <c r="BI919" s="36"/>
      <c r="BJ919" s="36"/>
      <c r="BK919" s="36"/>
      <c r="BL919" s="36"/>
      <c r="BM919" s="36"/>
      <c r="BN919" s="36"/>
      <c r="BO919" s="36"/>
      <c r="BP919" s="36"/>
      <c r="BQ919" s="36"/>
    </row>
    <row r="920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51"/>
      <c r="S920" s="51"/>
      <c r="T920" s="51"/>
      <c r="U920" s="51"/>
      <c r="V920" s="51"/>
      <c r="W920" s="51"/>
      <c r="X920" s="51"/>
      <c r="Y920" s="45"/>
      <c r="Z920" s="45"/>
      <c r="AA920" s="45"/>
      <c r="AB920" s="45"/>
      <c r="AC920" s="45"/>
      <c r="AD920" s="45"/>
      <c r="AE920" s="45"/>
      <c r="AF920" s="45"/>
      <c r="AG920" s="45"/>
      <c r="AH920" s="45"/>
      <c r="AI920" s="45"/>
      <c r="AJ920" s="45"/>
      <c r="AK920" s="45"/>
      <c r="AL920" s="45"/>
      <c r="AM920" s="45"/>
      <c r="AN920" s="45"/>
      <c r="AO920" s="45"/>
      <c r="AP920" s="45"/>
      <c r="AQ920" s="36"/>
      <c r="AR920" s="36"/>
      <c r="AS920" s="36"/>
      <c r="AT920" s="36"/>
      <c r="AU920" s="36"/>
      <c r="AV920" s="36"/>
      <c r="AW920" s="36"/>
      <c r="AX920" s="36"/>
      <c r="AY920" s="36"/>
      <c r="AZ920" s="36"/>
      <c r="BA920" s="36"/>
      <c r="BB920" s="36"/>
      <c r="BC920" s="36"/>
      <c r="BD920" s="36"/>
      <c r="BE920" s="36"/>
      <c r="BF920" s="36"/>
      <c r="BG920" s="36"/>
      <c r="BH920" s="36"/>
      <c r="BI920" s="36"/>
      <c r="BJ920" s="36"/>
      <c r="BK920" s="36"/>
      <c r="BL920" s="36"/>
      <c r="BM920" s="36"/>
      <c r="BN920" s="36"/>
      <c r="BO920" s="36"/>
      <c r="BP920" s="36"/>
      <c r="BQ920" s="36"/>
    </row>
    <row r="92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51"/>
      <c r="S921" s="51"/>
      <c r="T921" s="51"/>
      <c r="U921" s="51"/>
      <c r="V921" s="51"/>
      <c r="W921" s="51"/>
      <c r="X921" s="51"/>
      <c r="Y921" s="45"/>
      <c r="Z921" s="45"/>
      <c r="AA921" s="45"/>
      <c r="AB921" s="45"/>
      <c r="AC921" s="45"/>
      <c r="AD921" s="45"/>
      <c r="AE921" s="45"/>
      <c r="AF921" s="45"/>
      <c r="AG921" s="45"/>
      <c r="AH921" s="45"/>
      <c r="AI921" s="45"/>
      <c r="AJ921" s="45"/>
      <c r="AK921" s="45"/>
      <c r="AL921" s="45"/>
      <c r="AM921" s="45"/>
      <c r="AN921" s="45"/>
      <c r="AO921" s="45"/>
      <c r="AP921" s="45"/>
      <c r="AQ921" s="36"/>
      <c r="AR921" s="36"/>
      <c r="AS921" s="36"/>
      <c r="AT921" s="36"/>
      <c r="AU921" s="36"/>
      <c r="AV921" s="36"/>
      <c r="AW921" s="36"/>
      <c r="AX921" s="36"/>
      <c r="AY921" s="36"/>
      <c r="AZ921" s="36"/>
      <c r="BA921" s="36"/>
      <c r="BB921" s="36"/>
      <c r="BC921" s="36"/>
      <c r="BD921" s="36"/>
      <c r="BE921" s="36"/>
      <c r="BF921" s="36"/>
      <c r="BG921" s="36"/>
      <c r="BH921" s="36"/>
      <c r="BI921" s="36"/>
      <c r="BJ921" s="36"/>
      <c r="BK921" s="36"/>
      <c r="BL921" s="36"/>
      <c r="BM921" s="36"/>
      <c r="BN921" s="36"/>
      <c r="BO921" s="36"/>
      <c r="BP921" s="36"/>
      <c r="BQ921" s="36"/>
    </row>
    <row r="92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51"/>
      <c r="S922" s="51"/>
      <c r="T922" s="51"/>
      <c r="U922" s="51"/>
      <c r="V922" s="51"/>
      <c r="W922" s="51"/>
      <c r="X922" s="51"/>
      <c r="Y922" s="45"/>
      <c r="Z922" s="45"/>
      <c r="AA922" s="45"/>
      <c r="AB922" s="45"/>
      <c r="AC922" s="45"/>
      <c r="AD922" s="45"/>
      <c r="AE922" s="45"/>
      <c r="AF922" s="45"/>
      <c r="AG922" s="45"/>
      <c r="AH922" s="45"/>
      <c r="AI922" s="45"/>
      <c r="AJ922" s="45"/>
      <c r="AK922" s="45"/>
      <c r="AL922" s="45"/>
      <c r="AM922" s="45"/>
      <c r="AN922" s="45"/>
      <c r="AO922" s="45"/>
      <c r="AP922" s="45"/>
      <c r="AQ922" s="36"/>
      <c r="AR922" s="36"/>
      <c r="AS922" s="36"/>
      <c r="AT922" s="36"/>
      <c r="AU922" s="36"/>
      <c r="AV922" s="36"/>
      <c r="AW922" s="36"/>
      <c r="AX922" s="36"/>
      <c r="AY922" s="36"/>
      <c r="AZ922" s="36"/>
      <c r="BA922" s="36"/>
      <c r="BB922" s="36"/>
      <c r="BC922" s="36"/>
      <c r="BD922" s="36"/>
      <c r="BE922" s="36"/>
      <c r="BF922" s="36"/>
      <c r="BG922" s="36"/>
      <c r="BH922" s="36"/>
      <c r="BI922" s="36"/>
      <c r="BJ922" s="36"/>
      <c r="BK922" s="36"/>
      <c r="BL922" s="36"/>
      <c r="BM922" s="36"/>
      <c r="BN922" s="36"/>
      <c r="BO922" s="36"/>
      <c r="BP922" s="36"/>
      <c r="BQ922" s="36"/>
    </row>
    <row r="923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51"/>
      <c r="S923" s="51"/>
      <c r="T923" s="51"/>
      <c r="U923" s="51"/>
      <c r="V923" s="51"/>
      <c r="W923" s="51"/>
      <c r="X923" s="51"/>
      <c r="Y923" s="45"/>
      <c r="Z923" s="45"/>
      <c r="AA923" s="45"/>
      <c r="AB923" s="45"/>
      <c r="AC923" s="45"/>
      <c r="AD923" s="45"/>
      <c r="AE923" s="45"/>
      <c r="AF923" s="45"/>
      <c r="AG923" s="45"/>
      <c r="AH923" s="45"/>
      <c r="AI923" s="45"/>
      <c r="AJ923" s="45"/>
      <c r="AK923" s="45"/>
      <c r="AL923" s="45"/>
      <c r="AM923" s="45"/>
      <c r="AN923" s="45"/>
      <c r="AO923" s="45"/>
      <c r="AP923" s="45"/>
      <c r="AQ923" s="36"/>
      <c r="AR923" s="36"/>
      <c r="AS923" s="36"/>
      <c r="AT923" s="36"/>
      <c r="AU923" s="36"/>
      <c r="AV923" s="36"/>
      <c r="AW923" s="36"/>
      <c r="AX923" s="36"/>
      <c r="AY923" s="36"/>
      <c r="AZ923" s="36"/>
      <c r="BA923" s="36"/>
      <c r="BB923" s="36"/>
      <c r="BC923" s="36"/>
      <c r="BD923" s="36"/>
      <c r="BE923" s="36"/>
      <c r="BF923" s="36"/>
      <c r="BG923" s="36"/>
      <c r="BH923" s="36"/>
      <c r="BI923" s="36"/>
      <c r="BJ923" s="36"/>
      <c r="BK923" s="36"/>
      <c r="BL923" s="36"/>
      <c r="BM923" s="36"/>
      <c r="BN923" s="36"/>
      <c r="BO923" s="36"/>
      <c r="BP923" s="36"/>
      <c r="BQ923" s="36"/>
    </row>
    <row r="924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51"/>
      <c r="S924" s="51"/>
      <c r="T924" s="51"/>
      <c r="U924" s="51"/>
      <c r="V924" s="51"/>
      <c r="W924" s="51"/>
      <c r="X924" s="51"/>
      <c r="Y924" s="45"/>
      <c r="Z924" s="45"/>
      <c r="AA924" s="45"/>
      <c r="AB924" s="45"/>
      <c r="AC924" s="45"/>
      <c r="AD924" s="45"/>
      <c r="AE924" s="45"/>
      <c r="AF924" s="45"/>
      <c r="AG924" s="45"/>
      <c r="AH924" s="45"/>
      <c r="AI924" s="45"/>
      <c r="AJ924" s="45"/>
      <c r="AK924" s="45"/>
      <c r="AL924" s="45"/>
      <c r="AM924" s="45"/>
      <c r="AN924" s="45"/>
      <c r="AO924" s="45"/>
      <c r="AP924" s="45"/>
      <c r="AQ924" s="36"/>
      <c r="AR924" s="36"/>
      <c r="AS924" s="36"/>
      <c r="AT924" s="36"/>
      <c r="AU924" s="36"/>
      <c r="AV924" s="36"/>
      <c r="AW924" s="36"/>
      <c r="AX924" s="36"/>
      <c r="AY924" s="36"/>
      <c r="AZ924" s="36"/>
      <c r="BA924" s="36"/>
      <c r="BB924" s="36"/>
      <c r="BC924" s="36"/>
      <c r="BD924" s="36"/>
      <c r="BE924" s="36"/>
      <c r="BF924" s="36"/>
      <c r="BG924" s="36"/>
      <c r="BH924" s="36"/>
      <c r="BI924" s="36"/>
      <c r="BJ924" s="36"/>
      <c r="BK924" s="36"/>
      <c r="BL924" s="36"/>
      <c r="BM924" s="36"/>
      <c r="BN924" s="36"/>
      <c r="BO924" s="36"/>
      <c r="BP924" s="36"/>
      <c r="BQ924" s="36"/>
    </row>
    <row r="9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51"/>
      <c r="S925" s="51"/>
      <c r="T925" s="51"/>
      <c r="U925" s="51"/>
      <c r="V925" s="51"/>
      <c r="W925" s="51"/>
      <c r="X925" s="51"/>
      <c r="Y925" s="45"/>
      <c r="Z925" s="45"/>
      <c r="AA925" s="45"/>
      <c r="AB925" s="45"/>
      <c r="AC925" s="45"/>
      <c r="AD925" s="45"/>
      <c r="AE925" s="45"/>
      <c r="AF925" s="45"/>
      <c r="AG925" s="45"/>
      <c r="AH925" s="45"/>
      <c r="AI925" s="45"/>
      <c r="AJ925" s="45"/>
      <c r="AK925" s="45"/>
      <c r="AL925" s="45"/>
      <c r="AM925" s="45"/>
      <c r="AN925" s="45"/>
      <c r="AO925" s="45"/>
      <c r="AP925" s="45"/>
      <c r="AQ925" s="36"/>
      <c r="AR925" s="36"/>
      <c r="AS925" s="36"/>
      <c r="AT925" s="36"/>
      <c r="AU925" s="36"/>
      <c r="AV925" s="36"/>
      <c r="AW925" s="36"/>
      <c r="AX925" s="36"/>
      <c r="AY925" s="36"/>
      <c r="AZ925" s="36"/>
      <c r="BA925" s="36"/>
      <c r="BB925" s="36"/>
      <c r="BC925" s="36"/>
      <c r="BD925" s="36"/>
      <c r="BE925" s="36"/>
      <c r="BF925" s="36"/>
      <c r="BG925" s="36"/>
      <c r="BH925" s="36"/>
      <c r="BI925" s="36"/>
      <c r="BJ925" s="36"/>
      <c r="BK925" s="36"/>
      <c r="BL925" s="36"/>
      <c r="BM925" s="36"/>
      <c r="BN925" s="36"/>
      <c r="BO925" s="36"/>
      <c r="BP925" s="36"/>
      <c r="BQ925" s="36"/>
    </row>
    <row r="926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51"/>
      <c r="S926" s="51"/>
      <c r="T926" s="51"/>
      <c r="U926" s="51"/>
      <c r="V926" s="51"/>
      <c r="W926" s="51"/>
      <c r="X926" s="51"/>
      <c r="Y926" s="45"/>
      <c r="Z926" s="45"/>
      <c r="AA926" s="45"/>
      <c r="AB926" s="45"/>
      <c r="AC926" s="45"/>
      <c r="AD926" s="45"/>
      <c r="AE926" s="45"/>
      <c r="AF926" s="45"/>
      <c r="AG926" s="45"/>
      <c r="AH926" s="45"/>
      <c r="AI926" s="45"/>
      <c r="AJ926" s="45"/>
      <c r="AK926" s="45"/>
      <c r="AL926" s="45"/>
      <c r="AM926" s="45"/>
      <c r="AN926" s="45"/>
      <c r="AO926" s="45"/>
      <c r="AP926" s="45"/>
      <c r="AQ926" s="36"/>
      <c r="AR926" s="36"/>
      <c r="AS926" s="36"/>
      <c r="AT926" s="36"/>
      <c r="AU926" s="36"/>
      <c r="AV926" s="36"/>
      <c r="AW926" s="36"/>
      <c r="AX926" s="36"/>
      <c r="AY926" s="36"/>
      <c r="AZ926" s="36"/>
      <c r="BA926" s="36"/>
      <c r="BB926" s="36"/>
      <c r="BC926" s="36"/>
      <c r="BD926" s="36"/>
      <c r="BE926" s="36"/>
      <c r="BF926" s="36"/>
      <c r="BG926" s="36"/>
      <c r="BH926" s="36"/>
      <c r="BI926" s="36"/>
      <c r="BJ926" s="36"/>
      <c r="BK926" s="36"/>
      <c r="BL926" s="36"/>
      <c r="BM926" s="36"/>
      <c r="BN926" s="36"/>
      <c r="BO926" s="36"/>
      <c r="BP926" s="36"/>
      <c r="BQ926" s="36"/>
    </row>
    <row r="927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51"/>
      <c r="S927" s="51"/>
      <c r="T927" s="51"/>
      <c r="U927" s="51"/>
      <c r="V927" s="51"/>
      <c r="W927" s="51"/>
      <c r="X927" s="51"/>
      <c r="Y927" s="45"/>
      <c r="Z927" s="45"/>
      <c r="AA927" s="45"/>
      <c r="AB927" s="45"/>
      <c r="AC927" s="45"/>
      <c r="AD927" s="45"/>
      <c r="AE927" s="45"/>
      <c r="AF927" s="45"/>
      <c r="AG927" s="45"/>
      <c r="AH927" s="45"/>
      <c r="AI927" s="45"/>
      <c r="AJ927" s="45"/>
      <c r="AK927" s="45"/>
      <c r="AL927" s="45"/>
      <c r="AM927" s="45"/>
      <c r="AN927" s="45"/>
      <c r="AO927" s="45"/>
      <c r="AP927" s="45"/>
      <c r="AQ927" s="36"/>
      <c r="AR927" s="36"/>
      <c r="AS927" s="36"/>
      <c r="AT927" s="36"/>
      <c r="AU927" s="36"/>
      <c r="AV927" s="36"/>
      <c r="AW927" s="36"/>
      <c r="AX927" s="36"/>
      <c r="AY927" s="36"/>
      <c r="AZ927" s="36"/>
      <c r="BA927" s="36"/>
      <c r="BB927" s="36"/>
      <c r="BC927" s="36"/>
      <c r="BD927" s="36"/>
      <c r="BE927" s="36"/>
      <c r="BF927" s="36"/>
      <c r="BG927" s="36"/>
      <c r="BH927" s="36"/>
      <c r="BI927" s="36"/>
      <c r="BJ927" s="36"/>
      <c r="BK927" s="36"/>
      <c r="BL927" s="36"/>
      <c r="BM927" s="36"/>
      <c r="BN927" s="36"/>
      <c r="BO927" s="36"/>
      <c r="BP927" s="36"/>
      <c r="BQ927" s="36"/>
    </row>
    <row r="928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51"/>
      <c r="S928" s="51"/>
      <c r="T928" s="51"/>
      <c r="U928" s="51"/>
      <c r="V928" s="51"/>
      <c r="W928" s="51"/>
      <c r="X928" s="51"/>
      <c r="Y928" s="45"/>
      <c r="Z928" s="45"/>
      <c r="AA928" s="45"/>
      <c r="AB928" s="45"/>
      <c r="AC928" s="45"/>
      <c r="AD928" s="45"/>
      <c r="AE928" s="45"/>
      <c r="AF928" s="45"/>
      <c r="AG928" s="45"/>
      <c r="AH928" s="45"/>
      <c r="AI928" s="45"/>
      <c r="AJ928" s="45"/>
      <c r="AK928" s="45"/>
      <c r="AL928" s="45"/>
      <c r="AM928" s="45"/>
      <c r="AN928" s="45"/>
      <c r="AO928" s="45"/>
      <c r="AP928" s="45"/>
      <c r="AQ928" s="36"/>
      <c r="AR928" s="36"/>
      <c r="AS928" s="36"/>
      <c r="AT928" s="36"/>
      <c r="AU928" s="36"/>
      <c r="AV928" s="36"/>
      <c r="AW928" s="36"/>
      <c r="AX928" s="36"/>
      <c r="AY928" s="36"/>
      <c r="AZ928" s="36"/>
      <c r="BA928" s="36"/>
      <c r="BB928" s="36"/>
      <c r="BC928" s="36"/>
      <c r="BD928" s="36"/>
      <c r="BE928" s="36"/>
      <c r="BF928" s="36"/>
      <c r="BG928" s="36"/>
      <c r="BH928" s="36"/>
      <c r="BI928" s="36"/>
      <c r="BJ928" s="36"/>
      <c r="BK928" s="36"/>
      <c r="BL928" s="36"/>
      <c r="BM928" s="36"/>
      <c r="BN928" s="36"/>
      <c r="BO928" s="36"/>
      <c r="BP928" s="36"/>
      <c r="BQ928" s="36"/>
    </row>
    <row r="929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51"/>
      <c r="S929" s="51"/>
      <c r="T929" s="51"/>
      <c r="U929" s="51"/>
      <c r="V929" s="51"/>
      <c r="W929" s="51"/>
      <c r="X929" s="51"/>
      <c r="Y929" s="45"/>
      <c r="Z929" s="45"/>
      <c r="AA929" s="45"/>
      <c r="AB929" s="45"/>
      <c r="AC929" s="45"/>
      <c r="AD929" s="45"/>
      <c r="AE929" s="45"/>
      <c r="AF929" s="45"/>
      <c r="AG929" s="45"/>
      <c r="AH929" s="45"/>
      <c r="AI929" s="45"/>
      <c r="AJ929" s="45"/>
      <c r="AK929" s="45"/>
      <c r="AL929" s="45"/>
      <c r="AM929" s="45"/>
      <c r="AN929" s="45"/>
      <c r="AO929" s="45"/>
      <c r="AP929" s="45"/>
      <c r="AQ929" s="36"/>
      <c r="AR929" s="36"/>
      <c r="AS929" s="36"/>
      <c r="AT929" s="36"/>
      <c r="AU929" s="36"/>
      <c r="AV929" s="36"/>
      <c r="AW929" s="36"/>
      <c r="AX929" s="36"/>
      <c r="AY929" s="36"/>
      <c r="AZ929" s="36"/>
      <c r="BA929" s="36"/>
      <c r="BB929" s="36"/>
      <c r="BC929" s="36"/>
      <c r="BD929" s="36"/>
      <c r="BE929" s="36"/>
      <c r="BF929" s="36"/>
      <c r="BG929" s="36"/>
      <c r="BH929" s="36"/>
      <c r="BI929" s="36"/>
      <c r="BJ929" s="36"/>
      <c r="BK929" s="36"/>
      <c r="BL929" s="36"/>
      <c r="BM929" s="36"/>
      <c r="BN929" s="36"/>
      <c r="BO929" s="36"/>
      <c r="BP929" s="36"/>
      <c r="BQ929" s="36"/>
    </row>
    <row r="930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51"/>
      <c r="S930" s="51"/>
      <c r="T930" s="51"/>
      <c r="U930" s="51"/>
      <c r="V930" s="51"/>
      <c r="W930" s="51"/>
      <c r="X930" s="51"/>
      <c r="Y930" s="45"/>
      <c r="Z930" s="45"/>
      <c r="AA930" s="45"/>
      <c r="AB930" s="45"/>
      <c r="AC930" s="45"/>
      <c r="AD930" s="45"/>
      <c r="AE930" s="45"/>
      <c r="AF930" s="45"/>
      <c r="AG930" s="45"/>
      <c r="AH930" s="45"/>
      <c r="AI930" s="45"/>
      <c r="AJ930" s="45"/>
      <c r="AK930" s="45"/>
      <c r="AL930" s="45"/>
      <c r="AM930" s="45"/>
      <c r="AN930" s="45"/>
      <c r="AO930" s="45"/>
      <c r="AP930" s="45"/>
      <c r="AQ930" s="36"/>
      <c r="AR930" s="36"/>
      <c r="AS930" s="36"/>
      <c r="AT930" s="36"/>
      <c r="AU930" s="36"/>
      <c r="AV930" s="36"/>
      <c r="AW930" s="36"/>
      <c r="AX930" s="36"/>
      <c r="AY930" s="36"/>
      <c r="AZ930" s="36"/>
      <c r="BA930" s="36"/>
      <c r="BB930" s="36"/>
      <c r="BC930" s="36"/>
      <c r="BD930" s="36"/>
      <c r="BE930" s="36"/>
      <c r="BF930" s="36"/>
      <c r="BG930" s="36"/>
      <c r="BH930" s="36"/>
      <c r="BI930" s="36"/>
      <c r="BJ930" s="36"/>
      <c r="BK930" s="36"/>
      <c r="BL930" s="36"/>
      <c r="BM930" s="36"/>
      <c r="BN930" s="36"/>
      <c r="BO930" s="36"/>
      <c r="BP930" s="36"/>
      <c r="BQ930" s="36"/>
    </row>
    <row r="93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51"/>
      <c r="S931" s="51"/>
      <c r="T931" s="51"/>
      <c r="U931" s="51"/>
      <c r="V931" s="51"/>
      <c r="W931" s="51"/>
      <c r="X931" s="51"/>
      <c r="Y931" s="45"/>
      <c r="Z931" s="45"/>
      <c r="AA931" s="45"/>
      <c r="AB931" s="45"/>
      <c r="AC931" s="45"/>
      <c r="AD931" s="45"/>
      <c r="AE931" s="45"/>
      <c r="AF931" s="45"/>
      <c r="AG931" s="45"/>
      <c r="AH931" s="45"/>
      <c r="AI931" s="45"/>
      <c r="AJ931" s="45"/>
      <c r="AK931" s="45"/>
      <c r="AL931" s="45"/>
      <c r="AM931" s="45"/>
      <c r="AN931" s="45"/>
      <c r="AO931" s="45"/>
      <c r="AP931" s="45"/>
      <c r="AQ931" s="36"/>
      <c r="AR931" s="36"/>
      <c r="AS931" s="36"/>
      <c r="AT931" s="36"/>
      <c r="AU931" s="36"/>
      <c r="AV931" s="36"/>
      <c r="AW931" s="36"/>
      <c r="AX931" s="36"/>
      <c r="AY931" s="36"/>
      <c r="AZ931" s="36"/>
      <c r="BA931" s="36"/>
      <c r="BB931" s="36"/>
      <c r="BC931" s="36"/>
      <c r="BD931" s="36"/>
      <c r="BE931" s="36"/>
      <c r="BF931" s="36"/>
      <c r="BG931" s="36"/>
      <c r="BH931" s="36"/>
      <c r="BI931" s="36"/>
      <c r="BJ931" s="36"/>
      <c r="BK931" s="36"/>
      <c r="BL931" s="36"/>
      <c r="BM931" s="36"/>
      <c r="BN931" s="36"/>
      <c r="BO931" s="36"/>
      <c r="BP931" s="36"/>
      <c r="BQ931" s="36"/>
    </row>
    <row r="93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51"/>
      <c r="S932" s="51"/>
      <c r="T932" s="51"/>
      <c r="U932" s="51"/>
      <c r="V932" s="51"/>
      <c r="W932" s="51"/>
      <c r="X932" s="51"/>
      <c r="Y932" s="45"/>
      <c r="Z932" s="45"/>
      <c r="AA932" s="45"/>
      <c r="AB932" s="45"/>
      <c r="AC932" s="45"/>
      <c r="AD932" s="45"/>
      <c r="AE932" s="45"/>
      <c r="AF932" s="45"/>
      <c r="AG932" s="45"/>
      <c r="AH932" s="45"/>
      <c r="AI932" s="45"/>
      <c r="AJ932" s="45"/>
      <c r="AK932" s="45"/>
      <c r="AL932" s="45"/>
      <c r="AM932" s="45"/>
      <c r="AN932" s="45"/>
      <c r="AO932" s="45"/>
      <c r="AP932" s="45"/>
      <c r="AQ932" s="36"/>
      <c r="AR932" s="36"/>
      <c r="AS932" s="36"/>
      <c r="AT932" s="36"/>
      <c r="AU932" s="36"/>
      <c r="AV932" s="36"/>
      <c r="AW932" s="36"/>
      <c r="AX932" s="36"/>
      <c r="AY932" s="36"/>
      <c r="AZ932" s="36"/>
      <c r="BA932" s="36"/>
      <c r="BB932" s="36"/>
      <c r="BC932" s="36"/>
      <c r="BD932" s="36"/>
      <c r="BE932" s="36"/>
      <c r="BF932" s="36"/>
      <c r="BG932" s="36"/>
      <c r="BH932" s="36"/>
      <c r="BI932" s="36"/>
      <c r="BJ932" s="36"/>
      <c r="BK932" s="36"/>
      <c r="BL932" s="36"/>
      <c r="BM932" s="36"/>
      <c r="BN932" s="36"/>
      <c r="BO932" s="36"/>
      <c r="BP932" s="36"/>
      <c r="BQ932" s="36"/>
    </row>
    <row r="933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51"/>
      <c r="S933" s="51"/>
      <c r="T933" s="51"/>
      <c r="U933" s="51"/>
      <c r="V933" s="51"/>
      <c r="W933" s="51"/>
      <c r="X933" s="51"/>
      <c r="Y933" s="45"/>
      <c r="Z933" s="45"/>
      <c r="AA933" s="45"/>
      <c r="AB933" s="45"/>
      <c r="AC933" s="45"/>
      <c r="AD933" s="45"/>
      <c r="AE933" s="45"/>
      <c r="AF933" s="45"/>
      <c r="AG933" s="45"/>
      <c r="AH933" s="45"/>
      <c r="AI933" s="45"/>
      <c r="AJ933" s="45"/>
      <c r="AK933" s="45"/>
      <c r="AL933" s="45"/>
      <c r="AM933" s="45"/>
      <c r="AN933" s="45"/>
      <c r="AO933" s="45"/>
      <c r="AP933" s="45"/>
      <c r="AQ933" s="36"/>
      <c r="AR933" s="36"/>
      <c r="AS933" s="36"/>
      <c r="AT933" s="36"/>
      <c r="AU933" s="36"/>
      <c r="AV933" s="36"/>
      <c r="AW933" s="36"/>
      <c r="AX933" s="36"/>
      <c r="AY933" s="36"/>
      <c r="AZ933" s="36"/>
      <c r="BA933" s="36"/>
      <c r="BB933" s="36"/>
      <c r="BC933" s="36"/>
      <c r="BD933" s="36"/>
      <c r="BE933" s="36"/>
      <c r="BF933" s="36"/>
      <c r="BG933" s="36"/>
      <c r="BH933" s="36"/>
      <c r="BI933" s="36"/>
      <c r="BJ933" s="36"/>
      <c r="BK933" s="36"/>
      <c r="BL933" s="36"/>
      <c r="BM933" s="36"/>
      <c r="BN933" s="36"/>
      <c r="BO933" s="36"/>
      <c r="BP933" s="36"/>
      <c r="BQ933" s="36"/>
    </row>
    <row r="934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51"/>
      <c r="S934" s="51"/>
      <c r="T934" s="51"/>
      <c r="U934" s="51"/>
      <c r="V934" s="51"/>
      <c r="W934" s="51"/>
      <c r="X934" s="51"/>
      <c r="Y934" s="45"/>
      <c r="Z934" s="45"/>
      <c r="AA934" s="45"/>
      <c r="AB934" s="45"/>
      <c r="AC934" s="45"/>
      <c r="AD934" s="45"/>
      <c r="AE934" s="45"/>
      <c r="AF934" s="45"/>
      <c r="AG934" s="45"/>
      <c r="AH934" s="45"/>
      <c r="AI934" s="45"/>
      <c r="AJ934" s="45"/>
      <c r="AK934" s="45"/>
      <c r="AL934" s="45"/>
      <c r="AM934" s="45"/>
      <c r="AN934" s="45"/>
      <c r="AO934" s="45"/>
      <c r="AP934" s="45"/>
      <c r="AQ934" s="36"/>
      <c r="AR934" s="36"/>
      <c r="AS934" s="36"/>
      <c r="AT934" s="36"/>
      <c r="AU934" s="36"/>
      <c r="AV934" s="36"/>
      <c r="AW934" s="36"/>
      <c r="AX934" s="36"/>
      <c r="AY934" s="36"/>
      <c r="AZ934" s="36"/>
      <c r="BA934" s="36"/>
      <c r="BB934" s="36"/>
      <c r="BC934" s="36"/>
      <c r="BD934" s="36"/>
      <c r="BE934" s="36"/>
      <c r="BF934" s="36"/>
      <c r="BG934" s="36"/>
      <c r="BH934" s="36"/>
      <c r="BI934" s="36"/>
      <c r="BJ934" s="36"/>
      <c r="BK934" s="36"/>
      <c r="BL934" s="36"/>
      <c r="BM934" s="36"/>
      <c r="BN934" s="36"/>
      <c r="BO934" s="36"/>
      <c r="BP934" s="36"/>
      <c r="BQ934" s="36"/>
    </row>
    <row r="93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51"/>
      <c r="S935" s="51"/>
      <c r="T935" s="51"/>
      <c r="U935" s="51"/>
      <c r="V935" s="51"/>
      <c r="W935" s="51"/>
      <c r="X935" s="51"/>
      <c r="Y935" s="45"/>
      <c r="Z935" s="45"/>
      <c r="AA935" s="45"/>
      <c r="AB935" s="45"/>
      <c r="AC935" s="45"/>
      <c r="AD935" s="45"/>
      <c r="AE935" s="45"/>
      <c r="AF935" s="45"/>
      <c r="AG935" s="45"/>
      <c r="AH935" s="45"/>
      <c r="AI935" s="45"/>
      <c r="AJ935" s="45"/>
      <c r="AK935" s="45"/>
      <c r="AL935" s="45"/>
      <c r="AM935" s="45"/>
      <c r="AN935" s="45"/>
      <c r="AO935" s="45"/>
      <c r="AP935" s="45"/>
      <c r="AQ935" s="36"/>
      <c r="AR935" s="36"/>
      <c r="AS935" s="36"/>
      <c r="AT935" s="36"/>
      <c r="AU935" s="36"/>
      <c r="AV935" s="36"/>
      <c r="AW935" s="36"/>
      <c r="AX935" s="36"/>
      <c r="AY935" s="36"/>
      <c r="AZ935" s="36"/>
      <c r="BA935" s="36"/>
      <c r="BB935" s="36"/>
      <c r="BC935" s="36"/>
      <c r="BD935" s="36"/>
      <c r="BE935" s="36"/>
      <c r="BF935" s="36"/>
      <c r="BG935" s="36"/>
      <c r="BH935" s="36"/>
      <c r="BI935" s="36"/>
      <c r="BJ935" s="36"/>
      <c r="BK935" s="36"/>
      <c r="BL935" s="36"/>
      <c r="BM935" s="36"/>
      <c r="BN935" s="36"/>
      <c r="BO935" s="36"/>
      <c r="BP935" s="36"/>
      <c r="BQ935" s="36"/>
    </row>
    <row r="936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51"/>
      <c r="S936" s="51"/>
      <c r="T936" s="51"/>
      <c r="U936" s="51"/>
      <c r="V936" s="51"/>
      <c r="W936" s="51"/>
      <c r="X936" s="51"/>
      <c r="Y936" s="45"/>
      <c r="Z936" s="45"/>
      <c r="AA936" s="45"/>
      <c r="AB936" s="45"/>
      <c r="AC936" s="45"/>
      <c r="AD936" s="45"/>
      <c r="AE936" s="45"/>
      <c r="AF936" s="45"/>
      <c r="AG936" s="45"/>
      <c r="AH936" s="45"/>
      <c r="AI936" s="45"/>
      <c r="AJ936" s="45"/>
      <c r="AK936" s="45"/>
      <c r="AL936" s="45"/>
      <c r="AM936" s="45"/>
      <c r="AN936" s="45"/>
      <c r="AO936" s="45"/>
      <c r="AP936" s="45"/>
      <c r="AQ936" s="36"/>
      <c r="AR936" s="36"/>
      <c r="AS936" s="36"/>
      <c r="AT936" s="36"/>
      <c r="AU936" s="36"/>
      <c r="AV936" s="36"/>
      <c r="AW936" s="36"/>
      <c r="AX936" s="36"/>
      <c r="AY936" s="36"/>
      <c r="AZ936" s="36"/>
      <c r="BA936" s="36"/>
      <c r="BB936" s="36"/>
      <c r="BC936" s="36"/>
      <c r="BD936" s="36"/>
      <c r="BE936" s="36"/>
      <c r="BF936" s="36"/>
      <c r="BG936" s="36"/>
      <c r="BH936" s="36"/>
      <c r="BI936" s="36"/>
      <c r="BJ936" s="36"/>
      <c r="BK936" s="36"/>
      <c r="BL936" s="36"/>
      <c r="BM936" s="36"/>
      <c r="BN936" s="36"/>
      <c r="BO936" s="36"/>
      <c r="BP936" s="36"/>
      <c r="BQ936" s="36"/>
    </row>
    <row r="937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51"/>
      <c r="S937" s="51"/>
      <c r="T937" s="51"/>
      <c r="U937" s="51"/>
      <c r="V937" s="51"/>
      <c r="W937" s="51"/>
      <c r="X937" s="51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5"/>
      <c r="AM937" s="45"/>
      <c r="AN937" s="45"/>
      <c r="AO937" s="45"/>
      <c r="AP937" s="45"/>
      <c r="AQ937" s="36"/>
      <c r="AR937" s="36"/>
      <c r="AS937" s="36"/>
      <c r="AT937" s="36"/>
      <c r="AU937" s="36"/>
      <c r="AV937" s="36"/>
      <c r="AW937" s="36"/>
      <c r="AX937" s="36"/>
      <c r="AY937" s="36"/>
      <c r="AZ937" s="36"/>
      <c r="BA937" s="36"/>
      <c r="BB937" s="36"/>
      <c r="BC937" s="36"/>
      <c r="BD937" s="36"/>
      <c r="BE937" s="36"/>
      <c r="BF937" s="36"/>
      <c r="BG937" s="36"/>
      <c r="BH937" s="36"/>
      <c r="BI937" s="36"/>
      <c r="BJ937" s="36"/>
      <c r="BK937" s="36"/>
      <c r="BL937" s="36"/>
      <c r="BM937" s="36"/>
      <c r="BN937" s="36"/>
      <c r="BO937" s="36"/>
      <c r="BP937" s="36"/>
      <c r="BQ937" s="36"/>
    </row>
    <row r="938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51"/>
      <c r="S938" s="51"/>
      <c r="T938" s="51"/>
      <c r="U938" s="51"/>
      <c r="V938" s="51"/>
      <c r="W938" s="51"/>
      <c r="X938" s="51"/>
      <c r="Y938" s="45"/>
      <c r="Z938" s="45"/>
      <c r="AA938" s="45"/>
      <c r="AB938" s="45"/>
      <c r="AC938" s="45"/>
      <c r="AD938" s="45"/>
      <c r="AE938" s="45"/>
      <c r="AF938" s="45"/>
      <c r="AG938" s="45"/>
      <c r="AH938" s="45"/>
      <c r="AI938" s="45"/>
      <c r="AJ938" s="45"/>
      <c r="AK938" s="45"/>
      <c r="AL938" s="45"/>
      <c r="AM938" s="45"/>
      <c r="AN938" s="45"/>
      <c r="AO938" s="45"/>
      <c r="AP938" s="45"/>
      <c r="AQ938" s="36"/>
      <c r="AR938" s="36"/>
      <c r="AS938" s="36"/>
      <c r="AT938" s="36"/>
      <c r="AU938" s="36"/>
      <c r="AV938" s="36"/>
      <c r="AW938" s="36"/>
      <c r="AX938" s="36"/>
      <c r="AY938" s="36"/>
      <c r="AZ938" s="36"/>
      <c r="BA938" s="36"/>
      <c r="BB938" s="36"/>
      <c r="BC938" s="36"/>
      <c r="BD938" s="36"/>
      <c r="BE938" s="36"/>
      <c r="BF938" s="36"/>
      <c r="BG938" s="36"/>
      <c r="BH938" s="36"/>
      <c r="BI938" s="36"/>
      <c r="BJ938" s="36"/>
      <c r="BK938" s="36"/>
      <c r="BL938" s="36"/>
      <c r="BM938" s="36"/>
      <c r="BN938" s="36"/>
      <c r="BO938" s="36"/>
      <c r="BP938" s="36"/>
      <c r="BQ938" s="36"/>
    </row>
    <row r="939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51"/>
      <c r="S939" s="51"/>
      <c r="T939" s="51"/>
      <c r="U939" s="51"/>
      <c r="V939" s="51"/>
      <c r="W939" s="51"/>
      <c r="X939" s="51"/>
      <c r="Y939" s="45"/>
      <c r="Z939" s="45"/>
      <c r="AA939" s="45"/>
      <c r="AB939" s="45"/>
      <c r="AC939" s="45"/>
      <c r="AD939" s="45"/>
      <c r="AE939" s="45"/>
      <c r="AF939" s="45"/>
      <c r="AG939" s="45"/>
      <c r="AH939" s="45"/>
      <c r="AI939" s="45"/>
      <c r="AJ939" s="45"/>
      <c r="AK939" s="45"/>
      <c r="AL939" s="45"/>
      <c r="AM939" s="45"/>
      <c r="AN939" s="45"/>
      <c r="AO939" s="45"/>
      <c r="AP939" s="45"/>
      <c r="AQ939" s="36"/>
      <c r="AR939" s="36"/>
      <c r="AS939" s="36"/>
      <c r="AT939" s="36"/>
      <c r="AU939" s="36"/>
      <c r="AV939" s="36"/>
      <c r="AW939" s="36"/>
      <c r="AX939" s="36"/>
      <c r="AY939" s="36"/>
      <c r="AZ939" s="36"/>
      <c r="BA939" s="36"/>
      <c r="BB939" s="36"/>
      <c r="BC939" s="36"/>
      <c r="BD939" s="36"/>
      <c r="BE939" s="36"/>
      <c r="BF939" s="36"/>
      <c r="BG939" s="36"/>
      <c r="BH939" s="36"/>
      <c r="BI939" s="36"/>
      <c r="BJ939" s="36"/>
      <c r="BK939" s="36"/>
      <c r="BL939" s="36"/>
      <c r="BM939" s="36"/>
      <c r="BN939" s="36"/>
      <c r="BO939" s="36"/>
      <c r="BP939" s="36"/>
      <c r="BQ939" s="36"/>
    </row>
    <row r="940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51"/>
      <c r="S940" s="51"/>
      <c r="T940" s="51"/>
      <c r="U940" s="51"/>
      <c r="V940" s="51"/>
      <c r="W940" s="51"/>
      <c r="X940" s="51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5"/>
      <c r="AM940" s="45"/>
      <c r="AN940" s="45"/>
      <c r="AO940" s="45"/>
      <c r="AP940" s="45"/>
      <c r="AQ940" s="36"/>
      <c r="AR940" s="36"/>
      <c r="AS940" s="36"/>
      <c r="AT940" s="36"/>
      <c r="AU940" s="36"/>
      <c r="AV940" s="36"/>
      <c r="AW940" s="36"/>
      <c r="AX940" s="36"/>
      <c r="AY940" s="36"/>
      <c r="AZ940" s="36"/>
      <c r="BA940" s="36"/>
      <c r="BB940" s="36"/>
      <c r="BC940" s="36"/>
      <c r="BD940" s="36"/>
      <c r="BE940" s="36"/>
      <c r="BF940" s="36"/>
      <c r="BG940" s="36"/>
      <c r="BH940" s="36"/>
      <c r="BI940" s="36"/>
      <c r="BJ940" s="36"/>
      <c r="BK940" s="36"/>
      <c r="BL940" s="36"/>
      <c r="BM940" s="36"/>
      <c r="BN940" s="36"/>
      <c r="BO940" s="36"/>
      <c r="BP940" s="36"/>
      <c r="BQ940" s="36"/>
    </row>
    <row r="94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51"/>
      <c r="S941" s="51"/>
      <c r="T941" s="51"/>
      <c r="U941" s="51"/>
      <c r="V941" s="51"/>
      <c r="W941" s="51"/>
      <c r="X941" s="51"/>
      <c r="Y941" s="45"/>
      <c r="Z941" s="45"/>
      <c r="AA941" s="45"/>
      <c r="AB941" s="45"/>
      <c r="AC941" s="45"/>
      <c r="AD941" s="45"/>
      <c r="AE941" s="45"/>
      <c r="AF941" s="45"/>
      <c r="AG941" s="45"/>
      <c r="AH941" s="45"/>
      <c r="AI941" s="45"/>
      <c r="AJ941" s="45"/>
      <c r="AK941" s="45"/>
      <c r="AL941" s="45"/>
      <c r="AM941" s="45"/>
      <c r="AN941" s="45"/>
      <c r="AO941" s="45"/>
      <c r="AP941" s="45"/>
      <c r="AQ941" s="36"/>
      <c r="AR941" s="36"/>
      <c r="AS941" s="36"/>
      <c r="AT941" s="36"/>
      <c r="AU941" s="36"/>
      <c r="AV941" s="36"/>
      <c r="AW941" s="36"/>
      <c r="AX941" s="36"/>
      <c r="AY941" s="36"/>
      <c r="AZ941" s="36"/>
      <c r="BA941" s="36"/>
      <c r="BB941" s="36"/>
      <c r="BC941" s="36"/>
      <c r="BD941" s="36"/>
      <c r="BE941" s="36"/>
      <c r="BF941" s="36"/>
      <c r="BG941" s="36"/>
      <c r="BH941" s="36"/>
      <c r="BI941" s="36"/>
      <c r="BJ941" s="36"/>
      <c r="BK941" s="36"/>
      <c r="BL941" s="36"/>
      <c r="BM941" s="36"/>
      <c r="BN941" s="36"/>
      <c r="BO941" s="36"/>
      <c r="BP941" s="36"/>
      <c r="BQ941" s="36"/>
    </row>
    <row r="942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51"/>
      <c r="S942" s="51"/>
      <c r="T942" s="51"/>
      <c r="U942" s="51"/>
      <c r="V942" s="51"/>
      <c r="W942" s="51"/>
      <c r="X942" s="51"/>
      <c r="Y942" s="45"/>
      <c r="Z942" s="45"/>
      <c r="AA942" s="45"/>
      <c r="AB942" s="45"/>
      <c r="AC942" s="45"/>
      <c r="AD942" s="45"/>
      <c r="AE942" s="45"/>
      <c r="AF942" s="45"/>
      <c r="AG942" s="45"/>
      <c r="AH942" s="45"/>
      <c r="AI942" s="45"/>
      <c r="AJ942" s="45"/>
      <c r="AK942" s="45"/>
      <c r="AL942" s="45"/>
      <c r="AM942" s="45"/>
      <c r="AN942" s="45"/>
      <c r="AO942" s="45"/>
      <c r="AP942" s="45"/>
      <c r="AQ942" s="36"/>
      <c r="AR942" s="36"/>
      <c r="AS942" s="36"/>
      <c r="AT942" s="36"/>
      <c r="AU942" s="36"/>
      <c r="AV942" s="36"/>
      <c r="AW942" s="36"/>
      <c r="AX942" s="36"/>
      <c r="AY942" s="36"/>
      <c r="AZ942" s="36"/>
      <c r="BA942" s="36"/>
      <c r="BB942" s="36"/>
      <c r="BC942" s="36"/>
      <c r="BD942" s="36"/>
      <c r="BE942" s="36"/>
      <c r="BF942" s="36"/>
      <c r="BG942" s="36"/>
      <c r="BH942" s="36"/>
      <c r="BI942" s="36"/>
      <c r="BJ942" s="36"/>
      <c r="BK942" s="36"/>
      <c r="BL942" s="36"/>
      <c r="BM942" s="36"/>
      <c r="BN942" s="36"/>
      <c r="BO942" s="36"/>
      <c r="BP942" s="36"/>
      <c r="BQ942" s="36"/>
    </row>
    <row r="943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51"/>
      <c r="S943" s="51"/>
      <c r="T943" s="51"/>
      <c r="U943" s="51"/>
      <c r="V943" s="51"/>
      <c r="W943" s="51"/>
      <c r="X943" s="51"/>
      <c r="Y943" s="45"/>
      <c r="Z943" s="45"/>
      <c r="AA943" s="45"/>
      <c r="AB943" s="45"/>
      <c r="AC943" s="45"/>
      <c r="AD943" s="45"/>
      <c r="AE943" s="45"/>
      <c r="AF943" s="45"/>
      <c r="AG943" s="45"/>
      <c r="AH943" s="45"/>
      <c r="AI943" s="45"/>
      <c r="AJ943" s="45"/>
      <c r="AK943" s="45"/>
      <c r="AL943" s="45"/>
      <c r="AM943" s="45"/>
      <c r="AN943" s="45"/>
      <c r="AO943" s="45"/>
      <c r="AP943" s="45"/>
      <c r="AQ943" s="36"/>
      <c r="AR943" s="36"/>
      <c r="AS943" s="36"/>
      <c r="AT943" s="36"/>
      <c r="AU943" s="36"/>
      <c r="AV943" s="36"/>
      <c r="AW943" s="36"/>
      <c r="AX943" s="36"/>
      <c r="AY943" s="36"/>
      <c r="AZ943" s="36"/>
      <c r="BA943" s="36"/>
      <c r="BB943" s="36"/>
      <c r="BC943" s="36"/>
      <c r="BD943" s="36"/>
      <c r="BE943" s="36"/>
      <c r="BF943" s="36"/>
      <c r="BG943" s="36"/>
      <c r="BH943" s="36"/>
      <c r="BI943" s="36"/>
      <c r="BJ943" s="36"/>
      <c r="BK943" s="36"/>
      <c r="BL943" s="36"/>
      <c r="BM943" s="36"/>
      <c r="BN943" s="36"/>
      <c r="BO943" s="36"/>
      <c r="BP943" s="36"/>
      <c r="BQ943" s="36"/>
    </row>
    <row r="944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51"/>
      <c r="S944" s="51"/>
      <c r="T944" s="51"/>
      <c r="U944" s="51"/>
      <c r="V944" s="51"/>
      <c r="W944" s="51"/>
      <c r="X944" s="51"/>
      <c r="Y944" s="45"/>
      <c r="Z944" s="45"/>
      <c r="AA944" s="45"/>
      <c r="AB944" s="45"/>
      <c r="AC944" s="45"/>
      <c r="AD944" s="45"/>
      <c r="AE944" s="45"/>
      <c r="AF944" s="45"/>
      <c r="AG944" s="45"/>
      <c r="AH944" s="45"/>
      <c r="AI944" s="45"/>
      <c r="AJ944" s="45"/>
      <c r="AK944" s="45"/>
      <c r="AL944" s="45"/>
      <c r="AM944" s="45"/>
      <c r="AN944" s="45"/>
      <c r="AO944" s="45"/>
      <c r="AP944" s="45"/>
      <c r="AQ944" s="36"/>
      <c r="AR944" s="36"/>
      <c r="AS944" s="36"/>
      <c r="AT944" s="36"/>
      <c r="AU944" s="36"/>
      <c r="AV944" s="36"/>
      <c r="AW944" s="36"/>
      <c r="AX944" s="36"/>
      <c r="AY944" s="36"/>
      <c r="AZ944" s="36"/>
      <c r="BA944" s="36"/>
      <c r="BB944" s="36"/>
      <c r="BC944" s="36"/>
      <c r="BD944" s="36"/>
      <c r="BE944" s="36"/>
      <c r="BF944" s="36"/>
      <c r="BG944" s="36"/>
      <c r="BH944" s="36"/>
      <c r="BI944" s="36"/>
      <c r="BJ944" s="36"/>
      <c r="BK944" s="36"/>
      <c r="BL944" s="36"/>
      <c r="BM944" s="36"/>
      <c r="BN944" s="36"/>
      <c r="BO944" s="36"/>
      <c r="BP944" s="36"/>
      <c r="BQ944" s="36"/>
    </row>
    <row r="94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51"/>
      <c r="S945" s="51"/>
      <c r="T945" s="51"/>
      <c r="U945" s="51"/>
      <c r="V945" s="51"/>
      <c r="W945" s="51"/>
      <c r="X945" s="51"/>
      <c r="Y945" s="45"/>
      <c r="Z945" s="45"/>
      <c r="AA945" s="45"/>
      <c r="AB945" s="45"/>
      <c r="AC945" s="45"/>
      <c r="AD945" s="45"/>
      <c r="AE945" s="45"/>
      <c r="AF945" s="45"/>
      <c r="AG945" s="45"/>
      <c r="AH945" s="45"/>
      <c r="AI945" s="45"/>
      <c r="AJ945" s="45"/>
      <c r="AK945" s="45"/>
      <c r="AL945" s="45"/>
      <c r="AM945" s="45"/>
      <c r="AN945" s="45"/>
      <c r="AO945" s="45"/>
      <c r="AP945" s="45"/>
      <c r="AQ945" s="36"/>
      <c r="AR945" s="36"/>
      <c r="AS945" s="36"/>
      <c r="AT945" s="36"/>
      <c r="AU945" s="36"/>
      <c r="AV945" s="36"/>
      <c r="AW945" s="36"/>
      <c r="AX945" s="36"/>
      <c r="AY945" s="36"/>
      <c r="AZ945" s="36"/>
      <c r="BA945" s="36"/>
      <c r="BB945" s="36"/>
      <c r="BC945" s="36"/>
      <c r="BD945" s="36"/>
      <c r="BE945" s="36"/>
      <c r="BF945" s="36"/>
      <c r="BG945" s="36"/>
      <c r="BH945" s="36"/>
      <c r="BI945" s="36"/>
      <c r="BJ945" s="36"/>
      <c r="BK945" s="36"/>
      <c r="BL945" s="36"/>
      <c r="BM945" s="36"/>
      <c r="BN945" s="36"/>
      <c r="BO945" s="36"/>
      <c r="BP945" s="36"/>
      <c r="BQ945" s="36"/>
    </row>
    <row r="946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51"/>
      <c r="S946" s="51"/>
      <c r="T946" s="51"/>
      <c r="U946" s="51"/>
      <c r="V946" s="51"/>
      <c r="W946" s="51"/>
      <c r="X946" s="51"/>
      <c r="Y946" s="45"/>
      <c r="Z946" s="45"/>
      <c r="AA946" s="45"/>
      <c r="AB946" s="45"/>
      <c r="AC946" s="45"/>
      <c r="AD946" s="45"/>
      <c r="AE946" s="45"/>
      <c r="AF946" s="45"/>
      <c r="AG946" s="45"/>
      <c r="AH946" s="45"/>
      <c r="AI946" s="45"/>
      <c r="AJ946" s="45"/>
      <c r="AK946" s="45"/>
      <c r="AL946" s="45"/>
      <c r="AM946" s="45"/>
      <c r="AN946" s="45"/>
      <c r="AO946" s="45"/>
      <c r="AP946" s="45"/>
      <c r="AQ946" s="36"/>
      <c r="AR946" s="36"/>
      <c r="AS946" s="36"/>
      <c r="AT946" s="36"/>
      <c r="AU946" s="36"/>
      <c r="AV946" s="36"/>
      <c r="AW946" s="36"/>
      <c r="AX946" s="36"/>
      <c r="AY946" s="36"/>
      <c r="AZ946" s="36"/>
      <c r="BA946" s="36"/>
      <c r="BB946" s="36"/>
      <c r="BC946" s="36"/>
      <c r="BD946" s="36"/>
      <c r="BE946" s="36"/>
      <c r="BF946" s="36"/>
      <c r="BG946" s="36"/>
      <c r="BH946" s="36"/>
      <c r="BI946" s="36"/>
      <c r="BJ946" s="36"/>
      <c r="BK946" s="36"/>
      <c r="BL946" s="36"/>
      <c r="BM946" s="36"/>
      <c r="BN946" s="36"/>
      <c r="BO946" s="36"/>
      <c r="BP946" s="36"/>
      <c r="BQ946" s="36"/>
    </row>
    <row r="947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51"/>
      <c r="S947" s="51"/>
      <c r="T947" s="51"/>
      <c r="U947" s="51"/>
      <c r="V947" s="51"/>
      <c r="W947" s="51"/>
      <c r="X947" s="51"/>
      <c r="Y947" s="45"/>
      <c r="Z947" s="45"/>
      <c r="AA947" s="45"/>
      <c r="AB947" s="45"/>
      <c r="AC947" s="45"/>
      <c r="AD947" s="45"/>
      <c r="AE947" s="45"/>
      <c r="AF947" s="45"/>
      <c r="AG947" s="45"/>
      <c r="AH947" s="45"/>
      <c r="AI947" s="45"/>
      <c r="AJ947" s="45"/>
      <c r="AK947" s="45"/>
      <c r="AL947" s="45"/>
      <c r="AM947" s="45"/>
      <c r="AN947" s="45"/>
      <c r="AO947" s="45"/>
      <c r="AP947" s="45"/>
      <c r="AQ947" s="36"/>
      <c r="AR947" s="36"/>
      <c r="AS947" s="36"/>
      <c r="AT947" s="36"/>
      <c r="AU947" s="36"/>
      <c r="AV947" s="36"/>
      <c r="AW947" s="36"/>
      <c r="AX947" s="36"/>
      <c r="AY947" s="36"/>
      <c r="AZ947" s="36"/>
      <c r="BA947" s="36"/>
      <c r="BB947" s="36"/>
      <c r="BC947" s="36"/>
      <c r="BD947" s="36"/>
      <c r="BE947" s="36"/>
      <c r="BF947" s="36"/>
      <c r="BG947" s="36"/>
      <c r="BH947" s="36"/>
      <c r="BI947" s="36"/>
      <c r="BJ947" s="36"/>
      <c r="BK947" s="36"/>
      <c r="BL947" s="36"/>
      <c r="BM947" s="36"/>
      <c r="BN947" s="36"/>
      <c r="BO947" s="36"/>
      <c r="BP947" s="36"/>
      <c r="BQ947" s="36"/>
    </row>
    <row r="948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51"/>
      <c r="S948" s="51"/>
      <c r="T948" s="51"/>
      <c r="U948" s="51"/>
      <c r="V948" s="51"/>
      <c r="W948" s="51"/>
      <c r="X948" s="51"/>
      <c r="Y948" s="45"/>
      <c r="Z948" s="45"/>
      <c r="AA948" s="45"/>
      <c r="AB948" s="45"/>
      <c r="AC948" s="45"/>
      <c r="AD948" s="45"/>
      <c r="AE948" s="45"/>
      <c r="AF948" s="45"/>
      <c r="AG948" s="45"/>
      <c r="AH948" s="45"/>
      <c r="AI948" s="45"/>
      <c r="AJ948" s="45"/>
      <c r="AK948" s="45"/>
      <c r="AL948" s="45"/>
      <c r="AM948" s="45"/>
      <c r="AN948" s="45"/>
      <c r="AO948" s="45"/>
      <c r="AP948" s="45"/>
      <c r="AQ948" s="36"/>
      <c r="AR948" s="36"/>
      <c r="AS948" s="36"/>
      <c r="AT948" s="36"/>
      <c r="AU948" s="36"/>
      <c r="AV948" s="36"/>
      <c r="AW948" s="36"/>
      <c r="AX948" s="36"/>
      <c r="AY948" s="36"/>
      <c r="AZ948" s="36"/>
      <c r="BA948" s="36"/>
      <c r="BB948" s="36"/>
      <c r="BC948" s="36"/>
      <c r="BD948" s="36"/>
      <c r="BE948" s="36"/>
      <c r="BF948" s="36"/>
      <c r="BG948" s="36"/>
      <c r="BH948" s="36"/>
      <c r="BI948" s="36"/>
      <c r="BJ948" s="36"/>
      <c r="BK948" s="36"/>
      <c r="BL948" s="36"/>
      <c r="BM948" s="36"/>
      <c r="BN948" s="36"/>
      <c r="BO948" s="36"/>
      <c r="BP948" s="36"/>
      <c r="BQ948" s="36"/>
    </row>
    <row r="949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51"/>
      <c r="S949" s="51"/>
      <c r="T949" s="51"/>
      <c r="U949" s="51"/>
      <c r="V949" s="51"/>
      <c r="W949" s="51"/>
      <c r="X949" s="51"/>
      <c r="Y949" s="45"/>
      <c r="Z949" s="45"/>
      <c r="AA949" s="45"/>
      <c r="AB949" s="45"/>
      <c r="AC949" s="45"/>
      <c r="AD949" s="45"/>
      <c r="AE949" s="45"/>
      <c r="AF949" s="45"/>
      <c r="AG949" s="45"/>
      <c r="AH949" s="45"/>
      <c r="AI949" s="45"/>
      <c r="AJ949" s="45"/>
      <c r="AK949" s="45"/>
      <c r="AL949" s="45"/>
      <c r="AM949" s="45"/>
      <c r="AN949" s="45"/>
      <c r="AO949" s="45"/>
      <c r="AP949" s="45"/>
      <c r="AQ949" s="36"/>
      <c r="AR949" s="36"/>
      <c r="AS949" s="36"/>
      <c r="AT949" s="36"/>
      <c r="AU949" s="36"/>
      <c r="AV949" s="36"/>
      <c r="AW949" s="36"/>
      <c r="AX949" s="36"/>
      <c r="AY949" s="36"/>
      <c r="AZ949" s="36"/>
      <c r="BA949" s="36"/>
      <c r="BB949" s="36"/>
      <c r="BC949" s="36"/>
      <c r="BD949" s="36"/>
      <c r="BE949" s="36"/>
      <c r="BF949" s="36"/>
      <c r="BG949" s="36"/>
      <c r="BH949" s="36"/>
      <c r="BI949" s="36"/>
      <c r="BJ949" s="36"/>
      <c r="BK949" s="36"/>
      <c r="BL949" s="36"/>
      <c r="BM949" s="36"/>
      <c r="BN949" s="36"/>
      <c r="BO949" s="36"/>
      <c r="BP949" s="36"/>
      <c r="BQ949" s="36"/>
    </row>
    <row r="950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51"/>
      <c r="S950" s="51"/>
      <c r="T950" s="51"/>
      <c r="U950" s="51"/>
      <c r="V950" s="51"/>
      <c r="W950" s="51"/>
      <c r="X950" s="51"/>
      <c r="Y950" s="45"/>
      <c r="Z950" s="45"/>
      <c r="AA950" s="45"/>
      <c r="AB950" s="45"/>
      <c r="AC950" s="45"/>
      <c r="AD950" s="45"/>
      <c r="AE950" s="45"/>
      <c r="AF950" s="45"/>
      <c r="AG950" s="45"/>
      <c r="AH950" s="45"/>
      <c r="AI950" s="45"/>
      <c r="AJ950" s="45"/>
      <c r="AK950" s="45"/>
      <c r="AL950" s="45"/>
      <c r="AM950" s="45"/>
      <c r="AN950" s="45"/>
      <c r="AO950" s="45"/>
      <c r="AP950" s="45"/>
      <c r="AQ950" s="36"/>
      <c r="AR950" s="36"/>
      <c r="AS950" s="36"/>
      <c r="AT950" s="36"/>
      <c r="AU950" s="36"/>
      <c r="AV950" s="36"/>
      <c r="AW950" s="36"/>
      <c r="AX950" s="36"/>
      <c r="AY950" s="36"/>
      <c r="AZ950" s="36"/>
      <c r="BA950" s="36"/>
      <c r="BB950" s="36"/>
      <c r="BC950" s="36"/>
      <c r="BD950" s="36"/>
      <c r="BE950" s="36"/>
      <c r="BF950" s="36"/>
      <c r="BG950" s="36"/>
      <c r="BH950" s="36"/>
      <c r="BI950" s="36"/>
      <c r="BJ950" s="36"/>
      <c r="BK950" s="36"/>
      <c r="BL950" s="36"/>
      <c r="BM950" s="36"/>
      <c r="BN950" s="36"/>
      <c r="BO950" s="36"/>
      <c r="BP950" s="36"/>
      <c r="BQ950" s="36"/>
    </row>
    <row r="95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51"/>
      <c r="S951" s="51"/>
      <c r="T951" s="51"/>
      <c r="U951" s="51"/>
      <c r="V951" s="51"/>
      <c r="W951" s="51"/>
      <c r="X951" s="51"/>
      <c r="Y951" s="45"/>
      <c r="Z951" s="45"/>
      <c r="AA951" s="45"/>
      <c r="AB951" s="45"/>
      <c r="AC951" s="45"/>
      <c r="AD951" s="45"/>
      <c r="AE951" s="45"/>
      <c r="AF951" s="45"/>
      <c r="AG951" s="45"/>
      <c r="AH951" s="45"/>
      <c r="AI951" s="45"/>
      <c r="AJ951" s="45"/>
      <c r="AK951" s="45"/>
      <c r="AL951" s="45"/>
      <c r="AM951" s="45"/>
      <c r="AN951" s="45"/>
      <c r="AO951" s="45"/>
      <c r="AP951" s="45"/>
      <c r="AQ951" s="36"/>
      <c r="AR951" s="36"/>
      <c r="AS951" s="36"/>
      <c r="AT951" s="36"/>
      <c r="AU951" s="36"/>
      <c r="AV951" s="36"/>
      <c r="AW951" s="36"/>
      <c r="AX951" s="36"/>
      <c r="AY951" s="36"/>
      <c r="AZ951" s="36"/>
      <c r="BA951" s="36"/>
      <c r="BB951" s="36"/>
      <c r="BC951" s="36"/>
      <c r="BD951" s="36"/>
      <c r="BE951" s="36"/>
      <c r="BF951" s="36"/>
      <c r="BG951" s="36"/>
      <c r="BH951" s="36"/>
      <c r="BI951" s="36"/>
      <c r="BJ951" s="36"/>
      <c r="BK951" s="36"/>
      <c r="BL951" s="36"/>
      <c r="BM951" s="36"/>
      <c r="BN951" s="36"/>
      <c r="BO951" s="36"/>
      <c r="BP951" s="36"/>
      <c r="BQ951" s="36"/>
    </row>
    <row r="952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51"/>
      <c r="S952" s="51"/>
      <c r="T952" s="51"/>
      <c r="U952" s="51"/>
      <c r="V952" s="51"/>
      <c r="W952" s="51"/>
      <c r="X952" s="51"/>
      <c r="Y952" s="45"/>
      <c r="Z952" s="45"/>
      <c r="AA952" s="45"/>
      <c r="AB952" s="45"/>
      <c r="AC952" s="45"/>
      <c r="AD952" s="45"/>
      <c r="AE952" s="45"/>
      <c r="AF952" s="45"/>
      <c r="AG952" s="45"/>
      <c r="AH952" s="45"/>
      <c r="AI952" s="45"/>
      <c r="AJ952" s="45"/>
      <c r="AK952" s="45"/>
      <c r="AL952" s="45"/>
      <c r="AM952" s="45"/>
      <c r="AN952" s="45"/>
      <c r="AO952" s="45"/>
      <c r="AP952" s="45"/>
      <c r="AQ952" s="36"/>
      <c r="AR952" s="36"/>
      <c r="AS952" s="36"/>
      <c r="AT952" s="36"/>
      <c r="AU952" s="36"/>
      <c r="AV952" s="36"/>
      <c r="AW952" s="36"/>
      <c r="AX952" s="36"/>
      <c r="AY952" s="36"/>
      <c r="AZ952" s="36"/>
      <c r="BA952" s="36"/>
      <c r="BB952" s="36"/>
      <c r="BC952" s="36"/>
      <c r="BD952" s="36"/>
      <c r="BE952" s="36"/>
      <c r="BF952" s="36"/>
      <c r="BG952" s="36"/>
      <c r="BH952" s="36"/>
      <c r="BI952" s="36"/>
      <c r="BJ952" s="36"/>
      <c r="BK952" s="36"/>
      <c r="BL952" s="36"/>
      <c r="BM952" s="36"/>
      <c r="BN952" s="36"/>
      <c r="BO952" s="36"/>
      <c r="BP952" s="36"/>
      <c r="BQ952" s="36"/>
    </row>
    <row r="953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51"/>
      <c r="S953" s="51"/>
      <c r="T953" s="51"/>
      <c r="U953" s="51"/>
      <c r="V953" s="51"/>
      <c r="W953" s="51"/>
      <c r="X953" s="51"/>
      <c r="Y953" s="45"/>
      <c r="Z953" s="45"/>
      <c r="AA953" s="45"/>
      <c r="AB953" s="45"/>
      <c r="AC953" s="45"/>
      <c r="AD953" s="45"/>
      <c r="AE953" s="45"/>
      <c r="AF953" s="45"/>
      <c r="AG953" s="45"/>
      <c r="AH953" s="45"/>
      <c r="AI953" s="45"/>
      <c r="AJ953" s="45"/>
      <c r="AK953" s="45"/>
      <c r="AL953" s="45"/>
      <c r="AM953" s="45"/>
      <c r="AN953" s="45"/>
      <c r="AO953" s="45"/>
      <c r="AP953" s="45"/>
      <c r="AQ953" s="36"/>
      <c r="AR953" s="36"/>
      <c r="AS953" s="36"/>
      <c r="AT953" s="36"/>
      <c r="AU953" s="36"/>
      <c r="AV953" s="36"/>
      <c r="AW953" s="36"/>
      <c r="AX953" s="36"/>
      <c r="AY953" s="36"/>
      <c r="AZ953" s="36"/>
      <c r="BA953" s="36"/>
      <c r="BB953" s="36"/>
      <c r="BC953" s="36"/>
      <c r="BD953" s="36"/>
      <c r="BE953" s="36"/>
      <c r="BF953" s="36"/>
      <c r="BG953" s="36"/>
      <c r="BH953" s="36"/>
      <c r="BI953" s="36"/>
      <c r="BJ953" s="36"/>
      <c r="BK953" s="36"/>
      <c r="BL953" s="36"/>
      <c r="BM953" s="36"/>
      <c r="BN953" s="36"/>
      <c r="BO953" s="36"/>
      <c r="BP953" s="36"/>
      <c r="BQ953" s="36"/>
    </row>
    <row r="954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51"/>
      <c r="S954" s="51"/>
      <c r="T954" s="51"/>
      <c r="U954" s="51"/>
      <c r="V954" s="51"/>
      <c r="W954" s="51"/>
      <c r="X954" s="51"/>
      <c r="Y954" s="45"/>
      <c r="Z954" s="45"/>
      <c r="AA954" s="45"/>
      <c r="AB954" s="45"/>
      <c r="AC954" s="45"/>
      <c r="AD954" s="45"/>
      <c r="AE954" s="45"/>
      <c r="AF954" s="45"/>
      <c r="AG954" s="45"/>
      <c r="AH954" s="45"/>
      <c r="AI954" s="45"/>
      <c r="AJ954" s="45"/>
      <c r="AK954" s="45"/>
      <c r="AL954" s="45"/>
      <c r="AM954" s="45"/>
      <c r="AN954" s="45"/>
      <c r="AO954" s="45"/>
      <c r="AP954" s="45"/>
      <c r="AQ954" s="36"/>
      <c r="AR954" s="36"/>
      <c r="AS954" s="36"/>
      <c r="AT954" s="36"/>
      <c r="AU954" s="36"/>
      <c r="AV954" s="36"/>
      <c r="AW954" s="36"/>
      <c r="AX954" s="36"/>
      <c r="AY954" s="36"/>
      <c r="AZ954" s="36"/>
      <c r="BA954" s="36"/>
      <c r="BB954" s="36"/>
      <c r="BC954" s="36"/>
      <c r="BD954" s="36"/>
      <c r="BE954" s="36"/>
      <c r="BF954" s="36"/>
      <c r="BG954" s="36"/>
      <c r="BH954" s="36"/>
      <c r="BI954" s="36"/>
      <c r="BJ954" s="36"/>
      <c r="BK954" s="36"/>
      <c r="BL954" s="36"/>
      <c r="BM954" s="36"/>
      <c r="BN954" s="36"/>
      <c r="BO954" s="36"/>
      <c r="BP954" s="36"/>
      <c r="BQ954" s="36"/>
    </row>
    <row r="95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51"/>
      <c r="S955" s="51"/>
      <c r="T955" s="51"/>
      <c r="U955" s="51"/>
      <c r="V955" s="51"/>
      <c r="W955" s="51"/>
      <c r="X955" s="51"/>
      <c r="Y955" s="45"/>
      <c r="Z955" s="45"/>
      <c r="AA955" s="45"/>
      <c r="AB955" s="45"/>
      <c r="AC955" s="45"/>
      <c r="AD955" s="45"/>
      <c r="AE955" s="45"/>
      <c r="AF955" s="45"/>
      <c r="AG955" s="45"/>
      <c r="AH955" s="45"/>
      <c r="AI955" s="45"/>
      <c r="AJ955" s="45"/>
      <c r="AK955" s="45"/>
      <c r="AL955" s="45"/>
      <c r="AM955" s="45"/>
      <c r="AN955" s="45"/>
      <c r="AO955" s="45"/>
      <c r="AP955" s="45"/>
      <c r="AQ955" s="36"/>
      <c r="AR955" s="36"/>
      <c r="AS955" s="36"/>
      <c r="AT955" s="36"/>
      <c r="AU955" s="36"/>
      <c r="AV955" s="36"/>
      <c r="AW955" s="36"/>
      <c r="AX955" s="36"/>
      <c r="AY955" s="36"/>
      <c r="AZ955" s="36"/>
      <c r="BA955" s="36"/>
      <c r="BB955" s="36"/>
      <c r="BC955" s="36"/>
      <c r="BD955" s="36"/>
      <c r="BE955" s="36"/>
      <c r="BF955" s="36"/>
      <c r="BG955" s="36"/>
      <c r="BH955" s="36"/>
      <c r="BI955" s="36"/>
      <c r="BJ955" s="36"/>
      <c r="BK955" s="36"/>
      <c r="BL955" s="36"/>
      <c r="BM955" s="36"/>
      <c r="BN955" s="36"/>
      <c r="BO955" s="36"/>
      <c r="BP955" s="36"/>
      <c r="BQ955" s="36"/>
    </row>
    <row r="956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51"/>
      <c r="S956" s="51"/>
      <c r="T956" s="51"/>
      <c r="U956" s="51"/>
      <c r="V956" s="51"/>
      <c r="W956" s="51"/>
      <c r="X956" s="51"/>
      <c r="Y956" s="45"/>
      <c r="Z956" s="45"/>
      <c r="AA956" s="45"/>
      <c r="AB956" s="45"/>
      <c r="AC956" s="45"/>
      <c r="AD956" s="45"/>
      <c r="AE956" s="45"/>
      <c r="AF956" s="45"/>
      <c r="AG956" s="45"/>
      <c r="AH956" s="45"/>
      <c r="AI956" s="45"/>
      <c r="AJ956" s="45"/>
      <c r="AK956" s="45"/>
      <c r="AL956" s="45"/>
      <c r="AM956" s="45"/>
      <c r="AN956" s="45"/>
      <c r="AO956" s="45"/>
      <c r="AP956" s="45"/>
      <c r="AQ956" s="36"/>
      <c r="AR956" s="36"/>
      <c r="AS956" s="36"/>
      <c r="AT956" s="36"/>
      <c r="AU956" s="36"/>
      <c r="AV956" s="36"/>
      <c r="AW956" s="36"/>
      <c r="AX956" s="36"/>
      <c r="AY956" s="36"/>
      <c r="AZ956" s="36"/>
      <c r="BA956" s="36"/>
      <c r="BB956" s="36"/>
      <c r="BC956" s="36"/>
      <c r="BD956" s="36"/>
      <c r="BE956" s="36"/>
      <c r="BF956" s="36"/>
      <c r="BG956" s="36"/>
      <c r="BH956" s="36"/>
      <c r="BI956" s="36"/>
      <c r="BJ956" s="36"/>
      <c r="BK956" s="36"/>
      <c r="BL956" s="36"/>
      <c r="BM956" s="36"/>
      <c r="BN956" s="36"/>
      <c r="BO956" s="36"/>
      <c r="BP956" s="36"/>
      <c r="BQ956" s="36"/>
    </row>
    <row r="957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51"/>
      <c r="S957" s="51"/>
      <c r="T957" s="51"/>
      <c r="U957" s="51"/>
      <c r="V957" s="51"/>
      <c r="W957" s="51"/>
      <c r="X957" s="51"/>
      <c r="Y957" s="45"/>
      <c r="Z957" s="45"/>
      <c r="AA957" s="45"/>
      <c r="AB957" s="45"/>
      <c r="AC957" s="45"/>
      <c r="AD957" s="45"/>
      <c r="AE957" s="45"/>
      <c r="AF957" s="45"/>
      <c r="AG957" s="45"/>
      <c r="AH957" s="45"/>
      <c r="AI957" s="45"/>
      <c r="AJ957" s="45"/>
      <c r="AK957" s="45"/>
      <c r="AL957" s="45"/>
      <c r="AM957" s="45"/>
      <c r="AN957" s="45"/>
      <c r="AO957" s="45"/>
      <c r="AP957" s="45"/>
      <c r="AQ957" s="36"/>
      <c r="AR957" s="36"/>
      <c r="AS957" s="36"/>
      <c r="AT957" s="36"/>
      <c r="AU957" s="36"/>
      <c r="AV957" s="36"/>
      <c r="AW957" s="36"/>
      <c r="AX957" s="36"/>
      <c r="AY957" s="36"/>
      <c r="AZ957" s="36"/>
      <c r="BA957" s="36"/>
      <c r="BB957" s="36"/>
      <c r="BC957" s="36"/>
      <c r="BD957" s="36"/>
      <c r="BE957" s="36"/>
      <c r="BF957" s="36"/>
      <c r="BG957" s="36"/>
      <c r="BH957" s="36"/>
      <c r="BI957" s="36"/>
      <c r="BJ957" s="36"/>
      <c r="BK957" s="36"/>
      <c r="BL957" s="36"/>
      <c r="BM957" s="36"/>
      <c r="BN957" s="36"/>
      <c r="BO957" s="36"/>
      <c r="BP957" s="36"/>
      <c r="BQ957" s="36"/>
    </row>
    <row r="958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51"/>
      <c r="S958" s="51"/>
      <c r="T958" s="51"/>
      <c r="U958" s="51"/>
      <c r="V958" s="51"/>
      <c r="W958" s="51"/>
      <c r="X958" s="51"/>
      <c r="Y958" s="45"/>
      <c r="Z958" s="45"/>
      <c r="AA958" s="45"/>
      <c r="AB958" s="45"/>
      <c r="AC958" s="45"/>
      <c r="AD958" s="45"/>
      <c r="AE958" s="45"/>
      <c r="AF958" s="45"/>
      <c r="AG958" s="45"/>
      <c r="AH958" s="45"/>
      <c r="AI958" s="45"/>
      <c r="AJ958" s="45"/>
      <c r="AK958" s="45"/>
      <c r="AL958" s="45"/>
      <c r="AM958" s="45"/>
      <c r="AN958" s="45"/>
      <c r="AO958" s="45"/>
      <c r="AP958" s="45"/>
      <c r="AQ958" s="36"/>
      <c r="AR958" s="36"/>
      <c r="AS958" s="36"/>
      <c r="AT958" s="36"/>
      <c r="AU958" s="36"/>
      <c r="AV958" s="36"/>
      <c r="AW958" s="36"/>
      <c r="AX958" s="36"/>
      <c r="AY958" s="36"/>
      <c r="AZ958" s="36"/>
      <c r="BA958" s="36"/>
      <c r="BB958" s="36"/>
      <c r="BC958" s="36"/>
      <c r="BD958" s="36"/>
      <c r="BE958" s="36"/>
      <c r="BF958" s="36"/>
      <c r="BG958" s="36"/>
      <c r="BH958" s="36"/>
      <c r="BI958" s="36"/>
      <c r="BJ958" s="36"/>
      <c r="BK958" s="36"/>
      <c r="BL958" s="36"/>
      <c r="BM958" s="36"/>
      <c r="BN958" s="36"/>
      <c r="BO958" s="36"/>
      <c r="BP958" s="36"/>
      <c r="BQ958" s="36"/>
    </row>
    <row r="959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51"/>
      <c r="S959" s="51"/>
      <c r="T959" s="51"/>
      <c r="U959" s="51"/>
      <c r="V959" s="51"/>
      <c r="W959" s="51"/>
      <c r="X959" s="51"/>
      <c r="Y959" s="45"/>
      <c r="Z959" s="45"/>
      <c r="AA959" s="45"/>
      <c r="AB959" s="45"/>
      <c r="AC959" s="45"/>
      <c r="AD959" s="45"/>
      <c r="AE959" s="45"/>
      <c r="AF959" s="45"/>
      <c r="AG959" s="45"/>
      <c r="AH959" s="45"/>
      <c r="AI959" s="45"/>
      <c r="AJ959" s="45"/>
      <c r="AK959" s="45"/>
      <c r="AL959" s="45"/>
      <c r="AM959" s="45"/>
      <c r="AN959" s="45"/>
      <c r="AO959" s="45"/>
      <c r="AP959" s="45"/>
      <c r="AQ959" s="36"/>
      <c r="AR959" s="36"/>
      <c r="AS959" s="36"/>
      <c r="AT959" s="36"/>
      <c r="AU959" s="36"/>
      <c r="AV959" s="36"/>
      <c r="AW959" s="36"/>
      <c r="AX959" s="36"/>
      <c r="AY959" s="36"/>
      <c r="AZ959" s="36"/>
      <c r="BA959" s="36"/>
      <c r="BB959" s="36"/>
      <c r="BC959" s="36"/>
      <c r="BD959" s="36"/>
      <c r="BE959" s="36"/>
      <c r="BF959" s="36"/>
      <c r="BG959" s="36"/>
      <c r="BH959" s="36"/>
      <c r="BI959" s="36"/>
      <c r="BJ959" s="36"/>
      <c r="BK959" s="36"/>
      <c r="BL959" s="36"/>
      <c r="BM959" s="36"/>
      <c r="BN959" s="36"/>
      <c r="BO959" s="36"/>
      <c r="BP959" s="36"/>
      <c r="BQ959" s="36"/>
    </row>
    <row r="960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51"/>
      <c r="S960" s="51"/>
      <c r="T960" s="51"/>
      <c r="U960" s="51"/>
      <c r="V960" s="51"/>
      <c r="W960" s="51"/>
      <c r="X960" s="51"/>
      <c r="Y960" s="45"/>
      <c r="Z960" s="45"/>
      <c r="AA960" s="45"/>
      <c r="AB960" s="45"/>
      <c r="AC960" s="45"/>
      <c r="AD960" s="45"/>
      <c r="AE960" s="45"/>
      <c r="AF960" s="45"/>
      <c r="AG960" s="45"/>
      <c r="AH960" s="45"/>
      <c r="AI960" s="45"/>
      <c r="AJ960" s="45"/>
      <c r="AK960" s="45"/>
      <c r="AL960" s="45"/>
      <c r="AM960" s="45"/>
      <c r="AN960" s="45"/>
      <c r="AO960" s="45"/>
      <c r="AP960" s="45"/>
      <c r="AQ960" s="36"/>
      <c r="AR960" s="36"/>
      <c r="AS960" s="36"/>
      <c r="AT960" s="36"/>
      <c r="AU960" s="36"/>
      <c r="AV960" s="36"/>
      <c r="AW960" s="36"/>
      <c r="AX960" s="36"/>
      <c r="AY960" s="36"/>
      <c r="AZ960" s="36"/>
      <c r="BA960" s="36"/>
      <c r="BB960" s="36"/>
      <c r="BC960" s="36"/>
      <c r="BD960" s="36"/>
      <c r="BE960" s="36"/>
      <c r="BF960" s="36"/>
      <c r="BG960" s="36"/>
      <c r="BH960" s="36"/>
      <c r="BI960" s="36"/>
      <c r="BJ960" s="36"/>
      <c r="BK960" s="36"/>
      <c r="BL960" s="36"/>
      <c r="BM960" s="36"/>
      <c r="BN960" s="36"/>
      <c r="BO960" s="36"/>
      <c r="BP960" s="36"/>
      <c r="BQ960" s="36"/>
    </row>
    <row r="96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51"/>
      <c r="S961" s="51"/>
      <c r="T961" s="51"/>
      <c r="U961" s="51"/>
      <c r="V961" s="51"/>
      <c r="W961" s="51"/>
      <c r="X961" s="51"/>
      <c r="Y961" s="45"/>
      <c r="Z961" s="45"/>
      <c r="AA961" s="45"/>
      <c r="AB961" s="45"/>
      <c r="AC961" s="45"/>
      <c r="AD961" s="45"/>
      <c r="AE961" s="45"/>
      <c r="AF961" s="45"/>
      <c r="AG961" s="45"/>
      <c r="AH961" s="45"/>
      <c r="AI961" s="45"/>
      <c r="AJ961" s="45"/>
      <c r="AK961" s="45"/>
      <c r="AL961" s="45"/>
      <c r="AM961" s="45"/>
      <c r="AN961" s="45"/>
      <c r="AO961" s="45"/>
      <c r="AP961" s="45"/>
      <c r="AQ961" s="36"/>
      <c r="AR961" s="36"/>
      <c r="AS961" s="36"/>
      <c r="AT961" s="36"/>
      <c r="AU961" s="36"/>
      <c r="AV961" s="36"/>
      <c r="AW961" s="36"/>
      <c r="AX961" s="36"/>
      <c r="AY961" s="36"/>
      <c r="AZ961" s="36"/>
      <c r="BA961" s="36"/>
      <c r="BB961" s="36"/>
      <c r="BC961" s="36"/>
      <c r="BD961" s="36"/>
      <c r="BE961" s="36"/>
      <c r="BF961" s="36"/>
      <c r="BG961" s="36"/>
      <c r="BH961" s="36"/>
      <c r="BI961" s="36"/>
      <c r="BJ961" s="36"/>
      <c r="BK961" s="36"/>
      <c r="BL961" s="36"/>
      <c r="BM961" s="36"/>
      <c r="BN961" s="36"/>
      <c r="BO961" s="36"/>
      <c r="BP961" s="36"/>
      <c r="BQ961" s="36"/>
    </row>
    <row r="962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51"/>
      <c r="S962" s="51"/>
      <c r="T962" s="51"/>
      <c r="U962" s="51"/>
      <c r="V962" s="51"/>
      <c r="W962" s="51"/>
      <c r="X962" s="51"/>
      <c r="Y962" s="45"/>
      <c r="Z962" s="45"/>
      <c r="AA962" s="45"/>
      <c r="AB962" s="45"/>
      <c r="AC962" s="45"/>
      <c r="AD962" s="45"/>
      <c r="AE962" s="45"/>
      <c r="AF962" s="45"/>
      <c r="AG962" s="45"/>
      <c r="AH962" s="45"/>
      <c r="AI962" s="45"/>
      <c r="AJ962" s="45"/>
      <c r="AK962" s="45"/>
      <c r="AL962" s="45"/>
      <c r="AM962" s="45"/>
      <c r="AN962" s="45"/>
      <c r="AO962" s="45"/>
      <c r="AP962" s="45"/>
      <c r="AQ962" s="36"/>
      <c r="AR962" s="36"/>
      <c r="AS962" s="36"/>
      <c r="AT962" s="36"/>
      <c r="AU962" s="36"/>
      <c r="AV962" s="36"/>
      <c r="AW962" s="36"/>
      <c r="AX962" s="36"/>
      <c r="AY962" s="36"/>
      <c r="AZ962" s="36"/>
      <c r="BA962" s="36"/>
      <c r="BB962" s="36"/>
      <c r="BC962" s="36"/>
      <c r="BD962" s="36"/>
      <c r="BE962" s="36"/>
      <c r="BF962" s="36"/>
      <c r="BG962" s="36"/>
      <c r="BH962" s="36"/>
      <c r="BI962" s="36"/>
      <c r="BJ962" s="36"/>
      <c r="BK962" s="36"/>
      <c r="BL962" s="36"/>
      <c r="BM962" s="36"/>
      <c r="BN962" s="36"/>
      <c r="BO962" s="36"/>
      <c r="BP962" s="36"/>
      <c r="BQ962" s="36"/>
    </row>
    <row r="963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51"/>
      <c r="S963" s="51"/>
      <c r="T963" s="51"/>
      <c r="U963" s="51"/>
      <c r="V963" s="51"/>
      <c r="W963" s="51"/>
      <c r="X963" s="51"/>
      <c r="Y963" s="45"/>
      <c r="Z963" s="45"/>
      <c r="AA963" s="45"/>
      <c r="AB963" s="45"/>
      <c r="AC963" s="45"/>
      <c r="AD963" s="45"/>
      <c r="AE963" s="45"/>
      <c r="AF963" s="45"/>
      <c r="AG963" s="45"/>
      <c r="AH963" s="45"/>
      <c r="AI963" s="45"/>
      <c r="AJ963" s="45"/>
      <c r="AK963" s="45"/>
      <c r="AL963" s="45"/>
      <c r="AM963" s="45"/>
      <c r="AN963" s="45"/>
      <c r="AO963" s="45"/>
      <c r="AP963" s="45"/>
      <c r="AQ963" s="36"/>
      <c r="AR963" s="36"/>
      <c r="AS963" s="36"/>
      <c r="AT963" s="36"/>
      <c r="AU963" s="36"/>
      <c r="AV963" s="36"/>
      <c r="AW963" s="36"/>
      <c r="AX963" s="36"/>
      <c r="AY963" s="36"/>
      <c r="AZ963" s="36"/>
      <c r="BA963" s="36"/>
      <c r="BB963" s="36"/>
      <c r="BC963" s="36"/>
      <c r="BD963" s="36"/>
      <c r="BE963" s="36"/>
      <c r="BF963" s="36"/>
      <c r="BG963" s="36"/>
      <c r="BH963" s="36"/>
      <c r="BI963" s="36"/>
      <c r="BJ963" s="36"/>
      <c r="BK963" s="36"/>
      <c r="BL963" s="36"/>
      <c r="BM963" s="36"/>
      <c r="BN963" s="36"/>
      <c r="BO963" s="36"/>
      <c r="BP963" s="36"/>
      <c r="BQ963" s="36"/>
    </row>
    <row r="964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51"/>
      <c r="S964" s="51"/>
      <c r="T964" s="51"/>
      <c r="U964" s="51"/>
      <c r="V964" s="51"/>
      <c r="W964" s="51"/>
      <c r="X964" s="51"/>
      <c r="Y964" s="45"/>
      <c r="Z964" s="45"/>
      <c r="AA964" s="45"/>
      <c r="AB964" s="45"/>
      <c r="AC964" s="45"/>
      <c r="AD964" s="45"/>
      <c r="AE964" s="45"/>
      <c r="AF964" s="45"/>
      <c r="AG964" s="45"/>
      <c r="AH964" s="45"/>
      <c r="AI964" s="45"/>
      <c r="AJ964" s="45"/>
      <c r="AK964" s="45"/>
      <c r="AL964" s="45"/>
      <c r="AM964" s="45"/>
      <c r="AN964" s="45"/>
      <c r="AO964" s="45"/>
      <c r="AP964" s="45"/>
      <c r="AQ964" s="36"/>
      <c r="AR964" s="36"/>
      <c r="AS964" s="36"/>
      <c r="AT964" s="36"/>
      <c r="AU964" s="36"/>
      <c r="AV964" s="36"/>
      <c r="AW964" s="36"/>
      <c r="AX964" s="36"/>
      <c r="AY964" s="36"/>
      <c r="AZ964" s="36"/>
      <c r="BA964" s="36"/>
      <c r="BB964" s="36"/>
      <c r="BC964" s="36"/>
      <c r="BD964" s="36"/>
      <c r="BE964" s="36"/>
      <c r="BF964" s="36"/>
      <c r="BG964" s="36"/>
      <c r="BH964" s="36"/>
      <c r="BI964" s="36"/>
      <c r="BJ964" s="36"/>
      <c r="BK964" s="36"/>
      <c r="BL964" s="36"/>
      <c r="BM964" s="36"/>
      <c r="BN964" s="36"/>
      <c r="BO964" s="36"/>
      <c r="BP964" s="36"/>
      <c r="BQ964" s="36"/>
    </row>
    <row r="96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51"/>
      <c r="S965" s="51"/>
      <c r="T965" s="51"/>
      <c r="U965" s="51"/>
      <c r="V965" s="51"/>
      <c r="W965" s="51"/>
      <c r="X965" s="51"/>
      <c r="Y965" s="45"/>
      <c r="Z965" s="45"/>
      <c r="AA965" s="45"/>
      <c r="AB965" s="45"/>
      <c r="AC965" s="45"/>
      <c r="AD965" s="45"/>
      <c r="AE965" s="45"/>
      <c r="AF965" s="45"/>
      <c r="AG965" s="45"/>
      <c r="AH965" s="45"/>
      <c r="AI965" s="45"/>
      <c r="AJ965" s="45"/>
      <c r="AK965" s="45"/>
      <c r="AL965" s="45"/>
      <c r="AM965" s="45"/>
      <c r="AN965" s="45"/>
      <c r="AO965" s="45"/>
      <c r="AP965" s="45"/>
      <c r="AQ965" s="36"/>
      <c r="AR965" s="36"/>
      <c r="AS965" s="36"/>
      <c r="AT965" s="36"/>
      <c r="AU965" s="36"/>
      <c r="AV965" s="36"/>
      <c r="AW965" s="36"/>
      <c r="AX965" s="36"/>
      <c r="AY965" s="36"/>
      <c r="AZ965" s="36"/>
      <c r="BA965" s="36"/>
      <c r="BB965" s="36"/>
      <c r="BC965" s="36"/>
      <c r="BD965" s="36"/>
      <c r="BE965" s="36"/>
      <c r="BF965" s="36"/>
      <c r="BG965" s="36"/>
      <c r="BH965" s="36"/>
      <c r="BI965" s="36"/>
      <c r="BJ965" s="36"/>
      <c r="BK965" s="36"/>
      <c r="BL965" s="36"/>
      <c r="BM965" s="36"/>
      <c r="BN965" s="36"/>
      <c r="BO965" s="36"/>
      <c r="BP965" s="36"/>
      <c r="BQ965" s="36"/>
    </row>
    <row r="966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51"/>
      <c r="S966" s="51"/>
      <c r="T966" s="51"/>
      <c r="U966" s="51"/>
      <c r="V966" s="51"/>
      <c r="W966" s="51"/>
      <c r="X966" s="51"/>
      <c r="Y966" s="45"/>
      <c r="Z966" s="45"/>
      <c r="AA966" s="45"/>
      <c r="AB966" s="45"/>
      <c r="AC966" s="45"/>
      <c r="AD966" s="45"/>
      <c r="AE966" s="45"/>
      <c r="AF966" s="45"/>
      <c r="AG966" s="45"/>
      <c r="AH966" s="45"/>
      <c r="AI966" s="45"/>
      <c r="AJ966" s="45"/>
      <c r="AK966" s="45"/>
      <c r="AL966" s="45"/>
      <c r="AM966" s="45"/>
      <c r="AN966" s="45"/>
      <c r="AO966" s="45"/>
      <c r="AP966" s="45"/>
      <c r="AQ966" s="36"/>
      <c r="AR966" s="36"/>
      <c r="AS966" s="36"/>
      <c r="AT966" s="36"/>
      <c r="AU966" s="36"/>
      <c r="AV966" s="36"/>
      <c r="AW966" s="36"/>
      <c r="AX966" s="36"/>
      <c r="AY966" s="36"/>
      <c r="AZ966" s="36"/>
      <c r="BA966" s="36"/>
      <c r="BB966" s="36"/>
      <c r="BC966" s="36"/>
      <c r="BD966" s="36"/>
      <c r="BE966" s="36"/>
      <c r="BF966" s="36"/>
      <c r="BG966" s="36"/>
      <c r="BH966" s="36"/>
      <c r="BI966" s="36"/>
      <c r="BJ966" s="36"/>
      <c r="BK966" s="36"/>
      <c r="BL966" s="36"/>
      <c r="BM966" s="36"/>
      <c r="BN966" s="36"/>
      <c r="BO966" s="36"/>
      <c r="BP966" s="36"/>
      <c r="BQ966" s="36"/>
    </row>
    <row r="967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51"/>
      <c r="S967" s="51"/>
      <c r="T967" s="51"/>
      <c r="U967" s="51"/>
      <c r="V967" s="51"/>
      <c r="W967" s="51"/>
      <c r="X967" s="51"/>
      <c r="Y967" s="45"/>
      <c r="Z967" s="45"/>
      <c r="AA967" s="45"/>
      <c r="AB967" s="45"/>
      <c r="AC967" s="45"/>
      <c r="AD967" s="45"/>
      <c r="AE967" s="45"/>
      <c r="AF967" s="45"/>
      <c r="AG967" s="45"/>
      <c r="AH967" s="45"/>
      <c r="AI967" s="45"/>
      <c r="AJ967" s="45"/>
      <c r="AK967" s="45"/>
      <c r="AL967" s="45"/>
      <c r="AM967" s="45"/>
      <c r="AN967" s="45"/>
      <c r="AO967" s="45"/>
      <c r="AP967" s="45"/>
      <c r="AQ967" s="36"/>
      <c r="AR967" s="36"/>
      <c r="AS967" s="36"/>
      <c r="AT967" s="36"/>
      <c r="AU967" s="36"/>
      <c r="AV967" s="36"/>
      <c r="AW967" s="36"/>
      <c r="AX967" s="36"/>
      <c r="AY967" s="36"/>
      <c r="AZ967" s="36"/>
      <c r="BA967" s="36"/>
      <c r="BB967" s="36"/>
      <c r="BC967" s="36"/>
      <c r="BD967" s="36"/>
      <c r="BE967" s="36"/>
      <c r="BF967" s="36"/>
      <c r="BG967" s="36"/>
      <c r="BH967" s="36"/>
      <c r="BI967" s="36"/>
      <c r="BJ967" s="36"/>
      <c r="BK967" s="36"/>
      <c r="BL967" s="36"/>
      <c r="BM967" s="36"/>
      <c r="BN967" s="36"/>
      <c r="BO967" s="36"/>
      <c r="BP967" s="36"/>
      <c r="BQ967" s="36"/>
    </row>
    <row r="968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51"/>
      <c r="S968" s="51"/>
      <c r="T968" s="51"/>
      <c r="U968" s="51"/>
      <c r="V968" s="51"/>
      <c r="W968" s="51"/>
      <c r="X968" s="51"/>
      <c r="Y968" s="45"/>
      <c r="Z968" s="45"/>
      <c r="AA968" s="45"/>
      <c r="AB968" s="45"/>
      <c r="AC968" s="45"/>
      <c r="AD968" s="45"/>
      <c r="AE968" s="45"/>
      <c r="AF968" s="45"/>
      <c r="AG968" s="45"/>
      <c r="AH968" s="45"/>
      <c r="AI968" s="45"/>
      <c r="AJ968" s="45"/>
      <c r="AK968" s="45"/>
      <c r="AL968" s="45"/>
      <c r="AM968" s="45"/>
      <c r="AN968" s="45"/>
      <c r="AO968" s="45"/>
      <c r="AP968" s="45"/>
      <c r="AQ968" s="36"/>
      <c r="AR968" s="36"/>
      <c r="AS968" s="36"/>
      <c r="AT968" s="36"/>
      <c r="AU968" s="36"/>
      <c r="AV968" s="36"/>
      <c r="AW968" s="36"/>
      <c r="AX968" s="36"/>
      <c r="AY968" s="36"/>
      <c r="AZ968" s="36"/>
      <c r="BA968" s="36"/>
      <c r="BB968" s="36"/>
      <c r="BC968" s="36"/>
      <c r="BD968" s="36"/>
      <c r="BE968" s="36"/>
      <c r="BF968" s="36"/>
      <c r="BG968" s="36"/>
      <c r="BH968" s="36"/>
      <c r="BI968" s="36"/>
      <c r="BJ968" s="36"/>
      <c r="BK968" s="36"/>
      <c r="BL968" s="36"/>
      <c r="BM968" s="36"/>
      <c r="BN968" s="36"/>
      <c r="BO968" s="36"/>
      <c r="BP968" s="36"/>
      <c r="BQ968" s="36"/>
    </row>
    <row r="969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51"/>
      <c r="S969" s="51"/>
      <c r="T969" s="51"/>
      <c r="U969" s="51"/>
      <c r="V969" s="51"/>
      <c r="W969" s="51"/>
      <c r="X969" s="51"/>
      <c r="Y969" s="45"/>
      <c r="Z969" s="45"/>
      <c r="AA969" s="45"/>
      <c r="AB969" s="45"/>
      <c r="AC969" s="45"/>
      <c r="AD969" s="45"/>
      <c r="AE969" s="45"/>
      <c r="AF969" s="45"/>
      <c r="AG969" s="45"/>
      <c r="AH969" s="45"/>
      <c r="AI969" s="45"/>
      <c r="AJ969" s="45"/>
      <c r="AK969" s="45"/>
      <c r="AL969" s="45"/>
      <c r="AM969" s="45"/>
      <c r="AN969" s="45"/>
      <c r="AO969" s="45"/>
      <c r="AP969" s="45"/>
      <c r="AQ969" s="36"/>
      <c r="AR969" s="36"/>
      <c r="AS969" s="36"/>
      <c r="AT969" s="36"/>
      <c r="AU969" s="36"/>
      <c r="AV969" s="36"/>
      <c r="AW969" s="36"/>
      <c r="AX969" s="36"/>
      <c r="AY969" s="36"/>
      <c r="AZ969" s="36"/>
      <c r="BA969" s="36"/>
      <c r="BB969" s="36"/>
      <c r="BC969" s="36"/>
      <c r="BD969" s="36"/>
      <c r="BE969" s="36"/>
      <c r="BF969" s="36"/>
      <c r="BG969" s="36"/>
      <c r="BH969" s="36"/>
      <c r="BI969" s="36"/>
      <c r="BJ969" s="36"/>
      <c r="BK969" s="36"/>
      <c r="BL969" s="36"/>
      <c r="BM969" s="36"/>
      <c r="BN969" s="36"/>
      <c r="BO969" s="36"/>
      <c r="BP969" s="36"/>
      <c r="BQ969" s="36"/>
    </row>
    <row r="970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51"/>
      <c r="S970" s="51"/>
      <c r="T970" s="51"/>
      <c r="U970" s="51"/>
      <c r="V970" s="51"/>
      <c r="W970" s="51"/>
      <c r="X970" s="51"/>
      <c r="Y970" s="45"/>
      <c r="Z970" s="45"/>
      <c r="AA970" s="45"/>
      <c r="AB970" s="45"/>
      <c r="AC970" s="45"/>
      <c r="AD970" s="45"/>
      <c r="AE970" s="45"/>
      <c r="AF970" s="45"/>
      <c r="AG970" s="45"/>
      <c r="AH970" s="45"/>
      <c r="AI970" s="45"/>
      <c r="AJ970" s="45"/>
      <c r="AK970" s="45"/>
      <c r="AL970" s="45"/>
      <c r="AM970" s="45"/>
      <c r="AN970" s="45"/>
      <c r="AO970" s="45"/>
      <c r="AP970" s="45"/>
      <c r="AQ970" s="36"/>
      <c r="AR970" s="36"/>
      <c r="AS970" s="36"/>
      <c r="AT970" s="36"/>
      <c r="AU970" s="36"/>
      <c r="AV970" s="36"/>
      <c r="AW970" s="36"/>
      <c r="AX970" s="36"/>
      <c r="AY970" s="36"/>
      <c r="AZ970" s="36"/>
      <c r="BA970" s="36"/>
      <c r="BB970" s="36"/>
      <c r="BC970" s="36"/>
      <c r="BD970" s="36"/>
      <c r="BE970" s="36"/>
      <c r="BF970" s="36"/>
      <c r="BG970" s="36"/>
      <c r="BH970" s="36"/>
      <c r="BI970" s="36"/>
      <c r="BJ970" s="36"/>
      <c r="BK970" s="36"/>
      <c r="BL970" s="36"/>
      <c r="BM970" s="36"/>
      <c r="BN970" s="36"/>
      <c r="BO970" s="36"/>
      <c r="BP970" s="36"/>
      <c r="BQ970" s="36"/>
    </row>
    <row r="97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51"/>
      <c r="S971" s="51"/>
      <c r="T971" s="51"/>
      <c r="U971" s="51"/>
      <c r="V971" s="51"/>
      <c r="W971" s="51"/>
      <c r="X971" s="51"/>
      <c r="Y971" s="45"/>
      <c r="Z971" s="45"/>
      <c r="AA971" s="45"/>
      <c r="AB971" s="45"/>
      <c r="AC971" s="45"/>
      <c r="AD971" s="45"/>
      <c r="AE971" s="45"/>
      <c r="AF971" s="45"/>
      <c r="AG971" s="45"/>
      <c r="AH971" s="45"/>
      <c r="AI971" s="45"/>
      <c r="AJ971" s="45"/>
      <c r="AK971" s="45"/>
      <c r="AL971" s="45"/>
      <c r="AM971" s="45"/>
      <c r="AN971" s="45"/>
      <c r="AO971" s="45"/>
      <c r="AP971" s="45"/>
      <c r="AQ971" s="36"/>
      <c r="AR971" s="36"/>
      <c r="AS971" s="36"/>
      <c r="AT971" s="36"/>
      <c r="AU971" s="36"/>
      <c r="AV971" s="36"/>
      <c r="AW971" s="36"/>
      <c r="AX971" s="36"/>
      <c r="AY971" s="36"/>
      <c r="AZ971" s="36"/>
      <c r="BA971" s="36"/>
      <c r="BB971" s="36"/>
      <c r="BC971" s="36"/>
      <c r="BD971" s="36"/>
      <c r="BE971" s="36"/>
      <c r="BF971" s="36"/>
      <c r="BG971" s="36"/>
      <c r="BH971" s="36"/>
      <c r="BI971" s="36"/>
      <c r="BJ971" s="36"/>
      <c r="BK971" s="36"/>
      <c r="BL971" s="36"/>
      <c r="BM971" s="36"/>
      <c r="BN971" s="36"/>
      <c r="BO971" s="36"/>
      <c r="BP971" s="36"/>
      <c r="BQ971" s="36"/>
    </row>
    <row r="972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51"/>
      <c r="S972" s="51"/>
      <c r="T972" s="51"/>
      <c r="U972" s="51"/>
      <c r="V972" s="51"/>
      <c r="W972" s="51"/>
      <c r="X972" s="51"/>
      <c r="Y972" s="45"/>
      <c r="Z972" s="45"/>
      <c r="AA972" s="45"/>
      <c r="AB972" s="45"/>
      <c r="AC972" s="45"/>
      <c r="AD972" s="45"/>
      <c r="AE972" s="45"/>
      <c r="AF972" s="45"/>
      <c r="AG972" s="45"/>
      <c r="AH972" s="45"/>
      <c r="AI972" s="45"/>
      <c r="AJ972" s="45"/>
      <c r="AK972" s="45"/>
      <c r="AL972" s="45"/>
      <c r="AM972" s="45"/>
      <c r="AN972" s="45"/>
      <c r="AO972" s="45"/>
      <c r="AP972" s="45"/>
      <c r="AQ972" s="36"/>
      <c r="AR972" s="36"/>
      <c r="AS972" s="36"/>
      <c r="AT972" s="36"/>
      <c r="AU972" s="36"/>
      <c r="AV972" s="36"/>
      <c r="AW972" s="36"/>
      <c r="AX972" s="36"/>
      <c r="AY972" s="36"/>
      <c r="AZ972" s="36"/>
      <c r="BA972" s="36"/>
      <c r="BB972" s="36"/>
      <c r="BC972" s="36"/>
      <c r="BD972" s="36"/>
      <c r="BE972" s="36"/>
      <c r="BF972" s="36"/>
      <c r="BG972" s="36"/>
      <c r="BH972" s="36"/>
      <c r="BI972" s="36"/>
      <c r="BJ972" s="36"/>
      <c r="BK972" s="36"/>
      <c r="BL972" s="36"/>
      <c r="BM972" s="36"/>
      <c r="BN972" s="36"/>
      <c r="BO972" s="36"/>
      <c r="BP972" s="36"/>
      <c r="BQ972" s="36"/>
    </row>
    <row r="973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51"/>
      <c r="S973" s="51"/>
      <c r="T973" s="51"/>
      <c r="U973" s="51"/>
      <c r="V973" s="51"/>
      <c r="W973" s="51"/>
      <c r="X973" s="51"/>
      <c r="Y973" s="45"/>
      <c r="Z973" s="45"/>
      <c r="AA973" s="45"/>
      <c r="AB973" s="45"/>
      <c r="AC973" s="45"/>
      <c r="AD973" s="45"/>
      <c r="AE973" s="45"/>
      <c r="AF973" s="45"/>
      <c r="AG973" s="45"/>
      <c r="AH973" s="45"/>
      <c r="AI973" s="45"/>
      <c r="AJ973" s="45"/>
      <c r="AK973" s="45"/>
      <c r="AL973" s="45"/>
      <c r="AM973" s="45"/>
      <c r="AN973" s="45"/>
      <c r="AO973" s="45"/>
      <c r="AP973" s="45"/>
      <c r="AQ973" s="36"/>
      <c r="AR973" s="36"/>
      <c r="AS973" s="36"/>
      <c r="AT973" s="36"/>
      <c r="AU973" s="36"/>
      <c r="AV973" s="36"/>
      <c r="AW973" s="36"/>
      <c r="AX973" s="36"/>
      <c r="AY973" s="36"/>
      <c r="AZ973" s="36"/>
      <c r="BA973" s="36"/>
      <c r="BB973" s="36"/>
      <c r="BC973" s="36"/>
      <c r="BD973" s="36"/>
      <c r="BE973" s="36"/>
      <c r="BF973" s="36"/>
      <c r="BG973" s="36"/>
      <c r="BH973" s="36"/>
      <c r="BI973" s="36"/>
      <c r="BJ973" s="36"/>
      <c r="BK973" s="36"/>
      <c r="BL973" s="36"/>
      <c r="BM973" s="36"/>
      <c r="BN973" s="36"/>
      <c r="BO973" s="36"/>
      <c r="BP973" s="36"/>
      <c r="BQ973" s="36"/>
    </row>
    <row r="974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51"/>
      <c r="S974" s="51"/>
      <c r="T974" s="51"/>
      <c r="U974" s="51"/>
      <c r="V974" s="51"/>
      <c r="W974" s="51"/>
      <c r="X974" s="51"/>
      <c r="Y974" s="45"/>
      <c r="Z974" s="45"/>
      <c r="AA974" s="45"/>
      <c r="AB974" s="45"/>
      <c r="AC974" s="45"/>
      <c r="AD974" s="45"/>
      <c r="AE974" s="45"/>
      <c r="AF974" s="45"/>
      <c r="AG974" s="45"/>
      <c r="AH974" s="45"/>
      <c r="AI974" s="45"/>
      <c r="AJ974" s="45"/>
      <c r="AK974" s="45"/>
      <c r="AL974" s="45"/>
      <c r="AM974" s="45"/>
      <c r="AN974" s="45"/>
      <c r="AO974" s="45"/>
      <c r="AP974" s="45"/>
      <c r="AQ974" s="36"/>
      <c r="AR974" s="36"/>
      <c r="AS974" s="36"/>
      <c r="AT974" s="36"/>
      <c r="AU974" s="36"/>
      <c r="AV974" s="36"/>
      <c r="AW974" s="36"/>
      <c r="AX974" s="36"/>
      <c r="AY974" s="36"/>
      <c r="AZ974" s="36"/>
      <c r="BA974" s="36"/>
      <c r="BB974" s="36"/>
      <c r="BC974" s="36"/>
      <c r="BD974" s="36"/>
      <c r="BE974" s="36"/>
      <c r="BF974" s="36"/>
      <c r="BG974" s="36"/>
      <c r="BH974" s="36"/>
      <c r="BI974" s="36"/>
      <c r="BJ974" s="36"/>
      <c r="BK974" s="36"/>
      <c r="BL974" s="36"/>
      <c r="BM974" s="36"/>
      <c r="BN974" s="36"/>
      <c r="BO974" s="36"/>
      <c r="BP974" s="36"/>
      <c r="BQ974" s="36"/>
    </row>
    <row r="97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51"/>
      <c r="S975" s="51"/>
      <c r="T975" s="51"/>
      <c r="U975" s="51"/>
      <c r="V975" s="51"/>
      <c r="W975" s="51"/>
      <c r="X975" s="51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5"/>
      <c r="AM975" s="45"/>
      <c r="AN975" s="45"/>
      <c r="AO975" s="45"/>
      <c r="AP975" s="45"/>
      <c r="AQ975" s="36"/>
      <c r="AR975" s="36"/>
      <c r="AS975" s="36"/>
      <c r="AT975" s="36"/>
      <c r="AU975" s="36"/>
      <c r="AV975" s="36"/>
      <c r="AW975" s="36"/>
      <c r="AX975" s="36"/>
      <c r="AY975" s="36"/>
      <c r="AZ975" s="36"/>
      <c r="BA975" s="36"/>
      <c r="BB975" s="36"/>
      <c r="BC975" s="36"/>
      <c r="BD975" s="36"/>
      <c r="BE975" s="36"/>
      <c r="BF975" s="36"/>
      <c r="BG975" s="36"/>
      <c r="BH975" s="36"/>
      <c r="BI975" s="36"/>
      <c r="BJ975" s="36"/>
      <c r="BK975" s="36"/>
      <c r="BL975" s="36"/>
      <c r="BM975" s="36"/>
      <c r="BN975" s="36"/>
      <c r="BO975" s="36"/>
      <c r="BP975" s="36"/>
      <c r="BQ975" s="36"/>
    </row>
    <row r="976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51"/>
      <c r="S976" s="51"/>
      <c r="T976" s="51"/>
      <c r="U976" s="51"/>
      <c r="V976" s="51"/>
      <c r="W976" s="51"/>
      <c r="X976" s="51"/>
      <c r="Y976" s="45"/>
      <c r="Z976" s="45"/>
      <c r="AA976" s="45"/>
      <c r="AB976" s="45"/>
      <c r="AC976" s="45"/>
      <c r="AD976" s="45"/>
      <c r="AE976" s="45"/>
      <c r="AF976" s="45"/>
      <c r="AG976" s="45"/>
      <c r="AH976" s="45"/>
      <c r="AI976" s="45"/>
      <c r="AJ976" s="45"/>
      <c r="AK976" s="45"/>
      <c r="AL976" s="45"/>
      <c r="AM976" s="45"/>
      <c r="AN976" s="45"/>
      <c r="AO976" s="45"/>
      <c r="AP976" s="45"/>
      <c r="AQ976" s="36"/>
      <c r="AR976" s="36"/>
      <c r="AS976" s="36"/>
      <c r="AT976" s="36"/>
      <c r="AU976" s="36"/>
      <c r="AV976" s="36"/>
      <c r="AW976" s="36"/>
      <c r="AX976" s="36"/>
      <c r="AY976" s="36"/>
      <c r="AZ976" s="36"/>
      <c r="BA976" s="36"/>
      <c r="BB976" s="36"/>
      <c r="BC976" s="36"/>
      <c r="BD976" s="36"/>
      <c r="BE976" s="36"/>
      <c r="BF976" s="36"/>
      <c r="BG976" s="36"/>
      <c r="BH976" s="36"/>
      <c r="BI976" s="36"/>
      <c r="BJ976" s="36"/>
      <c r="BK976" s="36"/>
      <c r="BL976" s="36"/>
      <c r="BM976" s="36"/>
      <c r="BN976" s="36"/>
      <c r="BO976" s="36"/>
      <c r="BP976" s="36"/>
      <c r="BQ976" s="36"/>
    </row>
    <row r="977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51"/>
      <c r="S977" s="51"/>
      <c r="T977" s="51"/>
      <c r="U977" s="51"/>
      <c r="V977" s="51"/>
      <c r="W977" s="51"/>
      <c r="X977" s="51"/>
      <c r="Y977" s="45"/>
      <c r="Z977" s="45"/>
      <c r="AA977" s="45"/>
      <c r="AB977" s="45"/>
      <c r="AC977" s="45"/>
      <c r="AD977" s="45"/>
      <c r="AE977" s="45"/>
      <c r="AF977" s="45"/>
      <c r="AG977" s="45"/>
      <c r="AH977" s="45"/>
      <c r="AI977" s="45"/>
      <c r="AJ977" s="45"/>
      <c r="AK977" s="45"/>
      <c r="AL977" s="45"/>
      <c r="AM977" s="45"/>
      <c r="AN977" s="45"/>
      <c r="AO977" s="45"/>
      <c r="AP977" s="45"/>
      <c r="AQ977" s="36"/>
      <c r="AR977" s="36"/>
      <c r="AS977" s="36"/>
      <c r="AT977" s="36"/>
      <c r="AU977" s="36"/>
      <c r="AV977" s="36"/>
      <c r="AW977" s="36"/>
      <c r="AX977" s="36"/>
      <c r="AY977" s="36"/>
      <c r="AZ977" s="36"/>
      <c r="BA977" s="36"/>
      <c r="BB977" s="36"/>
      <c r="BC977" s="36"/>
      <c r="BD977" s="36"/>
      <c r="BE977" s="36"/>
      <c r="BF977" s="36"/>
      <c r="BG977" s="36"/>
      <c r="BH977" s="36"/>
      <c r="BI977" s="36"/>
      <c r="BJ977" s="36"/>
      <c r="BK977" s="36"/>
      <c r="BL977" s="36"/>
      <c r="BM977" s="36"/>
      <c r="BN977" s="36"/>
      <c r="BO977" s="36"/>
      <c r="BP977" s="36"/>
      <c r="BQ977" s="36"/>
    </row>
    <row r="978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51"/>
      <c r="S978" s="51"/>
      <c r="T978" s="51"/>
      <c r="U978" s="51"/>
      <c r="V978" s="51"/>
      <c r="W978" s="51"/>
      <c r="X978" s="51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5"/>
      <c r="AM978" s="45"/>
      <c r="AN978" s="45"/>
      <c r="AO978" s="45"/>
      <c r="AP978" s="45"/>
      <c r="AQ978" s="36"/>
      <c r="AR978" s="36"/>
      <c r="AS978" s="36"/>
      <c r="AT978" s="36"/>
      <c r="AU978" s="36"/>
      <c r="AV978" s="36"/>
      <c r="AW978" s="36"/>
      <c r="AX978" s="36"/>
      <c r="AY978" s="36"/>
      <c r="AZ978" s="36"/>
      <c r="BA978" s="36"/>
      <c r="BB978" s="36"/>
      <c r="BC978" s="36"/>
      <c r="BD978" s="36"/>
      <c r="BE978" s="36"/>
      <c r="BF978" s="36"/>
      <c r="BG978" s="36"/>
      <c r="BH978" s="36"/>
      <c r="BI978" s="36"/>
      <c r="BJ978" s="36"/>
      <c r="BK978" s="36"/>
      <c r="BL978" s="36"/>
      <c r="BM978" s="36"/>
      <c r="BN978" s="36"/>
      <c r="BO978" s="36"/>
      <c r="BP978" s="36"/>
      <c r="BQ978" s="36"/>
    </row>
    <row r="979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51"/>
      <c r="S979" s="51"/>
      <c r="T979" s="51"/>
      <c r="U979" s="51"/>
      <c r="V979" s="51"/>
      <c r="W979" s="51"/>
      <c r="X979" s="51"/>
      <c r="Y979" s="45"/>
      <c r="Z979" s="45"/>
      <c r="AA979" s="45"/>
      <c r="AB979" s="45"/>
      <c r="AC979" s="45"/>
      <c r="AD979" s="45"/>
      <c r="AE979" s="45"/>
      <c r="AF979" s="45"/>
      <c r="AG979" s="45"/>
      <c r="AH979" s="45"/>
      <c r="AI979" s="45"/>
      <c r="AJ979" s="45"/>
      <c r="AK979" s="45"/>
      <c r="AL979" s="45"/>
      <c r="AM979" s="45"/>
      <c r="AN979" s="45"/>
      <c r="AO979" s="45"/>
      <c r="AP979" s="45"/>
      <c r="AQ979" s="36"/>
      <c r="AR979" s="36"/>
      <c r="AS979" s="36"/>
      <c r="AT979" s="36"/>
      <c r="AU979" s="36"/>
      <c r="AV979" s="36"/>
      <c r="AW979" s="36"/>
      <c r="AX979" s="36"/>
      <c r="AY979" s="36"/>
      <c r="AZ979" s="36"/>
      <c r="BA979" s="36"/>
      <c r="BB979" s="36"/>
      <c r="BC979" s="36"/>
      <c r="BD979" s="36"/>
      <c r="BE979" s="36"/>
      <c r="BF979" s="36"/>
      <c r="BG979" s="36"/>
      <c r="BH979" s="36"/>
      <c r="BI979" s="36"/>
      <c r="BJ979" s="36"/>
      <c r="BK979" s="36"/>
      <c r="BL979" s="36"/>
      <c r="BM979" s="36"/>
      <c r="BN979" s="36"/>
      <c r="BO979" s="36"/>
      <c r="BP979" s="36"/>
      <c r="BQ979" s="36"/>
    </row>
    <row r="980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51"/>
      <c r="S980" s="51"/>
      <c r="T980" s="51"/>
      <c r="U980" s="51"/>
      <c r="V980" s="51"/>
      <c r="W980" s="51"/>
      <c r="X980" s="51"/>
      <c r="Y980" s="45"/>
      <c r="Z980" s="45"/>
      <c r="AA980" s="45"/>
      <c r="AB980" s="45"/>
      <c r="AC980" s="45"/>
      <c r="AD980" s="45"/>
      <c r="AE980" s="45"/>
      <c r="AF980" s="45"/>
      <c r="AG980" s="45"/>
      <c r="AH980" s="45"/>
      <c r="AI980" s="45"/>
      <c r="AJ980" s="45"/>
      <c r="AK980" s="45"/>
      <c r="AL980" s="45"/>
      <c r="AM980" s="45"/>
      <c r="AN980" s="45"/>
      <c r="AO980" s="45"/>
      <c r="AP980" s="45"/>
      <c r="AQ980" s="36"/>
      <c r="AR980" s="36"/>
      <c r="AS980" s="36"/>
      <c r="AT980" s="36"/>
      <c r="AU980" s="36"/>
      <c r="AV980" s="36"/>
      <c r="AW980" s="36"/>
      <c r="AX980" s="36"/>
      <c r="AY980" s="36"/>
      <c r="AZ980" s="36"/>
      <c r="BA980" s="36"/>
      <c r="BB980" s="36"/>
      <c r="BC980" s="36"/>
      <c r="BD980" s="36"/>
      <c r="BE980" s="36"/>
      <c r="BF980" s="36"/>
      <c r="BG980" s="36"/>
      <c r="BH980" s="36"/>
      <c r="BI980" s="36"/>
      <c r="BJ980" s="36"/>
      <c r="BK980" s="36"/>
      <c r="BL980" s="36"/>
      <c r="BM980" s="36"/>
      <c r="BN980" s="36"/>
      <c r="BO980" s="36"/>
      <c r="BP980" s="36"/>
      <c r="BQ980" s="36"/>
    </row>
    <row r="98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51"/>
      <c r="S981" s="51"/>
      <c r="T981" s="51"/>
      <c r="U981" s="51"/>
      <c r="V981" s="51"/>
      <c r="W981" s="51"/>
      <c r="X981" s="51"/>
      <c r="Y981" s="45"/>
      <c r="Z981" s="45"/>
      <c r="AA981" s="45"/>
      <c r="AB981" s="45"/>
      <c r="AC981" s="45"/>
      <c r="AD981" s="45"/>
      <c r="AE981" s="45"/>
      <c r="AF981" s="45"/>
      <c r="AG981" s="45"/>
      <c r="AH981" s="45"/>
      <c r="AI981" s="45"/>
      <c r="AJ981" s="45"/>
      <c r="AK981" s="45"/>
      <c r="AL981" s="45"/>
      <c r="AM981" s="45"/>
      <c r="AN981" s="45"/>
      <c r="AO981" s="45"/>
      <c r="AP981" s="45"/>
      <c r="AQ981" s="36"/>
      <c r="AR981" s="36"/>
      <c r="AS981" s="36"/>
      <c r="AT981" s="36"/>
      <c r="AU981" s="36"/>
      <c r="AV981" s="36"/>
      <c r="AW981" s="36"/>
      <c r="AX981" s="36"/>
      <c r="AY981" s="36"/>
      <c r="AZ981" s="36"/>
      <c r="BA981" s="36"/>
      <c r="BB981" s="36"/>
      <c r="BC981" s="36"/>
      <c r="BD981" s="36"/>
      <c r="BE981" s="36"/>
      <c r="BF981" s="36"/>
      <c r="BG981" s="36"/>
      <c r="BH981" s="36"/>
      <c r="BI981" s="36"/>
      <c r="BJ981" s="36"/>
      <c r="BK981" s="36"/>
      <c r="BL981" s="36"/>
      <c r="BM981" s="36"/>
      <c r="BN981" s="36"/>
      <c r="BO981" s="36"/>
      <c r="BP981" s="36"/>
      <c r="BQ981" s="36"/>
    </row>
    <row r="982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51"/>
      <c r="S982" s="51"/>
      <c r="T982" s="51"/>
      <c r="U982" s="51"/>
      <c r="V982" s="51"/>
      <c r="W982" s="51"/>
      <c r="X982" s="51"/>
      <c r="Y982" s="45"/>
      <c r="Z982" s="45"/>
      <c r="AA982" s="45"/>
      <c r="AB982" s="45"/>
      <c r="AC982" s="45"/>
      <c r="AD982" s="45"/>
      <c r="AE982" s="45"/>
      <c r="AF982" s="45"/>
      <c r="AG982" s="45"/>
      <c r="AH982" s="45"/>
      <c r="AI982" s="45"/>
      <c r="AJ982" s="45"/>
      <c r="AK982" s="45"/>
      <c r="AL982" s="45"/>
      <c r="AM982" s="45"/>
      <c r="AN982" s="45"/>
      <c r="AO982" s="45"/>
      <c r="AP982" s="45"/>
      <c r="AQ982" s="36"/>
      <c r="AR982" s="36"/>
      <c r="AS982" s="36"/>
      <c r="AT982" s="36"/>
      <c r="AU982" s="36"/>
      <c r="AV982" s="36"/>
      <c r="AW982" s="36"/>
      <c r="AX982" s="36"/>
      <c r="AY982" s="36"/>
      <c r="AZ982" s="36"/>
      <c r="BA982" s="36"/>
      <c r="BB982" s="36"/>
      <c r="BC982" s="36"/>
      <c r="BD982" s="36"/>
      <c r="BE982" s="36"/>
      <c r="BF982" s="36"/>
      <c r="BG982" s="36"/>
      <c r="BH982" s="36"/>
      <c r="BI982" s="36"/>
      <c r="BJ982" s="36"/>
      <c r="BK982" s="36"/>
      <c r="BL982" s="36"/>
      <c r="BM982" s="36"/>
      <c r="BN982" s="36"/>
      <c r="BO982" s="36"/>
      <c r="BP982" s="36"/>
      <c r="BQ982" s="36"/>
    </row>
    <row r="983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51"/>
      <c r="S983" s="51"/>
      <c r="T983" s="51"/>
      <c r="U983" s="51"/>
      <c r="V983" s="51"/>
      <c r="W983" s="51"/>
      <c r="X983" s="51"/>
      <c r="Y983" s="45"/>
      <c r="Z983" s="45"/>
      <c r="AA983" s="45"/>
      <c r="AB983" s="45"/>
      <c r="AC983" s="45"/>
      <c r="AD983" s="45"/>
      <c r="AE983" s="45"/>
      <c r="AF983" s="45"/>
      <c r="AG983" s="45"/>
      <c r="AH983" s="45"/>
      <c r="AI983" s="45"/>
      <c r="AJ983" s="45"/>
      <c r="AK983" s="45"/>
      <c r="AL983" s="45"/>
      <c r="AM983" s="45"/>
      <c r="AN983" s="45"/>
      <c r="AO983" s="45"/>
      <c r="AP983" s="45"/>
      <c r="AQ983" s="36"/>
      <c r="AR983" s="36"/>
      <c r="AS983" s="36"/>
      <c r="AT983" s="36"/>
      <c r="AU983" s="36"/>
      <c r="AV983" s="36"/>
      <c r="AW983" s="36"/>
      <c r="AX983" s="36"/>
      <c r="AY983" s="36"/>
      <c r="AZ983" s="36"/>
      <c r="BA983" s="36"/>
      <c r="BB983" s="36"/>
      <c r="BC983" s="36"/>
      <c r="BD983" s="36"/>
      <c r="BE983" s="36"/>
      <c r="BF983" s="36"/>
      <c r="BG983" s="36"/>
      <c r="BH983" s="36"/>
      <c r="BI983" s="36"/>
      <c r="BJ983" s="36"/>
      <c r="BK983" s="36"/>
      <c r="BL983" s="36"/>
      <c r="BM983" s="36"/>
      <c r="BN983" s="36"/>
      <c r="BO983" s="36"/>
      <c r="BP983" s="36"/>
      <c r="BQ983" s="36"/>
    </row>
    <row r="984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51"/>
      <c r="S984" s="51"/>
      <c r="T984" s="51"/>
      <c r="U984" s="51"/>
      <c r="V984" s="51"/>
      <c r="W984" s="51"/>
      <c r="X984" s="51"/>
      <c r="Y984" s="45"/>
      <c r="Z984" s="45"/>
      <c r="AA984" s="45"/>
      <c r="AB984" s="45"/>
      <c r="AC984" s="45"/>
      <c r="AD984" s="45"/>
      <c r="AE984" s="45"/>
      <c r="AF984" s="45"/>
      <c r="AG984" s="45"/>
      <c r="AH984" s="45"/>
      <c r="AI984" s="45"/>
      <c r="AJ984" s="45"/>
      <c r="AK984" s="45"/>
      <c r="AL984" s="45"/>
      <c r="AM984" s="45"/>
      <c r="AN984" s="45"/>
      <c r="AO984" s="45"/>
      <c r="AP984" s="45"/>
      <c r="AQ984" s="36"/>
      <c r="AR984" s="36"/>
      <c r="AS984" s="36"/>
      <c r="AT984" s="36"/>
      <c r="AU984" s="36"/>
      <c r="AV984" s="36"/>
      <c r="AW984" s="36"/>
      <c r="AX984" s="36"/>
      <c r="AY984" s="36"/>
      <c r="AZ984" s="36"/>
      <c r="BA984" s="36"/>
      <c r="BB984" s="36"/>
      <c r="BC984" s="36"/>
      <c r="BD984" s="36"/>
      <c r="BE984" s="36"/>
      <c r="BF984" s="36"/>
      <c r="BG984" s="36"/>
      <c r="BH984" s="36"/>
      <c r="BI984" s="36"/>
      <c r="BJ984" s="36"/>
      <c r="BK984" s="36"/>
      <c r="BL984" s="36"/>
      <c r="BM984" s="36"/>
      <c r="BN984" s="36"/>
      <c r="BO984" s="36"/>
      <c r="BP984" s="36"/>
      <c r="BQ984" s="36"/>
    </row>
    <row r="985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51"/>
      <c r="S985" s="51"/>
      <c r="T985" s="51"/>
      <c r="U985" s="51"/>
      <c r="V985" s="51"/>
      <c r="W985" s="51"/>
      <c r="X985" s="51"/>
      <c r="Y985" s="45"/>
      <c r="Z985" s="45"/>
      <c r="AA985" s="45"/>
      <c r="AB985" s="45"/>
      <c r="AC985" s="45"/>
      <c r="AD985" s="45"/>
      <c r="AE985" s="45"/>
      <c r="AF985" s="45"/>
      <c r="AG985" s="45"/>
      <c r="AH985" s="45"/>
      <c r="AI985" s="45"/>
      <c r="AJ985" s="45"/>
      <c r="AK985" s="45"/>
      <c r="AL985" s="45"/>
      <c r="AM985" s="45"/>
      <c r="AN985" s="45"/>
      <c r="AO985" s="45"/>
      <c r="AP985" s="45"/>
      <c r="AQ985" s="36"/>
      <c r="AR985" s="36"/>
      <c r="AS985" s="36"/>
      <c r="AT985" s="36"/>
      <c r="AU985" s="36"/>
      <c r="AV985" s="36"/>
      <c r="AW985" s="36"/>
      <c r="AX985" s="36"/>
      <c r="AY985" s="36"/>
      <c r="AZ985" s="36"/>
      <c r="BA985" s="36"/>
      <c r="BB985" s="36"/>
      <c r="BC985" s="36"/>
      <c r="BD985" s="36"/>
      <c r="BE985" s="36"/>
      <c r="BF985" s="36"/>
      <c r="BG985" s="36"/>
      <c r="BH985" s="36"/>
      <c r="BI985" s="36"/>
      <c r="BJ985" s="36"/>
      <c r="BK985" s="36"/>
      <c r="BL985" s="36"/>
      <c r="BM985" s="36"/>
      <c r="BN985" s="36"/>
      <c r="BO985" s="36"/>
      <c r="BP985" s="36"/>
      <c r="BQ985" s="36"/>
    </row>
    <row r="986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51"/>
      <c r="S986" s="51"/>
      <c r="T986" s="51"/>
      <c r="U986" s="51"/>
      <c r="V986" s="51"/>
      <c r="W986" s="51"/>
      <c r="X986" s="51"/>
      <c r="Y986" s="45"/>
      <c r="Z986" s="45"/>
      <c r="AA986" s="45"/>
      <c r="AB986" s="45"/>
      <c r="AC986" s="45"/>
      <c r="AD986" s="45"/>
      <c r="AE986" s="45"/>
      <c r="AF986" s="45"/>
      <c r="AG986" s="45"/>
      <c r="AH986" s="45"/>
      <c r="AI986" s="45"/>
      <c r="AJ986" s="45"/>
      <c r="AK986" s="45"/>
      <c r="AL986" s="45"/>
      <c r="AM986" s="45"/>
      <c r="AN986" s="45"/>
      <c r="AO986" s="45"/>
      <c r="AP986" s="45"/>
      <c r="AQ986" s="36"/>
      <c r="AR986" s="36"/>
      <c r="AS986" s="36"/>
      <c r="AT986" s="36"/>
      <c r="AU986" s="36"/>
      <c r="AV986" s="36"/>
      <c r="AW986" s="36"/>
      <c r="AX986" s="36"/>
      <c r="AY986" s="36"/>
      <c r="AZ986" s="36"/>
      <c r="BA986" s="36"/>
      <c r="BB986" s="36"/>
      <c r="BC986" s="36"/>
      <c r="BD986" s="36"/>
      <c r="BE986" s="36"/>
      <c r="BF986" s="36"/>
      <c r="BG986" s="36"/>
      <c r="BH986" s="36"/>
      <c r="BI986" s="36"/>
      <c r="BJ986" s="36"/>
      <c r="BK986" s="36"/>
      <c r="BL986" s="36"/>
      <c r="BM986" s="36"/>
      <c r="BN986" s="36"/>
      <c r="BO986" s="36"/>
      <c r="BP986" s="36"/>
      <c r="BQ986" s="36"/>
    </row>
    <row r="987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51"/>
      <c r="S987" s="51"/>
      <c r="T987" s="51"/>
      <c r="U987" s="51"/>
      <c r="V987" s="51"/>
      <c r="W987" s="51"/>
      <c r="X987" s="51"/>
      <c r="Y987" s="45"/>
      <c r="Z987" s="45"/>
      <c r="AA987" s="45"/>
      <c r="AB987" s="45"/>
      <c r="AC987" s="45"/>
      <c r="AD987" s="45"/>
      <c r="AE987" s="45"/>
      <c r="AF987" s="45"/>
      <c r="AG987" s="45"/>
      <c r="AH987" s="45"/>
      <c r="AI987" s="45"/>
      <c r="AJ987" s="45"/>
      <c r="AK987" s="45"/>
      <c r="AL987" s="45"/>
      <c r="AM987" s="45"/>
      <c r="AN987" s="45"/>
      <c r="AO987" s="45"/>
      <c r="AP987" s="45"/>
      <c r="AQ987" s="36"/>
      <c r="AR987" s="36"/>
      <c r="AS987" s="36"/>
      <c r="AT987" s="36"/>
      <c r="AU987" s="36"/>
      <c r="AV987" s="36"/>
      <c r="AW987" s="36"/>
      <c r="AX987" s="36"/>
      <c r="AY987" s="36"/>
      <c r="AZ987" s="36"/>
      <c r="BA987" s="36"/>
      <c r="BB987" s="36"/>
      <c r="BC987" s="36"/>
      <c r="BD987" s="36"/>
      <c r="BE987" s="36"/>
      <c r="BF987" s="36"/>
      <c r="BG987" s="36"/>
      <c r="BH987" s="36"/>
      <c r="BI987" s="36"/>
      <c r="BJ987" s="36"/>
      <c r="BK987" s="36"/>
      <c r="BL987" s="36"/>
      <c r="BM987" s="36"/>
      <c r="BN987" s="36"/>
      <c r="BO987" s="36"/>
      <c r="BP987" s="36"/>
      <c r="BQ987" s="36"/>
    </row>
    <row r="988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51"/>
      <c r="S988" s="51"/>
      <c r="T988" s="51"/>
      <c r="U988" s="51"/>
      <c r="V988" s="51"/>
      <c r="W988" s="51"/>
      <c r="X988" s="51"/>
      <c r="Y988" s="45"/>
      <c r="Z988" s="45"/>
      <c r="AA988" s="45"/>
      <c r="AB988" s="45"/>
      <c r="AC988" s="45"/>
      <c r="AD988" s="45"/>
      <c r="AE988" s="45"/>
      <c r="AF988" s="45"/>
      <c r="AG988" s="45"/>
      <c r="AH988" s="45"/>
      <c r="AI988" s="45"/>
      <c r="AJ988" s="45"/>
      <c r="AK988" s="45"/>
      <c r="AL988" s="45"/>
      <c r="AM988" s="45"/>
      <c r="AN988" s="45"/>
      <c r="AO988" s="45"/>
      <c r="AP988" s="45"/>
      <c r="AQ988" s="36"/>
      <c r="AR988" s="36"/>
      <c r="AS988" s="36"/>
      <c r="AT988" s="36"/>
      <c r="AU988" s="36"/>
      <c r="AV988" s="36"/>
      <c r="AW988" s="36"/>
      <c r="AX988" s="36"/>
      <c r="AY988" s="36"/>
      <c r="AZ988" s="36"/>
      <c r="BA988" s="36"/>
      <c r="BB988" s="36"/>
      <c r="BC988" s="36"/>
      <c r="BD988" s="36"/>
      <c r="BE988" s="36"/>
      <c r="BF988" s="36"/>
      <c r="BG988" s="36"/>
      <c r="BH988" s="36"/>
      <c r="BI988" s="36"/>
      <c r="BJ988" s="36"/>
      <c r="BK988" s="36"/>
      <c r="BL988" s="36"/>
      <c r="BM988" s="36"/>
      <c r="BN988" s="36"/>
      <c r="BO988" s="36"/>
      <c r="BP988" s="36"/>
      <c r="BQ988" s="36"/>
    </row>
    <row r="989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51"/>
      <c r="S989" s="51"/>
      <c r="T989" s="51"/>
      <c r="U989" s="51"/>
      <c r="V989" s="51"/>
      <c r="W989" s="51"/>
      <c r="X989" s="51"/>
      <c r="Y989" s="45"/>
      <c r="Z989" s="45"/>
      <c r="AA989" s="45"/>
      <c r="AB989" s="45"/>
      <c r="AC989" s="45"/>
      <c r="AD989" s="45"/>
      <c r="AE989" s="45"/>
      <c r="AF989" s="45"/>
      <c r="AG989" s="45"/>
      <c r="AH989" s="45"/>
      <c r="AI989" s="45"/>
      <c r="AJ989" s="45"/>
      <c r="AK989" s="45"/>
      <c r="AL989" s="45"/>
      <c r="AM989" s="45"/>
      <c r="AN989" s="45"/>
      <c r="AO989" s="45"/>
      <c r="AP989" s="45"/>
      <c r="AQ989" s="36"/>
      <c r="AR989" s="36"/>
      <c r="AS989" s="36"/>
      <c r="AT989" s="36"/>
      <c r="AU989" s="36"/>
      <c r="AV989" s="36"/>
      <c r="AW989" s="36"/>
      <c r="AX989" s="36"/>
      <c r="AY989" s="36"/>
      <c r="AZ989" s="36"/>
      <c r="BA989" s="36"/>
      <c r="BB989" s="36"/>
      <c r="BC989" s="36"/>
      <c r="BD989" s="36"/>
      <c r="BE989" s="36"/>
      <c r="BF989" s="36"/>
      <c r="BG989" s="36"/>
      <c r="BH989" s="36"/>
      <c r="BI989" s="36"/>
      <c r="BJ989" s="36"/>
      <c r="BK989" s="36"/>
      <c r="BL989" s="36"/>
      <c r="BM989" s="36"/>
      <c r="BN989" s="36"/>
      <c r="BO989" s="36"/>
      <c r="BP989" s="36"/>
      <c r="BQ989" s="36"/>
    </row>
    <row r="990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51"/>
      <c r="S990" s="51"/>
      <c r="T990" s="51"/>
      <c r="U990" s="51"/>
      <c r="V990" s="51"/>
      <c r="W990" s="51"/>
      <c r="X990" s="51"/>
      <c r="Y990" s="45"/>
      <c r="Z990" s="45"/>
      <c r="AA990" s="45"/>
      <c r="AB990" s="45"/>
      <c r="AC990" s="45"/>
      <c r="AD990" s="45"/>
      <c r="AE990" s="45"/>
      <c r="AF990" s="45"/>
      <c r="AG990" s="45"/>
      <c r="AH990" s="45"/>
      <c r="AI990" s="45"/>
      <c r="AJ990" s="45"/>
      <c r="AK990" s="45"/>
      <c r="AL990" s="45"/>
      <c r="AM990" s="45"/>
      <c r="AN990" s="45"/>
      <c r="AO990" s="45"/>
      <c r="AP990" s="45"/>
      <c r="AQ990" s="36"/>
      <c r="AR990" s="36"/>
      <c r="AS990" s="36"/>
      <c r="AT990" s="36"/>
      <c r="AU990" s="36"/>
      <c r="AV990" s="36"/>
      <c r="AW990" s="36"/>
      <c r="AX990" s="36"/>
      <c r="AY990" s="36"/>
      <c r="AZ990" s="36"/>
      <c r="BA990" s="36"/>
      <c r="BB990" s="36"/>
      <c r="BC990" s="36"/>
      <c r="BD990" s="36"/>
      <c r="BE990" s="36"/>
      <c r="BF990" s="36"/>
      <c r="BG990" s="36"/>
      <c r="BH990" s="36"/>
      <c r="BI990" s="36"/>
      <c r="BJ990" s="36"/>
      <c r="BK990" s="36"/>
      <c r="BL990" s="36"/>
      <c r="BM990" s="36"/>
      <c r="BN990" s="36"/>
      <c r="BO990" s="36"/>
      <c r="BP990" s="36"/>
      <c r="BQ990" s="36"/>
    </row>
    <row r="99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51"/>
      <c r="S991" s="51"/>
      <c r="T991" s="51"/>
      <c r="U991" s="51"/>
      <c r="V991" s="51"/>
      <c r="W991" s="51"/>
      <c r="X991" s="51"/>
      <c r="Y991" s="45"/>
      <c r="Z991" s="45"/>
      <c r="AA991" s="45"/>
      <c r="AB991" s="45"/>
      <c r="AC991" s="45"/>
      <c r="AD991" s="45"/>
      <c r="AE991" s="45"/>
      <c r="AF991" s="45"/>
      <c r="AG991" s="45"/>
      <c r="AH991" s="45"/>
      <c r="AI991" s="45"/>
      <c r="AJ991" s="45"/>
      <c r="AK991" s="45"/>
      <c r="AL991" s="45"/>
      <c r="AM991" s="45"/>
      <c r="AN991" s="45"/>
      <c r="AO991" s="45"/>
      <c r="AP991" s="45"/>
      <c r="AQ991" s="36"/>
      <c r="AR991" s="36"/>
      <c r="AS991" s="36"/>
      <c r="AT991" s="36"/>
      <c r="AU991" s="36"/>
      <c r="AV991" s="36"/>
      <c r="AW991" s="36"/>
      <c r="AX991" s="36"/>
      <c r="AY991" s="36"/>
      <c r="AZ991" s="36"/>
      <c r="BA991" s="36"/>
      <c r="BB991" s="36"/>
      <c r="BC991" s="36"/>
      <c r="BD991" s="36"/>
      <c r="BE991" s="36"/>
      <c r="BF991" s="36"/>
      <c r="BG991" s="36"/>
      <c r="BH991" s="36"/>
      <c r="BI991" s="36"/>
      <c r="BJ991" s="36"/>
      <c r="BK991" s="36"/>
      <c r="BL991" s="36"/>
      <c r="BM991" s="36"/>
      <c r="BN991" s="36"/>
      <c r="BO991" s="36"/>
      <c r="BP991" s="36"/>
      <c r="BQ991" s="36"/>
    </row>
    <row r="992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51"/>
      <c r="S992" s="51"/>
      <c r="T992" s="51"/>
      <c r="U992" s="51"/>
      <c r="V992" s="51"/>
      <c r="W992" s="51"/>
      <c r="X992" s="51"/>
      <c r="Y992" s="45"/>
      <c r="Z992" s="45"/>
      <c r="AA992" s="45"/>
      <c r="AB992" s="45"/>
      <c r="AC992" s="45"/>
      <c r="AD992" s="45"/>
      <c r="AE992" s="45"/>
      <c r="AF992" s="45"/>
      <c r="AG992" s="45"/>
      <c r="AH992" s="45"/>
      <c r="AI992" s="45"/>
      <c r="AJ992" s="45"/>
      <c r="AK992" s="45"/>
      <c r="AL992" s="45"/>
      <c r="AM992" s="45"/>
      <c r="AN992" s="45"/>
      <c r="AO992" s="45"/>
      <c r="AP992" s="45"/>
      <c r="AQ992" s="36"/>
      <c r="AR992" s="36"/>
      <c r="AS992" s="36"/>
      <c r="AT992" s="36"/>
      <c r="AU992" s="36"/>
      <c r="AV992" s="36"/>
      <c r="AW992" s="36"/>
      <c r="AX992" s="36"/>
      <c r="AY992" s="36"/>
      <c r="AZ992" s="36"/>
      <c r="BA992" s="36"/>
      <c r="BB992" s="36"/>
      <c r="BC992" s="36"/>
      <c r="BD992" s="36"/>
      <c r="BE992" s="36"/>
      <c r="BF992" s="36"/>
      <c r="BG992" s="36"/>
      <c r="BH992" s="36"/>
      <c r="BI992" s="36"/>
      <c r="BJ992" s="36"/>
      <c r="BK992" s="36"/>
      <c r="BL992" s="36"/>
      <c r="BM992" s="36"/>
      <c r="BN992" s="36"/>
      <c r="BO992" s="36"/>
      <c r="BP992" s="36"/>
      <c r="BQ992" s="36"/>
    </row>
    <row r="993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51"/>
      <c r="S993" s="51"/>
      <c r="T993" s="51"/>
      <c r="U993" s="51"/>
      <c r="V993" s="51"/>
      <c r="W993" s="51"/>
      <c r="X993" s="51"/>
      <c r="Y993" s="45"/>
      <c r="Z993" s="45"/>
      <c r="AA993" s="45"/>
      <c r="AB993" s="45"/>
      <c r="AC993" s="45"/>
      <c r="AD993" s="45"/>
      <c r="AE993" s="45"/>
      <c r="AF993" s="45"/>
      <c r="AG993" s="45"/>
      <c r="AH993" s="45"/>
      <c r="AI993" s="45"/>
      <c r="AJ993" s="45"/>
      <c r="AK993" s="45"/>
      <c r="AL993" s="45"/>
      <c r="AM993" s="45"/>
      <c r="AN993" s="45"/>
      <c r="AO993" s="45"/>
      <c r="AP993" s="45"/>
      <c r="AQ993" s="36"/>
      <c r="AR993" s="36"/>
      <c r="AS993" s="36"/>
      <c r="AT993" s="36"/>
      <c r="AU993" s="36"/>
      <c r="AV993" s="36"/>
      <c r="AW993" s="36"/>
      <c r="AX993" s="36"/>
      <c r="AY993" s="36"/>
      <c r="AZ993" s="36"/>
      <c r="BA993" s="36"/>
      <c r="BB993" s="36"/>
      <c r="BC993" s="36"/>
      <c r="BD993" s="36"/>
      <c r="BE993" s="36"/>
      <c r="BF993" s="36"/>
      <c r="BG993" s="36"/>
      <c r="BH993" s="36"/>
      <c r="BI993" s="36"/>
      <c r="BJ993" s="36"/>
      <c r="BK993" s="36"/>
      <c r="BL993" s="36"/>
      <c r="BM993" s="36"/>
      <c r="BN993" s="36"/>
      <c r="BO993" s="36"/>
      <c r="BP993" s="36"/>
      <c r="BQ993" s="36"/>
    </row>
    <row r="994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51"/>
      <c r="S994" s="51"/>
      <c r="T994" s="51"/>
      <c r="U994" s="51"/>
      <c r="V994" s="51"/>
      <c r="W994" s="51"/>
      <c r="X994" s="51"/>
      <c r="Y994" s="45"/>
      <c r="Z994" s="45"/>
      <c r="AA994" s="45"/>
      <c r="AB994" s="45"/>
      <c r="AC994" s="45"/>
      <c r="AD994" s="45"/>
      <c r="AE994" s="45"/>
      <c r="AF994" s="45"/>
      <c r="AG994" s="45"/>
      <c r="AH994" s="45"/>
      <c r="AI994" s="45"/>
      <c r="AJ994" s="45"/>
      <c r="AK994" s="45"/>
      <c r="AL994" s="45"/>
      <c r="AM994" s="45"/>
      <c r="AN994" s="45"/>
      <c r="AO994" s="45"/>
      <c r="AP994" s="45"/>
      <c r="AQ994" s="36"/>
      <c r="AR994" s="36"/>
      <c r="AS994" s="36"/>
      <c r="AT994" s="36"/>
      <c r="AU994" s="36"/>
      <c r="AV994" s="36"/>
      <c r="AW994" s="36"/>
      <c r="AX994" s="36"/>
      <c r="AY994" s="36"/>
      <c r="AZ994" s="36"/>
      <c r="BA994" s="36"/>
      <c r="BB994" s="36"/>
      <c r="BC994" s="36"/>
      <c r="BD994" s="36"/>
      <c r="BE994" s="36"/>
      <c r="BF994" s="36"/>
      <c r="BG994" s="36"/>
      <c r="BH994" s="36"/>
      <c r="BI994" s="36"/>
      <c r="BJ994" s="36"/>
      <c r="BK994" s="36"/>
      <c r="BL994" s="36"/>
      <c r="BM994" s="36"/>
      <c r="BN994" s="36"/>
      <c r="BO994" s="36"/>
      <c r="BP994" s="36"/>
      <c r="BQ994" s="36"/>
    </row>
    <row r="995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51"/>
      <c r="S995" s="51"/>
      <c r="T995" s="51"/>
      <c r="U995" s="51"/>
      <c r="V995" s="51"/>
      <c r="W995" s="51"/>
      <c r="X995" s="51"/>
      <c r="Y995" s="45"/>
      <c r="Z995" s="45"/>
      <c r="AA995" s="45"/>
      <c r="AB995" s="45"/>
      <c r="AC995" s="45"/>
      <c r="AD995" s="45"/>
      <c r="AE995" s="45"/>
      <c r="AF995" s="45"/>
      <c r="AG995" s="45"/>
      <c r="AH995" s="45"/>
      <c r="AI995" s="45"/>
      <c r="AJ995" s="45"/>
      <c r="AK995" s="45"/>
      <c r="AL995" s="45"/>
      <c r="AM995" s="45"/>
      <c r="AN995" s="45"/>
      <c r="AO995" s="45"/>
      <c r="AP995" s="45"/>
      <c r="AQ995" s="36"/>
      <c r="AR995" s="36"/>
      <c r="AS995" s="36"/>
      <c r="AT995" s="36"/>
      <c r="AU995" s="36"/>
      <c r="AV995" s="36"/>
      <c r="AW995" s="36"/>
      <c r="AX995" s="36"/>
      <c r="AY995" s="36"/>
      <c r="AZ995" s="36"/>
      <c r="BA995" s="36"/>
      <c r="BB995" s="36"/>
      <c r="BC995" s="36"/>
      <c r="BD995" s="36"/>
      <c r="BE995" s="36"/>
      <c r="BF995" s="36"/>
      <c r="BG995" s="36"/>
      <c r="BH995" s="36"/>
      <c r="BI995" s="36"/>
      <c r="BJ995" s="36"/>
      <c r="BK995" s="36"/>
      <c r="BL995" s="36"/>
      <c r="BM995" s="36"/>
      <c r="BN995" s="36"/>
      <c r="BO995" s="36"/>
      <c r="BP995" s="36"/>
      <c r="BQ995" s="36"/>
    </row>
    <row r="996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51"/>
      <c r="S996" s="51"/>
      <c r="T996" s="51"/>
      <c r="U996" s="51"/>
      <c r="V996" s="51"/>
      <c r="W996" s="51"/>
      <c r="X996" s="51"/>
      <c r="Y996" s="45"/>
      <c r="Z996" s="45"/>
      <c r="AA996" s="45"/>
      <c r="AB996" s="45"/>
      <c r="AC996" s="45"/>
      <c r="AD996" s="45"/>
      <c r="AE996" s="45"/>
      <c r="AF996" s="45"/>
      <c r="AG996" s="45"/>
      <c r="AH996" s="45"/>
      <c r="AI996" s="45"/>
      <c r="AJ996" s="45"/>
      <c r="AK996" s="45"/>
      <c r="AL996" s="45"/>
      <c r="AM996" s="45"/>
      <c r="AN996" s="45"/>
      <c r="AO996" s="45"/>
      <c r="AP996" s="45"/>
      <c r="AQ996" s="36"/>
      <c r="AR996" s="36"/>
      <c r="AS996" s="36"/>
      <c r="AT996" s="36"/>
      <c r="AU996" s="36"/>
      <c r="AV996" s="36"/>
      <c r="AW996" s="36"/>
      <c r="AX996" s="36"/>
      <c r="AY996" s="36"/>
      <c r="AZ996" s="36"/>
      <c r="BA996" s="36"/>
      <c r="BB996" s="36"/>
      <c r="BC996" s="36"/>
      <c r="BD996" s="36"/>
      <c r="BE996" s="36"/>
      <c r="BF996" s="36"/>
      <c r="BG996" s="36"/>
      <c r="BH996" s="36"/>
      <c r="BI996" s="36"/>
      <c r="BJ996" s="36"/>
      <c r="BK996" s="36"/>
      <c r="BL996" s="36"/>
      <c r="BM996" s="36"/>
      <c r="BN996" s="36"/>
      <c r="BO996" s="36"/>
      <c r="BP996" s="36"/>
      <c r="BQ996" s="36"/>
    </row>
    <row r="997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51"/>
      <c r="S997" s="51"/>
      <c r="T997" s="51"/>
      <c r="U997" s="51"/>
      <c r="V997" s="51"/>
      <c r="W997" s="51"/>
      <c r="X997" s="51"/>
      <c r="Y997" s="45"/>
      <c r="Z997" s="45"/>
      <c r="AA997" s="45"/>
      <c r="AB997" s="45"/>
      <c r="AC997" s="45"/>
      <c r="AD997" s="45"/>
      <c r="AE997" s="45"/>
      <c r="AF997" s="45"/>
      <c r="AG997" s="45"/>
      <c r="AH997" s="45"/>
      <c r="AI997" s="45"/>
      <c r="AJ997" s="45"/>
      <c r="AK997" s="45"/>
      <c r="AL997" s="45"/>
      <c r="AM997" s="45"/>
      <c r="AN997" s="45"/>
      <c r="AO997" s="45"/>
      <c r="AP997" s="45"/>
      <c r="AQ997" s="36"/>
      <c r="AR997" s="36"/>
      <c r="AS997" s="36"/>
      <c r="AT997" s="36"/>
      <c r="AU997" s="36"/>
      <c r="AV997" s="36"/>
      <c r="AW997" s="36"/>
      <c r="AX997" s="36"/>
      <c r="AY997" s="36"/>
      <c r="AZ997" s="36"/>
      <c r="BA997" s="36"/>
      <c r="BB997" s="36"/>
      <c r="BC997" s="36"/>
      <c r="BD997" s="36"/>
      <c r="BE997" s="36"/>
      <c r="BF997" s="36"/>
      <c r="BG997" s="36"/>
      <c r="BH997" s="36"/>
      <c r="BI997" s="36"/>
      <c r="BJ997" s="36"/>
      <c r="BK997" s="36"/>
      <c r="BL997" s="36"/>
      <c r="BM997" s="36"/>
      <c r="BN997" s="36"/>
      <c r="BO997" s="36"/>
      <c r="BP997" s="36"/>
      <c r="BQ997" s="36"/>
    </row>
    <row r="998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51"/>
      <c r="S998" s="51"/>
      <c r="T998" s="51"/>
      <c r="U998" s="51"/>
      <c r="V998" s="51"/>
      <c r="W998" s="51"/>
      <c r="X998" s="51"/>
      <c r="Y998" s="45"/>
      <c r="Z998" s="45"/>
      <c r="AA998" s="45"/>
      <c r="AB998" s="45"/>
      <c r="AC998" s="45"/>
      <c r="AD998" s="45"/>
      <c r="AE998" s="45"/>
      <c r="AF998" s="45"/>
      <c r="AG998" s="45"/>
      <c r="AH998" s="45"/>
      <c r="AI998" s="45"/>
      <c r="AJ998" s="45"/>
      <c r="AK998" s="45"/>
      <c r="AL998" s="45"/>
      <c r="AM998" s="45"/>
      <c r="AN998" s="45"/>
      <c r="AO998" s="45"/>
      <c r="AP998" s="45"/>
      <c r="AQ998" s="36"/>
      <c r="AR998" s="36"/>
      <c r="AS998" s="36"/>
      <c r="AT998" s="36"/>
      <c r="AU998" s="36"/>
      <c r="AV998" s="36"/>
      <c r="AW998" s="36"/>
      <c r="AX998" s="36"/>
      <c r="AY998" s="36"/>
      <c r="AZ998" s="36"/>
      <c r="BA998" s="36"/>
      <c r="BB998" s="36"/>
      <c r="BC998" s="36"/>
      <c r="BD998" s="36"/>
      <c r="BE998" s="36"/>
      <c r="BF998" s="36"/>
      <c r="BG998" s="36"/>
      <c r="BH998" s="36"/>
      <c r="BI998" s="36"/>
      <c r="BJ998" s="36"/>
      <c r="BK998" s="36"/>
      <c r="BL998" s="36"/>
      <c r="BM998" s="36"/>
      <c r="BN998" s="36"/>
      <c r="BO998" s="36"/>
      <c r="BP998" s="36"/>
      <c r="BQ998" s="36"/>
    </row>
    <row r="999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51"/>
      <c r="S999" s="51"/>
      <c r="T999" s="51"/>
      <c r="U999" s="51"/>
      <c r="V999" s="51"/>
      <c r="W999" s="51"/>
      <c r="X999" s="51"/>
      <c r="Y999" s="45"/>
      <c r="Z999" s="45"/>
      <c r="AA999" s="45"/>
      <c r="AB999" s="45"/>
      <c r="AC999" s="45"/>
      <c r="AD999" s="45"/>
      <c r="AE999" s="45"/>
      <c r="AF999" s="45"/>
      <c r="AG999" s="45"/>
      <c r="AH999" s="45"/>
      <c r="AI999" s="45"/>
      <c r="AJ999" s="45"/>
      <c r="AK999" s="45"/>
      <c r="AL999" s="45"/>
      <c r="AM999" s="45"/>
      <c r="AN999" s="45"/>
      <c r="AO999" s="45"/>
      <c r="AP999" s="45"/>
      <c r="AQ999" s="36"/>
      <c r="AR999" s="36"/>
      <c r="AS999" s="36"/>
      <c r="AT999" s="36"/>
      <c r="AU999" s="36"/>
      <c r="AV999" s="36"/>
      <c r="AW999" s="36"/>
      <c r="AX999" s="36"/>
      <c r="AY999" s="36"/>
      <c r="AZ999" s="36"/>
      <c r="BA999" s="36"/>
      <c r="BB999" s="36"/>
      <c r="BC999" s="36"/>
      <c r="BD999" s="36"/>
      <c r="BE999" s="36"/>
      <c r="BF999" s="36"/>
      <c r="BG999" s="36"/>
      <c r="BH999" s="36"/>
      <c r="BI999" s="36"/>
      <c r="BJ999" s="36"/>
      <c r="BK999" s="36"/>
      <c r="BL999" s="36"/>
      <c r="BM999" s="36"/>
      <c r="BN999" s="36"/>
      <c r="BO999" s="36"/>
      <c r="BP999" s="36"/>
      <c r="BQ999" s="36"/>
    </row>
    <row r="1000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51"/>
      <c r="S1000" s="51"/>
      <c r="T1000" s="51"/>
      <c r="U1000" s="51"/>
      <c r="V1000" s="51"/>
      <c r="W1000" s="51"/>
      <c r="X1000" s="51"/>
      <c r="Y1000" s="45"/>
      <c r="Z1000" s="45"/>
      <c r="AA1000" s="45"/>
      <c r="AB1000" s="45"/>
      <c r="AC1000" s="45"/>
      <c r="AD1000" s="45"/>
      <c r="AE1000" s="45"/>
      <c r="AF1000" s="45"/>
      <c r="AG1000" s="45"/>
      <c r="AH1000" s="45"/>
      <c r="AI1000" s="45"/>
      <c r="AJ1000" s="45"/>
      <c r="AK1000" s="45"/>
      <c r="AL1000" s="45"/>
      <c r="AM1000" s="45"/>
      <c r="AN1000" s="45"/>
      <c r="AO1000" s="45"/>
      <c r="AP1000" s="45"/>
      <c r="AQ1000" s="36"/>
      <c r="AR1000" s="36"/>
      <c r="AS1000" s="36"/>
      <c r="AT1000" s="36"/>
      <c r="AU1000" s="36"/>
      <c r="AV1000" s="36"/>
      <c r="AW1000" s="36"/>
      <c r="AX1000" s="36"/>
      <c r="AY1000" s="36"/>
      <c r="AZ1000" s="36"/>
      <c r="BA1000" s="36"/>
      <c r="BB1000" s="36"/>
      <c r="BC1000" s="36"/>
      <c r="BD1000" s="36"/>
      <c r="BE1000" s="36"/>
      <c r="BF1000" s="36"/>
      <c r="BG1000" s="36"/>
      <c r="BH1000" s="36"/>
      <c r="BI1000" s="36"/>
      <c r="BJ1000" s="36"/>
      <c r="BK1000" s="36"/>
      <c r="BL1000" s="36"/>
      <c r="BM1000" s="36"/>
      <c r="BN1000" s="36"/>
      <c r="BO1000" s="36"/>
      <c r="BP1000" s="36"/>
      <c r="BQ1000" s="36"/>
    </row>
    <row r="1001">
      <c r="A1001" s="45"/>
      <c r="B1001" s="45"/>
      <c r="C1001" s="45"/>
      <c r="D1001" s="45"/>
      <c r="E1001" s="45"/>
      <c r="F1001" s="45"/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51"/>
      <c r="S1001" s="51"/>
      <c r="T1001" s="51"/>
      <c r="U1001" s="51"/>
      <c r="V1001" s="51"/>
      <c r="W1001" s="51"/>
      <c r="X1001" s="51"/>
      <c r="Y1001" s="45"/>
      <c r="Z1001" s="45"/>
      <c r="AA1001" s="45"/>
      <c r="AB1001" s="45"/>
      <c r="AC1001" s="45"/>
      <c r="AD1001" s="45"/>
      <c r="AE1001" s="45"/>
      <c r="AF1001" s="45"/>
      <c r="AG1001" s="45"/>
      <c r="AH1001" s="45"/>
      <c r="AI1001" s="45"/>
      <c r="AJ1001" s="45"/>
      <c r="AK1001" s="45"/>
      <c r="AL1001" s="45"/>
      <c r="AM1001" s="45"/>
      <c r="AN1001" s="45"/>
      <c r="AO1001" s="45"/>
      <c r="AP1001" s="45"/>
      <c r="AQ1001" s="36"/>
      <c r="AR1001" s="36"/>
      <c r="AS1001" s="36"/>
      <c r="AT1001" s="36"/>
      <c r="AU1001" s="36"/>
      <c r="AV1001" s="36"/>
      <c r="AW1001" s="36"/>
      <c r="AX1001" s="36"/>
      <c r="AY1001" s="36"/>
      <c r="AZ1001" s="36"/>
      <c r="BA1001" s="36"/>
      <c r="BB1001" s="36"/>
      <c r="BC1001" s="36"/>
      <c r="BD1001" s="36"/>
      <c r="BE1001" s="36"/>
      <c r="BF1001" s="36"/>
      <c r="BG1001" s="36"/>
      <c r="BH1001" s="36"/>
      <c r="BI1001" s="36"/>
      <c r="BJ1001" s="36"/>
      <c r="BK1001" s="36"/>
      <c r="BL1001" s="36"/>
      <c r="BM1001" s="36"/>
      <c r="BN1001" s="36"/>
      <c r="BO1001" s="36"/>
      <c r="BP1001" s="36"/>
      <c r="BQ1001" s="36"/>
    </row>
    <row r="1002">
      <c r="A1002" s="45"/>
      <c r="B1002" s="45"/>
      <c r="C1002" s="45"/>
      <c r="D1002" s="45"/>
      <c r="E1002" s="45"/>
      <c r="F1002" s="45"/>
      <c r="G1002" s="45"/>
      <c r="H1002" s="45"/>
      <c r="I1002" s="45"/>
      <c r="J1002" s="45"/>
      <c r="K1002" s="45"/>
      <c r="L1002" s="45"/>
      <c r="M1002" s="45"/>
      <c r="N1002" s="45"/>
      <c r="O1002" s="45"/>
      <c r="P1002" s="45"/>
      <c r="Q1002" s="45"/>
      <c r="R1002" s="51"/>
      <c r="S1002" s="51"/>
      <c r="T1002" s="51"/>
      <c r="U1002" s="51"/>
      <c r="V1002" s="51"/>
      <c r="W1002" s="51"/>
      <c r="X1002" s="51"/>
      <c r="Y1002" s="45"/>
      <c r="Z1002" s="45"/>
      <c r="AA1002" s="45"/>
      <c r="AB1002" s="45"/>
      <c r="AC1002" s="45"/>
      <c r="AD1002" s="45"/>
      <c r="AE1002" s="45"/>
      <c r="AF1002" s="45"/>
      <c r="AG1002" s="45"/>
      <c r="AH1002" s="45"/>
      <c r="AI1002" s="45"/>
      <c r="AJ1002" s="45"/>
      <c r="AK1002" s="45"/>
      <c r="AL1002" s="45"/>
      <c r="AM1002" s="45"/>
      <c r="AN1002" s="45"/>
      <c r="AO1002" s="45"/>
      <c r="AP1002" s="45"/>
      <c r="AQ1002" s="36"/>
      <c r="AR1002" s="36"/>
      <c r="AS1002" s="36"/>
      <c r="AT1002" s="36"/>
      <c r="AU1002" s="36"/>
      <c r="AV1002" s="36"/>
      <c r="AW1002" s="36"/>
      <c r="AX1002" s="36"/>
      <c r="AY1002" s="36"/>
      <c r="AZ1002" s="36"/>
      <c r="BA1002" s="36"/>
      <c r="BB1002" s="36"/>
      <c r="BC1002" s="36"/>
      <c r="BD1002" s="36"/>
      <c r="BE1002" s="36"/>
      <c r="BF1002" s="36"/>
      <c r="BG1002" s="36"/>
      <c r="BH1002" s="36"/>
      <c r="BI1002" s="36"/>
      <c r="BJ1002" s="36"/>
      <c r="BK1002" s="36"/>
      <c r="BL1002" s="36"/>
      <c r="BM1002" s="36"/>
      <c r="BN1002" s="36"/>
      <c r="BO1002" s="36"/>
      <c r="BP1002" s="36"/>
      <c r="BQ1002" s="36"/>
    </row>
    <row r="1003">
      <c r="A1003" s="45"/>
      <c r="B1003" s="45"/>
      <c r="C1003" s="45"/>
      <c r="D1003" s="45"/>
      <c r="E1003" s="45"/>
      <c r="F1003" s="45"/>
      <c r="G1003" s="45"/>
      <c r="H1003" s="45"/>
      <c r="I1003" s="45"/>
      <c r="J1003" s="45"/>
      <c r="K1003" s="45"/>
      <c r="L1003" s="45"/>
      <c r="M1003" s="45"/>
      <c r="N1003" s="45"/>
      <c r="O1003" s="45"/>
      <c r="P1003" s="45"/>
      <c r="Q1003" s="45"/>
      <c r="R1003" s="51"/>
      <c r="S1003" s="51"/>
      <c r="T1003" s="51"/>
      <c r="U1003" s="51"/>
      <c r="V1003" s="51"/>
      <c r="W1003" s="51"/>
      <c r="X1003" s="51"/>
      <c r="Y1003" s="45"/>
      <c r="Z1003" s="45"/>
      <c r="AA1003" s="45"/>
      <c r="AB1003" s="45"/>
      <c r="AC1003" s="45"/>
      <c r="AD1003" s="45"/>
      <c r="AE1003" s="45"/>
      <c r="AF1003" s="45"/>
      <c r="AG1003" s="45"/>
      <c r="AH1003" s="45"/>
      <c r="AI1003" s="45"/>
      <c r="AJ1003" s="45"/>
      <c r="AK1003" s="45"/>
      <c r="AL1003" s="45"/>
      <c r="AM1003" s="45"/>
      <c r="AN1003" s="45"/>
      <c r="AO1003" s="45"/>
      <c r="AP1003" s="45"/>
      <c r="AQ1003" s="36"/>
      <c r="AR1003" s="36"/>
      <c r="AS1003" s="36"/>
      <c r="AT1003" s="36"/>
      <c r="AU1003" s="36"/>
      <c r="AV1003" s="36"/>
      <c r="AW1003" s="36"/>
      <c r="AX1003" s="36"/>
      <c r="AY1003" s="36"/>
      <c r="AZ1003" s="36"/>
      <c r="BA1003" s="36"/>
      <c r="BB1003" s="36"/>
      <c r="BC1003" s="36"/>
      <c r="BD1003" s="36"/>
      <c r="BE1003" s="36"/>
      <c r="BF1003" s="36"/>
      <c r="BG1003" s="36"/>
      <c r="BH1003" s="36"/>
      <c r="BI1003" s="36"/>
      <c r="BJ1003" s="36"/>
      <c r="BK1003" s="36"/>
      <c r="BL1003" s="36"/>
      <c r="BM1003" s="36"/>
      <c r="BN1003" s="36"/>
      <c r="BO1003" s="36"/>
      <c r="BP1003" s="36"/>
      <c r="BQ1003" s="36"/>
    </row>
    <row r="1004">
      <c r="A1004" s="45"/>
      <c r="B1004" s="45"/>
      <c r="C1004" s="45"/>
      <c r="D1004" s="45"/>
      <c r="E1004" s="45"/>
      <c r="F1004" s="45"/>
      <c r="G1004" s="45"/>
      <c r="H1004" s="45"/>
      <c r="I1004" s="45"/>
      <c r="J1004" s="45"/>
      <c r="K1004" s="45"/>
      <c r="L1004" s="45"/>
      <c r="M1004" s="45"/>
      <c r="N1004" s="45"/>
      <c r="O1004" s="45"/>
      <c r="P1004" s="45"/>
      <c r="Q1004" s="45"/>
      <c r="R1004" s="51"/>
      <c r="S1004" s="51"/>
      <c r="T1004" s="51"/>
      <c r="U1004" s="51"/>
      <c r="V1004" s="51"/>
      <c r="W1004" s="51"/>
      <c r="X1004" s="51"/>
      <c r="Y1004" s="45"/>
      <c r="Z1004" s="45"/>
      <c r="AA1004" s="45"/>
      <c r="AB1004" s="45"/>
      <c r="AC1004" s="45"/>
      <c r="AD1004" s="45"/>
      <c r="AE1004" s="45"/>
      <c r="AF1004" s="45"/>
      <c r="AG1004" s="45"/>
      <c r="AH1004" s="45"/>
      <c r="AI1004" s="45"/>
      <c r="AJ1004" s="45"/>
      <c r="AK1004" s="45"/>
      <c r="AL1004" s="45"/>
      <c r="AM1004" s="45"/>
      <c r="AN1004" s="45"/>
      <c r="AO1004" s="45"/>
      <c r="AP1004" s="45"/>
      <c r="AQ1004" s="36"/>
      <c r="AR1004" s="36"/>
      <c r="AS1004" s="36"/>
      <c r="AT1004" s="36"/>
      <c r="AU1004" s="36"/>
      <c r="AV1004" s="36"/>
      <c r="AW1004" s="36"/>
      <c r="AX1004" s="36"/>
      <c r="AY1004" s="36"/>
      <c r="AZ1004" s="36"/>
      <c r="BA1004" s="36"/>
      <c r="BB1004" s="36"/>
      <c r="BC1004" s="36"/>
      <c r="BD1004" s="36"/>
      <c r="BE1004" s="36"/>
      <c r="BF1004" s="36"/>
      <c r="BG1004" s="36"/>
      <c r="BH1004" s="36"/>
      <c r="BI1004" s="36"/>
      <c r="BJ1004" s="36"/>
      <c r="BK1004" s="36"/>
      <c r="BL1004" s="36"/>
      <c r="BM1004" s="36"/>
      <c r="BN1004" s="36"/>
      <c r="BO1004" s="36"/>
      <c r="BP1004" s="36"/>
      <c r="BQ1004" s="36"/>
    </row>
    <row r="1005">
      <c r="A1005" s="45"/>
      <c r="B1005" s="45"/>
      <c r="C1005" s="45"/>
      <c r="D1005" s="45"/>
      <c r="E1005" s="45"/>
      <c r="F1005" s="45"/>
      <c r="G1005" s="45"/>
      <c r="H1005" s="45"/>
      <c r="I1005" s="45"/>
      <c r="J1005" s="45"/>
      <c r="K1005" s="45"/>
      <c r="L1005" s="45"/>
      <c r="M1005" s="45"/>
      <c r="N1005" s="45"/>
      <c r="O1005" s="45"/>
      <c r="P1005" s="45"/>
      <c r="Q1005" s="45"/>
      <c r="R1005" s="51"/>
      <c r="S1005" s="51"/>
      <c r="T1005" s="51"/>
      <c r="U1005" s="51"/>
      <c r="V1005" s="51"/>
      <c r="W1005" s="51"/>
      <c r="X1005" s="51"/>
      <c r="Y1005" s="45"/>
      <c r="Z1005" s="45"/>
      <c r="AA1005" s="45"/>
      <c r="AB1005" s="45"/>
      <c r="AC1005" s="45"/>
      <c r="AD1005" s="45"/>
      <c r="AE1005" s="45"/>
      <c r="AF1005" s="45"/>
      <c r="AG1005" s="45"/>
      <c r="AH1005" s="45"/>
      <c r="AI1005" s="45"/>
      <c r="AJ1005" s="45"/>
      <c r="AK1005" s="45"/>
      <c r="AL1005" s="45"/>
      <c r="AM1005" s="45"/>
      <c r="AN1005" s="45"/>
      <c r="AO1005" s="45"/>
      <c r="AP1005" s="45"/>
      <c r="AQ1005" s="36"/>
      <c r="AR1005" s="36"/>
      <c r="AS1005" s="36"/>
      <c r="AT1005" s="36"/>
      <c r="AU1005" s="36"/>
      <c r="AV1005" s="36"/>
      <c r="AW1005" s="36"/>
      <c r="AX1005" s="36"/>
      <c r="AY1005" s="36"/>
      <c r="AZ1005" s="36"/>
      <c r="BA1005" s="36"/>
      <c r="BB1005" s="36"/>
      <c r="BC1005" s="36"/>
      <c r="BD1005" s="36"/>
      <c r="BE1005" s="36"/>
      <c r="BF1005" s="36"/>
      <c r="BG1005" s="36"/>
      <c r="BH1005" s="36"/>
      <c r="BI1005" s="36"/>
      <c r="BJ1005" s="36"/>
      <c r="BK1005" s="36"/>
      <c r="BL1005" s="36"/>
      <c r="BM1005" s="36"/>
      <c r="BN1005" s="36"/>
      <c r="BO1005" s="36"/>
      <c r="BP1005" s="36"/>
      <c r="BQ1005" s="36"/>
    </row>
    <row r="1006">
      <c r="A1006" s="45"/>
      <c r="B1006" s="45"/>
      <c r="C1006" s="45"/>
      <c r="D1006" s="45"/>
      <c r="E1006" s="45"/>
      <c r="F1006" s="45"/>
      <c r="G1006" s="45"/>
      <c r="H1006" s="45"/>
      <c r="I1006" s="45"/>
      <c r="J1006" s="45"/>
      <c r="K1006" s="45"/>
      <c r="L1006" s="45"/>
      <c r="M1006" s="45"/>
      <c r="N1006" s="45"/>
      <c r="O1006" s="45"/>
      <c r="P1006" s="45"/>
      <c r="Q1006" s="45"/>
      <c r="R1006" s="51"/>
      <c r="S1006" s="51"/>
      <c r="T1006" s="51"/>
      <c r="U1006" s="51"/>
      <c r="V1006" s="51"/>
      <c r="W1006" s="51"/>
      <c r="X1006" s="51"/>
      <c r="Y1006" s="45"/>
      <c r="Z1006" s="45"/>
      <c r="AA1006" s="45"/>
      <c r="AB1006" s="45"/>
      <c r="AC1006" s="45"/>
      <c r="AD1006" s="45"/>
      <c r="AE1006" s="45"/>
      <c r="AF1006" s="45"/>
      <c r="AG1006" s="45"/>
      <c r="AH1006" s="45"/>
      <c r="AI1006" s="45"/>
      <c r="AJ1006" s="45"/>
      <c r="AK1006" s="45"/>
      <c r="AL1006" s="45"/>
      <c r="AM1006" s="45"/>
      <c r="AN1006" s="45"/>
      <c r="AO1006" s="45"/>
      <c r="AP1006" s="45"/>
      <c r="AQ1006" s="36"/>
      <c r="AR1006" s="36"/>
      <c r="AS1006" s="36"/>
      <c r="AT1006" s="36"/>
      <c r="AU1006" s="36"/>
      <c r="AV1006" s="36"/>
      <c r="AW1006" s="36"/>
      <c r="AX1006" s="36"/>
      <c r="AY1006" s="36"/>
      <c r="AZ1006" s="36"/>
      <c r="BA1006" s="36"/>
      <c r="BB1006" s="36"/>
      <c r="BC1006" s="36"/>
      <c r="BD1006" s="36"/>
      <c r="BE1006" s="36"/>
      <c r="BF1006" s="36"/>
      <c r="BG1006" s="36"/>
      <c r="BH1006" s="36"/>
      <c r="BI1006" s="36"/>
      <c r="BJ1006" s="36"/>
      <c r="BK1006" s="36"/>
      <c r="BL1006" s="36"/>
      <c r="BM1006" s="36"/>
      <c r="BN1006" s="36"/>
      <c r="BO1006" s="36"/>
      <c r="BP1006" s="36"/>
      <c r="BQ1006" s="36"/>
    </row>
    <row r="1007">
      <c r="A1007" s="45"/>
      <c r="B1007" s="45"/>
      <c r="C1007" s="45"/>
      <c r="D1007" s="45"/>
      <c r="E1007" s="45"/>
      <c r="F1007" s="45"/>
      <c r="G1007" s="45"/>
      <c r="H1007" s="45"/>
      <c r="I1007" s="45"/>
      <c r="J1007" s="45"/>
      <c r="K1007" s="45"/>
      <c r="L1007" s="45"/>
      <c r="M1007" s="45"/>
      <c r="N1007" s="45"/>
      <c r="O1007" s="45"/>
      <c r="P1007" s="45"/>
      <c r="Q1007" s="45"/>
      <c r="R1007" s="51"/>
      <c r="S1007" s="51"/>
      <c r="T1007" s="51"/>
      <c r="U1007" s="51"/>
      <c r="V1007" s="51"/>
      <c r="W1007" s="51"/>
      <c r="X1007" s="51"/>
      <c r="Y1007" s="45"/>
      <c r="Z1007" s="45"/>
      <c r="AA1007" s="45"/>
      <c r="AB1007" s="45"/>
      <c r="AC1007" s="45"/>
      <c r="AD1007" s="45"/>
      <c r="AE1007" s="45"/>
      <c r="AF1007" s="45"/>
      <c r="AG1007" s="45"/>
      <c r="AH1007" s="45"/>
      <c r="AI1007" s="45"/>
      <c r="AJ1007" s="45"/>
      <c r="AK1007" s="45"/>
      <c r="AL1007" s="45"/>
      <c r="AM1007" s="45"/>
      <c r="AN1007" s="45"/>
      <c r="AO1007" s="45"/>
      <c r="AP1007" s="45"/>
      <c r="AQ1007" s="36"/>
      <c r="AR1007" s="36"/>
      <c r="AS1007" s="36"/>
      <c r="AT1007" s="36"/>
      <c r="AU1007" s="36"/>
      <c r="AV1007" s="36"/>
      <c r="AW1007" s="36"/>
      <c r="AX1007" s="36"/>
      <c r="AY1007" s="36"/>
      <c r="AZ1007" s="36"/>
      <c r="BA1007" s="36"/>
      <c r="BB1007" s="36"/>
      <c r="BC1007" s="36"/>
      <c r="BD1007" s="36"/>
      <c r="BE1007" s="36"/>
      <c r="BF1007" s="36"/>
      <c r="BG1007" s="36"/>
      <c r="BH1007" s="36"/>
      <c r="BI1007" s="36"/>
      <c r="BJ1007" s="36"/>
      <c r="BK1007" s="36"/>
      <c r="BL1007" s="36"/>
      <c r="BM1007" s="36"/>
      <c r="BN1007" s="36"/>
      <c r="BO1007" s="36"/>
      <c r="BP1007" s="36"/>
      <c r="BQ1007" s="36"/>
    </row>
    <row r="1008">
      <c r="A1008" s="45"/>
      <c r="B1008" s="45"/>
      <c r="C1008" s="45"/>
      <c r="D1008" s="45"/>
      <c r="E1008" s="45"/>
      <c r="F1008" s="45"/>
      <c r="G1008" s="45"/>
      <c r="H1008" s="45"/>
      <c r="I1008" s="45"/>
      <c r="J1008" s="45"/>
      <c r="K1008" s="45"/>
      <c r="L1008" s="45"/>
      <c r="M1008" s="45"/>
      <c r="N1008" s="45"/>
      <c r="O1008" s="45"/>
      <c r="P1008" s="45"/>
      <c r="Q1008" s="45"/>
      <c r="R1008" s="51"/>
      <c r="S1008" s="51"/>
      <c r="T1008" s="51"/>
      <c r="U1008" s="51"/>
      <c r="V1008" s="51"/>
      <c r="W1008" s="51"/>
      <c r="X1008" s="51"/>
      <c r="Y1008" s="45"/>
      <c r="Z1008" s="45"/>
      <c r="AA1008" s="45"/>
      <c r="AB1008" s="45"/>
      <c r="AC1008" s="45"/>
      <c r="AD1008" s="45"/>
      <c r="AE1008" s="45"/>
      <c r="AF1008" s="45"/>
      <c r="AG1008" s="45"/>
      <c r="AH1008" s="45"/>
      <c r="AI1008" s="45"/>
      <c r="AJ1008" s="45"/>
      <c r="AK1008" s="45"/>
      <c r="AL1008" s="45"/>
      <c r="AM1008" s="45"/>
      <c r="AN1008" s="45"/>
      <c r="AO1008" s="45"/>
      <c r="AP1008" s="45"/>
      <c r="AQ1008" s="36"/>
      <c r="AR1008" s="36"/>
      <c r="AS1008" s="36"/>
      <c r="AT1008" s="36"/>
      <c r="AU1008" s="36"/>
      <c r="AV1008" s="36"/>
      <c r="AW1008" s="36"/>
      <c r="AX1008" s="36"/>
      <c r="AY1008" s="36"/>
      <c r="AZ1008" s="36"/>
      <c r="BA1008" s="36"/>
      <c r="BB1008" s="36"/>
      <c r="BC1008" s="36"/>
      <c r="BD1008" s="36"/>
      <c r="BE1008" s="36"/>
      <c r="BF1008" s="36"/>
      <c r="BG1008" s="36"/>
      <c r="BH1008" s="36"/>
      <c r="BI1008" s="36"/>
      <c r="BJ1008" s="36"/>
      <c r="BK1008" s="36"/>
      <c r="BL1008" s="36"/>
      <c r="BM1008" s="36"/>
      <c r="BN1008" s="36"/>
      <c r="BO1008" s="36"/>
      <c r="BP1008" s="36"/>
      <c r="BQ1008" s="36"/>
    </row>
    <row r="1009">
      <c r="A1009" s="45"/>
      <c r="B1009" s="45"/>
      <c r="C1009" s="45"/>
      <c r="D1009" s="45"/>
      <c r="E1009" s="45"/>
      <c r="F1009" s="45"/>
      <c r="G1009" s="45"/>
      <c r="H1009" s="45"/>
      <c r="I1009" s="45"/>
      <c r="J1009" s="45"/>
      <c r="K1009" s="45"/>
      <c r="L1009" s="45"/>
      <c r="M1009" s="45"/>
      <c r="N1009" s="45"/>
      <c r="O1009" s="45"/>
      <c r="P1009" s="45"/>
      <c r="Q1009" s="45"/>
      <c r="R1009" s="51"/>
      <c r="S1009" s="51"/>
      <c r="T1009" s="51"/>
      <c r="U1009" s="51"/>
      <c r="V1009" s="51"/>
      <c r="W1009" s="51"/>
      <c r="X1009" s="51"/>
      <c r="Y1009" s="45"/>
      <c r="Z1009" s="45"/>
      <c r="AA1009" s="45"/>
      <c r="AB1009" s="45"/>
      <c r="AC1009" s="45"/>
      <c r="AD1009" s="45"/>
      <c r="AE1009" s="45"/>
      <c r="AF1009" s="45"/>
      <c r="AG1009" s="45"/>
      <c r="AH1009" s="45"/>
      <c r="AI1009" s="45"/>
      <c r="AJ1009" s="45"/>
      <c r="AK1009" s="45"/>
      <c r="AL1009" s="45"/>
      <c r="AM1009" s="45"/>
      <c r="AN1009" s="45"/>
      <c r="AO1009" s="45"/>
      <c r="AP1009" s="45"/>
      <c r="AQ1009" s="36"/>
      <c r="AR1009" s="36"/>
      <c r="AS1009" s="36"/>
      <c r="AT1009" s="36"/>
      <c r="AU1009" s="36"/>
      <c r="AV1009" s="36"/>
      <c r="AW1009" s="36"/>
      <c r="AX1009" s="36"/>
      <c r="AY1009" s="36"/>
      <c r="AZ1009" s="36"/>
      <c r="BA1009" s="36"/>
      <c r="BB1009" s="36"/>
      <c r="BC1009" s="36"/>
      <c r="BD1009" s="36"/>
      <c r="BE1009" s="36"/>
      <c r="BF1009" s="36"/>
      <c r="BG1009" s="36"/>
      <c r="BH1009" s="36"/>
      <c r="BI1009" s="36"/>
      <c r="BJ1009" s="36"/>
      <c r="BK1009" s="36"/>
      <c r="BL1009" s="36"/>
      <c r="BM1009" s="36"/>
      <c r="BN1009" s="36"/>
      <c r="BO1009" s="36"/>
      <c r="BP1009" s="36"/>
      <c r="BQ1009" s="36"/>
    </row>
    <row r="1010">
      <c r="A1010" s="45"/>
      <c r="B1010" s="45"/>
      <c r="C1010" s="45"/>
      <c r="D1010" s="45"/>
      <c r="E1010" s="45"/>
      <c r="F1010" s="45"/>
      <c r="G1010" s="45"/>
      <c r="H1010" s="45"/>
      <c r="I1010" s="45"/>
      <c r="J1010" s="45"/>
      <c r="K1010" s="45"/>
      <c r="L1010" s="45"/>
      <c r="M1010" s="45"/>
      <c r="N1010" s="45"/>
      <c r="O1010" s="45"/>
      <c r="P1010" s="45"/>
      <c r="Q1010" s="45"/>
      <c r="R1010" s="51"/>
      <c r="S1010" s="51"/>
      <c r="T1010" s="51"/>
      <c r="U1010" s="51"/>
      <c r="V1010" s="51"/>
      <c r="W1010" s="51"/>
      <c r="X1010" s="51"/>
      <c r="Y1010" s="45"/>
      <c r="Z1010" s="45"/>
      <c r="AA1010" s="45"/>
      <c r="AB1010" s="45"/>
      <c r="AC1010" s="45"/>
      <c r="AD1010" s="45"/>
      <c r="AE1010" s="45"/>
      <c r="AF1010" s="45"/>
      <c r="AG1010" s="45"/>
      <c r="AH1010" s="45"/>
      <c r="AI1010" s="45"/>
      <c r="AJ1010" s="45"/>
      <c r="AK1010" s="45"/>
      <c r="AL1010" s="45"/>
      <c r="AM1010" s="45"/>
      <c r="AN1010" s="45"/>
      <c r="AO1010" s="45"/>
      <c r="AP1010" s="45"/>
      <c r="AQ1010" s="36"/>
      <c r="AR1010" s="36"/>
      <c r="AS1010" s="36"/>
      <c r="AT1010" s="36"/>
      <c r="AU1010" s="36"/>
      <c r="AV1010" s="36"/>
      <c r="AW1010" s="36"/>
      <c r="AX1010" s="36"/>
      <c r="AY1010" s="36"/>
      <c r="AZ1010" s="36"/>
      <c r="BA1010" s="36"/>
      <c r="BB1010" s="36"/>
      <c r="BC1010" s="36"/>
      <c r="BD1010" s="36"/>
      <c r="BE1010" s="36"/>
      <c r="BF1010" s="36"/>
      <c r="BG1010" s="36"/>
      <c r="BH1010" s="36"/>
      <c r="BI1010" s="36"/>
      <c r="BJ1010" s="36"/>
      <c r="BK1010" s="36"/>
      <c r="BL1010" s="36"/>
      <c r="BM1010" s="36"/>
      <c r="BN1010" s="36"/>
      <c r="BO1010" s="36"/>
      <c r="BP1010" s="36"/>
      <c r="BQ1010" s="36"/>
    </row>
    <row r="1011">
      <c r="A1011" s="45"/>
      <c r="B1011" s="45"/>
      <c r="C1011" s="45"/>
      <c r="D1011" s="45"/>
      <c r="E1011" s="45"/>
      <c r="F1011" s="45"/>
      <c r="G1011" s="45"/>
      <c r="H1011" s="45"/>
      <c r="I1011" s="45"/>
      <c r="J1011" s="45"/>
      <c r="K1011" s="45"/>
      <c r="L1011" s="45"/>
      <c r="M1011" s="45"/>
      <c r="N1011" s="45"/>
      <c r="O1011" s="45"/>
      <c r="P1011" s="45"/>
      <c r="Q1011" s="45"/>
      <c r="R1011" s="51"/>
      <c r="S1011" s="51"/>
      <c r="T1011" s="51"/>
      <c r="U1011" s="51"/>
      <c r="V1011" s="51"/>
      <c r="W1011" s="51"/>
      <c r="X1011" s="51"/>
      <c r="Y1011" s="45"/>
      <c r="Z1011" s="45"/>
      <c r="AA1011" s="45"/>
      <c r="AB1011" s="45"/>
      <c r="AC1011" s="45"/>
      <c r="AD1011" s="45"/>
      <c r="AE1011" s="45"/>
      <c r="AF1011" s="45"/>
      <c r="AG1011" s="45"/>
      <c r="AH1011" s="45"/>
      <c r="AI1011" s="45"/>
      <c r="AJ1011" s="45"/>
      <c r="AK1011" s="45"/>
      <c r="AL1011" s="45"/>
      <c r="AM1011" s="45"/>
      <c r="AN1011" s="45"/>
      <c r="AO1011" s="45"/>
      <c r="AP1011" s="45"/>
      <c r="AQ1011" s="36"/>
      <c r="AR1011" s="36"/>
      <c r="AS1011" s="36"/>
      <c r="AT1011" s="36"/>
      <c r="AU1011" s="36"/>
      <c r="AV1011" s="36"/>
      <c r="AW1011" s="36"/>
      <c r="AX1011" s="36"/>
      <c r="AY1011" s="36"/>
      <c r="AZ1011" s="36"/>
      <c r="BA1011" s="36"/>
      <c r="BB1011" s="36"/>
      <c r="BC1011" s="36"/>
      <c r="BD1011" s="36"/>
      <c r="BE1011" s="36"/>
      <c r="BF1011" s="36"/>
      <c r="BG1011" s="36"/>
      <c r="BH1011" s="36"/>
      <c r="BI1011" s="36"/>
      <c r="BJ1011" s="36"/>
      <c r="BK1011" s="36"/>
      <c r="BL1011" s="36"/>
      <c r="BM1011" s="36"/>
      <c r="BN1011" s="36"/>
      <c r="BO1011" s="36"/>
      <c r="BP1011" s="36"/>
      <c r="BQ1011" s="36"/>
    </row>
    <row r="1012">
      <c r="A1012" s="45"/>
      <c r="B1012" s="45"/>
      <c r="C1012" s="45"/>
      <c r="D1012" s="45"/>
      <c r="E1012" s="45"/>
      <c r="F1012" s="45"/>
      <c r="G1012" s="45"/>
      <c r="H1012" s="45"/>
      <c r="I1012" s="45"/>
      <c r="J1012" s="45"/>
      <c r="K1012" s="45"/>
      <c r="L1012" s="45"/>
      <c r="M1012" s="45"/>
      <c r="N1012" s="45"/>
      <c r="O1012" s="45"/>
      <c r="P1012" s="45"/>
      <c r="Q1012" s="45"/>
      <c r="R1012" s="51"/>
      <c r="S1012" s="51"/>
      <c r="T1012" s="51"/>
      <c r="U1012" s="51"/>
      <c r="V1012" s="51"/>
      <c r="W1012" s="51"/>
      <c r="X1012" s="51"/>
      <c r="Y1012" s="45"/>
      <c r="Z1012" s="45"/>
      <c r="AA1012" s="45"/>
      <c r="AB1012" s="45"/>
      <c r="AC1012" s="45"/>
      <c r="AD1012" s="45"/>
      <c r="AE1012" s="45"/>
      <c r="AF1012" s="45"/>
      <c r="AG1012" s="45"/>
      <c r="AH1012" s="45"/>
      <c r="AI1012" s="45"/>
      <c r="AJ1012" s="45"/>
      <c r="AK1012" s="45"/>
      <c r="AL1012" s="45"/>
      <c r="AM1012" s="45"/>
      <c r="AN1012" s="45"/>
      <c r="AO1012" s="45"/>
      <c r="AP1012" s="45"/>
      <c r="AQ1012" s="36"/>
      <c r="AR1012" s="36"/>
      <c r="AS1012" s="36"/>
      <c r="AT1012" s="36"/>
      <c r="AU1012" s="36"/>
      <c r="AV1012" s="36"/>
      <c r="AW1012" s="36"/>
      <c r="AX1012" s="36"/>
      <c r="AY1012" s="36"/>
      <c r="AZ1012" s="36"/>
      <c r="BA1012" s="36"/>
      <c r="BB1012" s="36"/>
      <c r="BC1012" s="36"/>
      <c r="BD1012" s="36"/>
      <c r="BE1012" s="36"/>
      <c r="BF1012" s="36"/>
      <c r="BG1012" s="36"/>
      <c r="BH1012" s="36"/>
      <c r="BI1012" s="36"/>
      <c r="BJ1012" s="36"/>
      <c r="BK1012" s="36"/>
      <c r="BL1012" s="36"/>
      <c r="BM1012" s="36"/>
      <c r="BN1012" s="36"/>
      <c r="BO1012" s="36"/>
      <c r="BP1012" s="36"/>
      <c r="BQ1012" s="36"/>
    </row>
    <row r="1013">
      <c r="A1013" s="45"/>
      <c r="B1013" s="45"/>
      <c r="C1013" s="45"/>
      <c r="D1013" s="45"/>
      <c r="E1013" s="45"/>
      <c r="F1013" s="45"/>
      <c r="G1013" s="45"/>
      <c r="H1013" s="45"/>
      <c r="I1013" s="45"/>
      <c r="J1013" s="45"/>
      <c r="K1013" s="45"/>
      <c r="L1013" s="45"/>
      <c r="M1013" s="45"/>
      <c r="N1013" s="45"/>
      <c r="O1013" s="45"/>
      <c r="P1013" s="45"/>
      <c r="Q1013" s="45"/>
      <c r="R1013" s="51"/>
      <c r="S1013" s="51"/>
      <c r="T1013" s="51"/>
      <c r="U1013" s="51"/>
      <c r="V1013" s="51"/>
      <c r="W1013" s="51"/>
      <c r="X1013" s="51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5"/>
      <c r="AM1013" s="45"/>
      <c r="AN1013" s="45"/>
      <c r="AO1013" s="45"/>
      <c r="AP1013" s="45"/>
      <c r="AQ1013" s="36"/>
      <c r="AR1013" s="36"/>
      <c r="AS1013" s="36"/>
      <c r="AT1013" s="36"/>
      <c r="AU1013" s="36"/>
      <c r="AV1013" s="36"/>
      <c r="AW1013" s="36"/>
      <c r="AX1013" s="36"/>
      <c r="AY1013" s="36"/>
      <c r="AZ1013" s="36"/>
      <c r="BA1013" s="36"/>
      <c r="BB1013" s="36"/>
      <c r="BC1013" s="36"/>
      <c r="BD1013" s="36"/>
      <c r="BE1013" s="36"/>
      <c r="BF1013" s="36"/>
      <c r="BG1013" s="36"/>
      <c r="BH1013" s="36"/>
      <c r="BI1013" s="36"/>
      <c r="BJ1013" s="36"/>
      <c r="BK1013" s="36"/>
      <c r="BL1013" s="36"/>
      <c r="BM1013" s="36"/>
      <c r="BN1013" s="36"/>
      <c r="BO1013" s="36"/>
      <c r="BP1013" s="36"/>
      <c r="BQ1013" s="36"/>
    </row>
    <row r="1014">
      <c r="A1014" s="45"/>
      <c r="B1014" s="45"/>
      <c r="C1014" s="45"/>
      <c r="D1014" s="45"/>
      <c r="E1014" s="45"/>
      <c r="F1014" s="45"/>
      <c r="G1014" s="45"/>
      <c r="H1014" s="45"/>
      <c r="I1014" s="45"/>
      <c r="J1014" s="45"/>
      <c r="K1014" s="45"/>
      <c r="L1014" s="45"/>
      <c r="M1014" s="45"/>
      <c r="N1014" s="45"/>
      <c r="O1014" s="45"/>
      <c r="P1014" s="45"/>
      <c r="Q1014" s="45"/>
      <c r="R1014" s="51"/>
      <c r="S1014" s="51"/>
      <c r="T1014" s="51"/>
      <c r="U1014" s="51"/>
      <c r="V1014" s="51"/>
      <c r="W1014" s="51"/>
      <c r="X1014" s="51"/>
      <c r="Y1014" s="45"/>
      <c r="Z1014" s="45"/>
      <c r="AA1014" s="45"/>
      <c r="AB1014" s="45"/>
      <c r="AC1014" s="45"/>
      <c r="AD1014" s="45"/>
      <c r="AE1014" s="45"/>
      <c r="AF1014" s="45"/>
      <c r="AG1014" s="45"/>
      <c r="AH1014" s="45"/>
      <c r="AI1014" s="45"/>
      <c r="AJ1014" s="45"/>
      <c r="AK1014" s="45"/>
      <c r="AL1014" s="45"/>
      <c r="AM1014" s="45"/>
      <c r="AN1014" s="45"/>
      <c r="AO1014" s="45"/>
      <c r="AP1014" s="45"/>
      <c r="AQ1014" s="36"/>
      <c r="AR1014" s="36"/>
      <c r="AS1014" s="36"/>
      <c r="AT1014" s="36"/>
      <c r="AU1014" s="36"/>
      <c r="AV1014" s="36"/>
      <c r="AW1014" s="36"/>
      <c r="AX1014" s="36"/>
      <c r="AY1014" s="36"/>
      <c r="AZ1014" s="36"/>
      <c r="BA1014" s="36"/>
      <c r="BB1014" s="36"/>
      <c r="BC1014" s="36"/>
      <c r="BD1014" s="36"/>
      <c r="BE1014" s="36"/>
      <c r="BF1014" s="36"/>
      <c r="BG1014" s="36"/>
      <c r="BH1014" s="36"/>
      <c r="BI1014" s="36"/>
      <c r="BJ1014" s="36"/>
      <c r="BK1014" s="36"/>
      <c r="BL1014" s="36"/>
      <c r="BM1014" s="36"/>
      <c r="BN1014" s="36"/>
      <c r="BO1014" s="36"/>
      <c r="BP1014" s="36"/>
      <c r="BQ1014" s="36"/>
    </row>
    <row r="1015">
      <c r="A1015" s="45"/>
      <c r="B1015" s="45"/>
      <c r="C1015" s="45"/>
      <c r="D1015" s="45"/>
      <c r="E1015" s="45"/>
      <c r="F1015" s="45"/>
      <c r="G1015" s="45"/>
      <c r="H1015" s="45"/>
      <c r="I1015" s="45"/>
      <c r="J1015" s="45"/>
      <c r="K1015" s="45"/>
      <c r="L1015" s="45"/>
      <c r="M1015" s="45"/>
      <c r="N1015" s="45"/>
      <c r="O1015" s="45"/>
      <c r="P1015" s="45"/>
      <c r="Q1015" s="45"/>
      <c r="R1015" s="51"/>
      <c r="S1015" s="51"/>
      <c r="T1015" s="51"/>
      <c r="U1015" s="51"/>
      <c r="V1015" s="51"/>
      <c r="W1015" s="51"/>
      <c r="X1015" s="51"/>
      <c r="Y1015" s="45"/>
      <c r="Z1015" s="45"/>
      <c r="AA1015" s="45"/>
      <c r="AB1015" s="45"/>
      <c r="AC1015" s="45"/>
      <c r="AD1015" s="45"/>
      <c r="AE1015" s="45"/>
      <c r="AF1015" s="45"/>
      <c r="AG1015" s="45"/>
      <c r="AH1015" s="45"/>
      <c r="AI1015" s="45"/>
      <c r="AJ1015" s="45"/>
      <c r="AK1015" s="45"/>
      <c r="AL1015" s="45"/>
      <c r="AM1015" s="45"/>
      <c r="AN1015" s="45"/>
      <c r="AO1015" s="45"/>
      <c r="AP1015" s="45"/>
      <c r="AQ1015" s="36"/>
      <c r="AR1015" s="36"/>
      <c r="AS1015" s="36"/>
      <c r="AT1015" s="36"/>
      <c r="AU1015" s="36"/>
      <c r="AV1015" s="36"/>
      <c r="AW1015" s="36"/>
      <c r="AX1015" s="36"/>
      <c r="AY1015" s="36"/>
      <c r="AZ1015" s="36"/>
      <c r="BA1015" s="36"/>
      <c r="BB1015" s="36"/>
      <c r="BC1015" s="36"/>
      <c r="BD1015" s="36"/>
      <c r="BE1015" s="36"/>
      <c r="BF1015" s="36"/>
      <c r="BG1015" s="36"/>
      <c r="BH1015" s="36"/>
      <c r="BI1015" s="36"/>
      <c r="BJ1015" s="36"/>
      <c r="BK1015" s="36"/>
      <c r="BL1015" s="36"/>
      <c r="BM1015" s="36"/>
      <c r="BN1015" s="36"/>
      <c r="BO1015" s="36"/>
      <c r="BP1015" s="36"/>
      <c r="BQ1015" s="36"/>
    </row>
    <row r="1016">
      <c r="A1016" s="45"/>
      <c r="B1016" s="45"/>
      <c r="C1016" s="45"/>
      <c r="D1016" s="45"/>
      <c r="E1016" s="45"/>
      <c r="F1016" s="45"/>
      <c r="G1016" s="45"/>
      <c r="H1016" s="45"/>
      <c r="I1016" s="45"/>
      <c r="J1016" s="45"/>
      <c r="K1016" s="45"/>
      <c r="L1016" s="45"/>
      <c r="M1016" s="45"/>
      <c r="N1016" s="45"/>
      <c r="O1016" s="45"/>
      <c r="P1016" s="45"/>
      <c r="Q1016" s="45"/>
      <c r="R1016" s="51"/>
      <c r="S1016" s="51"/>
      <c r="T1016" s="51"/>
      <c r="U1016" s="51"/>
      <c r="V1016" s="51"/>
      <c r="W1016" s="51"/>
      <c r="X1016" s="51"/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5"/>
      <c r="AM1016" s="45"/>
      <c r="AN1016" s="45"/>
      <c r="AO1016" s="45"/>
      <c r="AP1016" s="45"/>
      <c r="AQ1016" s="36"/>
      <c r="AR1016" s="36"/>
      <c r="AS1016" s="36"/>
      <c r="AT1016" s="36"/>
      <c r="AU1016" s="36"/>
      <c r="AV1016" s="36"/>
      <c r="AW1016" s="36"/>
      <c r="AX1016" s="36"/>
      <c r="AY1016" s="36"/>
      <c r="AZ1016" s="36"/>
      <c r="BA1016" s="36"/>
      <c r="BB1016" s="36"/>
      <c r="BC1016" s="36"/>
      <c r="BD1016" s="36"/>
      <c r="BE1016" s="36"/>
      <c r="BF1016" s="36"/>
      <c r="BG1016" s="36"/>
      <c r="BH1016" s="36"/>
      <c r="BI1016" s="36"/>
      <c r="BJ1016" s="36"/>
      <c r="BK1016" s="36"/>
      <c r="BL1016" s="36"/>
      <c r="BM1016" s="36"/>
      <c r="BN1016" s="36"/>
      <c r="BO1016" s="36"/>
      <c r="BP1016" s="36"/>
      <c r="BQ1016" s="36"/>
    </row>
    <row r="1017">
      <c r="A1017" s="45"/>
      <c r="B1017" s="45"/>
      <c r="C1017" s="45"/>
      <c r="D1017" s="45"/>
      <c r="E1017" s="45"/>
      <c r="F1017" s="45"/>
      <c r="G1017" s="45"/>
      <c r="H1017" s="45"/>
      <c r="I1017" s="45"/>
      <c r="J1017" s="45"/>
      <c r="K1017" s="45"/>
      <c r="L1017" s="45"/>
      <c r="M1017" s="45"/>
      <c r="N1017" s="45"/>
      <c r="O1017" s="45"/>
      <c r="P1017" s="45"/>
      <c r="Q1017" s="45"/>
      <c r="R1017" s="51"/>
      <c r="S1017" s="51"/>
      <c r="T1017" s="51"/>
      <c r="U1017" s="51"/>
      <c r="V1017" s="51"/>
      <c r="W1017" s="51"/>
      <c r="X1017" s="51"/>
      <c r="Y1017" s="45"/>
      <c r="Z1017" s="45"/>
      <c r="AA1017" s="45"/>
      <c r="AB1017" s="45"/>
      <c r="AC1017" s="45"/>
      <c r="AD1017" s="45"/>
      <c r="AE1017" s="45"/>
      <c r="AF1017" s="45"/>
      <c r="AG1017" s="45"/>
      <c r="AH1017" s="45"/>
      <c r="AI1017" s="45"/>
      <c r="AJ1017" s="45"/>
      <c r="AK1017" s="45"/>
      <c r="AL1017" s="45"/>
      <c r="AM1017" s="45"/>
      <c r="AN1017" s="45"/>
      <c r="AO1017" s="45"/>
      <c r="AP1017" s="45"/>
      <c r="AQ1017" s="36"/>
      <c r="AR1017" s="36"/>
      <c r="AS1017" s="36"/>
      <c r="AT1017" s="36"/>
      <c r="AU1017" s="36"/>
      <c r="AV1017" s="36"/>
      <c r="AW1017" s="36"/>
      <c r="AX1017" s="36"/>
      <c r="AY1017" s="36"/>
      <c r="AZ1017" s="36"/>
      <c r="BA1017" s="36"/>
      <c r="BB1017" s="36"/>
      <c r="BC1017" s="36"/>
      <c r="BD1017" s="36"/>
      <c r="BE1017" s="36"/>
      <c r="BF1017" s="36"/>
      <c r="BG1017" s="36"/>
      <c r="BH1017" s="36"/>
      <c r="BI1017" s="36"/>
      <c r="BJ1017" s="36"/>
      <c r="BK1017" s="36"/>
      <c r="BL1017" s="36"/>
      <c r="BM1017" s="36"/>
      <c r="BN1017" s="36"/>
      <c r="BO1017" s="36"/>
      <c r="BP1017" s="36"/>
      <c r="BQ1017" s="36"/>
    </row>
    <row r="1018">
      <c r="A1018" s="45"/>
      <c r="B1018" s="45"/>
      <c r="C1018" s="45"/>
      <c r="D1018" s="45"/>
      <c r="E1018" s="45"/>
      <c r="F1018" s="45"/>
      <c r="G1018" s="45"/>
      <c r="H1018" s="45"/>
      <c r="I1018" s="45"/>
      <c r="J1018" s="45"/>
      <c r="K1018" s="45"/>
      <c r="L1018" s="45"/>
      <c r="M1018" s="45"/>
      <c r="N1018" s="45"/>
      <c r="O1018" s="45"/>
      <c r="P1018" s="45"/>
      <c r="Q1018" s="45"/>
      <c r="R1018" s="51"/>
      <c r="S1018" s="51"/>
      <c r="T1018" s="51"/>
      <c r="U1018" s="51"/>
      <c r="V1018" s="51"/>
      <c r="W1018" s="51"/>
      <c r="X1018" s="51"/>
      <c r="Y1018" s="45"/>
      <c r="Z1018" s="45"/>
      <c r="AA1018" s="45"/>
      <c r="AB1018" s="45"/>
      <c r="AC1018" s="45"/>
      <c r="AD1018" s="45"/>
      <c r="AE1018" s="45"/>
      <c r="AF1018" s="45"/>
      <c r="AG1018" s="45"/>
      <c r="AH1018" s="45"/>
      <c r="AI1018" s="45"/>
      <c r="AJ1018" s="45"/>
      <c r="AK1018" s="45"/>
      <c r="AL1018" s="45"/>
      <c r="AM1018" s="45"/>
      <c r="AN1018" s="45"/>
      <c r="AO1018" s="45"/>
      <c r="AP1018" s="45"/>
      <c r="AQ1018" s="36"/>
      <c r="AR1018" s="36"/>
      <c r="AS1018" s="36"/>
      <c r="AT1018" s="36"/>
      <c r="AU1018" s="36"/>
      <c r="AV1018" s="36"/>
      <c r="AW1018" s="36"/>
      <c r="AX1018" s="36"/>
      <c r="AY1018" s="36"/>
      <c r="AZ1018" s="36"/>
      <c r="BA1018" s="36"/>
      <c r="BB1018" s="36"/>
      <c r="BC1018" s="36"/>
      <c r="BD1018" s="36"/>
      <c r="BE1018" s="36"/>
      <c r="BF1018" s="36"/>
      <c r="BG1018" s="36"/>
      <c r="BH1018" s="36"/>
      <c r="BI1018" s="36"/>
      <c r="BJ1018" s="36"/>
      <c r="BK1018" s="36"/>
      <c r="BL1018" s="36"/>
      <c r="BM1018" s="36"/>
      <c r="BN1018" s="36"/>
      <c r="BO1018" s="36"/>
      <c r="BP1018" s="36"/>
      <c r="BQ1018" s="36"/>
    </row>
    <row r="1019">
      <c r="A1019" s="45"/>
      <c r="B1019" s="45"/>
      <c r="C1019" s="45"/>
      <c r="D1019" s="45"/>
      <c r="E1019" s="45"/>
      <c r="F1019" s="45"/>
      <c r="G1019" s="45"/>
      <c r="H1019" s="45"/>
      <c r="I1019" s="45"/>
      <c r="J1019" s="45"/>
      <c r="K1019" s="45"/>
      <c r="L1019" s="45"/>
      <c r="M1019" s="45"/>
      <c r="N1019" s="45"/>
      <c r="O1019" s="45"/>
      <c r="P1019" s="45"/>
      <c r="Q1019" s="45"/>
      <c r="R1019" s="51"/>
      <c r="S1019" s="51"/>
      <c r="T1019" s="51"/>
      <c r="U1019" s="51"/>
      <c r="V1019" s="51"/>
      <c r="W1019" s="51"/>
      <c r="X1019" s="51"/>
      <c r="Y1019" s="45"/>
      <c r="Z1019" s="45"/>
      <c r="AA1019" s="45"/>
      <c r="AB1019" s="45"/>
      <c r="AC1019" s="45"/>
      <c r="AD1019" s="45"/>
      <c r="AE1019" s="45"/>
      <c r="AF1019" s="45"/>
      <c r="AG1019" s="45"/>
      <c r="AH1019" s="45"/>
      <c r="AI1019" s="45"/>
      <c r="AJ1019" s="45"/>
      <c r="AK1019" s="45"/>
      <c r="AL1019" s="45"/>
      <c r="AM1019" s="45"/>
      <c r="AN1019" s="45"/>
      <c r="AO1019" s="45"/>
      <c r="AP1019" s="45"/>
      <c r="AQ1019" s="36"/>
      <c r="AR1019" s="36"/>
      <c r="AS1019" s="36"/>
      <c r="AT1019" s="36"/>
      <c r="AU1019" s="36"/>
      <c r="AV1019" s="36"/>
      <c r="AW1019" s="36"/>
      <c r="AX1019" s="36"/>
      <c r="AY1019" s="36"/>
      <c r="AZ1019" s="36"/>
      <c r="BA1019" s="36"/>
      <c r="BB1019" s="36"/>
      <c r="BC1019" s="36"/>
      <c r="BD1019" s="36"/>
      <c r="BE1019" s="36"/>
      <c r="BF1019" s="36"/>
      <c r="BG1019" s="36"/>
      <c r="BH1019" s="36"/>
      <c r="BI1019" s="36"/>
      <c r="BJ1019" s="36"/>
      <c r="BK1019" s="36"/>
      <c r="BL1019" s="36"/>
      <c r="BM1019" s="36"/>
      <c r="BN1019" s="36"/>
      <c r="BO1019" s="36"/>
      <c r="BP1019" s="36"/>
      <c r="BQ1019" s="36"/>
    </row>
    <row r="1020">
      <c r="A1020" s="45"/>
      <c r="B1020" s="45"/>
      <c r="C1020" s="45"/>
      <c r="D1020" s="45"/>
      <c r="E1020" s="45"/>
      <c r="F1020" s="45"/>
      <c r="G1020" s="45"/>
      <c r="H1020" s="45"/>
      <c r="I1020" s="45"/>
      <c r="J1020" s="45"/>
      <c r="K1020" s="45"/>
      <c r="L1020" s="45"/>
      <c r="M1020" s="45"/>
      <c r="N1020" s="45"/>
      <c r="O1020" s="45"/>
      <c r="P1020" s="45"/>
      <c r="Q1020" s="45"/>
      <c r="R1020" s="51"/>
      <c r="S1020" s="51"/>
      <c r="T1020" s="51"/>
      <c r="U1020" s="51"/>
      <c r="V1020" s="51"/>
      <c r="W1020" s="51"/>
      <c r="X1020" s="51"/>
      <c r="Y1020" s="45"/>
      <c r="Z1020" s="45"/>
      <c r="AA1020" s="45"/>
      <c r="AB1020" s="45"/>
      <c r="AC1020" s="45"/>
      <c r="AD1020" s="45"/>
      <c r="AE1020" s="45"/>
      <c r="AF1020" s="45"/>
      <c r="AG1020" s="45"/>
      <c r="AH1020" s="45"/>
      <c r="AI1020" s="45"/>
      <c r="AJ1020" s="45"/>
      <c r="AK1020" s="45"/>
      <c r="AL1020" s="45"/>
      <c r="AM1020" s="45"/>
      <c r="AN1020" s="45"/>
      <c r="AO1020" s="45"/>
      <c r="AP1020" s="45"/>
      <c r="AQ1020" s="36"/>
      <c r="AR1020" s="36"/>
      <c r="AS1020" s="36"/>
      <c r="AT1020" s="36"/>
      <c r="AU1020" s="36"/>
      <c r="AV1020" s="36"/>
      <c r="AW1020" s="36"/>
      <c r="AX1020" s="36"/>
      <c r="AY1020" s="36"/>
      <c r="AZ1020" s="36"/>
      <c r="BA1020" s="36"/>
      <c r="BB1020" s="36"/>
      <c r="BC1020" s="36"/>
      <c r="BD1020" s="36"/>
      <c r="BE1020" s="36"/>
      <c r="BF1020" s="36"/>
      <c r="BG1020" s="36"/>
      <c r="BH1020" s="36"/>
      <c r="BI1020" s="36"/>
      <c r="BJ1020" s="36"/>
      <c r="BK1020" s="36"/>
      <c r="BL1020" s="36"/>
      <c r="BM1020" s="36"/>
      <c r="BN1020" s="36"/>
      <c r="BO1020" s="36"/>
      <c r="BP1020" s="36"/>
      <c r="BQ1020" s="36"/>
    </row>
    <row r="1021">
      <c r="A1021" s="45"/>
      <c r="B1021" s="45"/>
      <c r="C1021" s="45"/>
      <c r="D1021" s="45"/>
      <c r="E1021" s="45"/>
      <c r="F1021" s="45"/>
      <c r="G1021" s="45"/>
      <c r="H1021" s="45"/>
      <c r="I1021" s="45"/>
      <c r="J1021" s="45"/>
      <c r="K1021" s="45"/>
      <c r="L1021" s="45"/>
      <c r="M1021" s="45"/>
      <c r="N1021" s="45"/>
      <c r="O1021" s="45"/>
      <c r="P1021" s="45"/>
      <c r="Q1021" s="45"/>
      <c r="R1021" s="51"/>
      <c r="S1021" s="51"/>
      <c r="T1021" s="51"/>
      <c r="U1021" s="51"/>
      <c r="V1021" s="51"/>
      <c r="W1021" s="51"/>
      <c r="X1021" s="51"/>
      <c r="Y1021" s="45"/>
      <c r="Z1021" s="45"/>
      <c r="AA1021" s="45"/>
      <c r="AB1021" s="45"/>
      <c r="AC1021" s="45"/>
      <c r="AD1021" s="45"/>
      <c r="AE1021" s="45"/>
      <c r="AF1021" s="45"/>
      <c r="AG1021" s="45"/>
      <c r="AH1021" s="45"/>
      <c r="AI1021" s="45"/>
      <c r="AJ1021" s="45"/>
      <c r="AK1021" s="45"/>
      <c r="AL1021" s="45"/>
      <c r="AM1021" s="45"/>
      <c r="AN1021" s="45"/>
      <c r="AO1021" s="45"/>
      <c r="AP1021" s="45"/>
      <c r="AQ1021" s="36"/>
      <c r="AR1021" s="36"/>
      <c r="AS1021" s="36"/>
      <c r="AT1021" s="36"/>
      <c r="AU1021" s="36"/>
      <c r="AV1021" s="36"/>
      <c r="AW1021" s="36"/>
      <c r="AX1021" s="36"/>
      <c r="AY1021" s="36"/>
      <c r="AZ1021" s="36"/>
      <c r="BA1021" s="36"/>
      <c r="BB1021" s="36"/>
      <c r="BC1021" s="36"/>
      <c r="BD1021" s="36"/>
      <c r="BE1021" s="36"/>
      <c r="BF1021" s="36"/>
      <c r="BG1021" s="36"/>
      <c r="BH1021" s="36"/>
      <c r="BI1021" s="36"/>
      <c r="BJ1021" s="36"/>
      <c r="BK1021" s="36"/>
      <c r="BL1021" s="36"/>
      <c r="BM1021" s="36"/>
      <c r="BN1021" s="36"/>
      <c r="BO1021" s="36"/>
      <c r="BP1021" s="36"/>
      <c r="BQ1021" s="36"/>
    </row>
    <row r="1022">
      <c r="A1022" s="45"/>
      <c r="B1022" s="45"/>
      <c r="C1022" s="45"/>
      <c r="D1022" s="45"/>
      <c r="E1022" s="45"/>
      <c r="F1022" s="45"/>
      <c r="G1022" s="45"/>
      <c r="H1022" s="45"/>
      <c r="I1022" s="45"/>
      <c r="J1022" s="45"/>
      <c r="K1022" s="45"/>
      <c r="L1022" s="45"/>
      <c r="M1022" s="45"/>
      <c r="N1022" s="45"/>
      <c r="O1022" s="45"/>
      <c r="P1022" s="45"/>
      <c r="Q1022" s="45"/>
      <c r="R1022" s="51"/>
      <c r="S1022" s="51"/>
      <c r="T1022" s="51"/>
      <c r="U1022" s="51"/>
      <c r="V1022" s="51"/>
      <c r="W1022" s="51"/>
      <c r="X1022" s="51"/>
      <c r="Y1022" s="45"/>
      <c r="Z1022" s="45"/>
      <c r="AA1022" s="45"/>
      <c r="AB1022" s="45"/>
      <c r="AC1022" s="45"/>
      <c r="AD1022" s="45"/>
      <c r="AE1022" s="45"/>
      <c r="AF1022" s="45"/>
      <c r="AG1022" s="45"/>
      <c r="AH1022" s="45"/>
      <c r="AI1022" s="45"/>
      <c r="AJ1022" s="45"/>
      <c r="AK1022" s="45"/>
      <c r="AL1022" s="45"/>
      <c r="AM1022" s="45"/>
      <c r="AN1022" s="45"/>
      <c r="AO1022" s="45"/>
      <c r="AP1022" s="45"/>
      <c r="AQ1022" s="36"/>
      <c r="AR1022" s="36"/>
      <c r="AS1022" s="36"/>
      <c r="AT1022" s="36"/>
      <c r="AU1022" s="36"/>
      <c r="AV1022" s="36"/>
      <c r="AW1022" s="36"/>
      <c r="AX1022" s="36"/>
      <c r="AY1022" s="36"/>
      <c r="AZ1022" s="36"/>
      <c r="BA1022" s="36"/>
      <c r="BB1022" s="36"/>
      <c r="BC1022" s="36"/>
      <c r="BD1022" s="36"/>
      <c r="BE1022" s="36"/>
      <c r="BF1022" s="36"/>
      <c r="BG1022" s="36"/>
      <c r="BH1022" s="36"/>
      <c r="BI1022" s="36"/>
      <c r="BJ1022" s="36"/>
      <c r="BK1022" s="36"/>
      <c r="BL1022" s="36"/>
      <c r="BM1022" s="36"/>
      <c r="BN1022" s="36"/>
      <c r="BO1022" s="36"/>
      <c r="BP1022" s="36"/>
      <c r="BQ1022" s="36"/>
    </row>
    <row r="1023">
      <c r="A1023" s="45"/>
      <c r="B1023" s="45"/>
      <c r="C1023" s="45"/>
      <c r="D1023" s="45"/>
      <c r="E1023" s="45"/>
      <c r="F1023" s="45"/>
      <c r="G1023" s="45"/>
      <c r="H1023" s="45"/>
      <c r="I1023" s="45"/>
      <c r="J1023" s="45"/>
      <c r="K1023" s="45"/>
      <c r="L1023" s="45"/>
      <c r="M1023" s="45"/>
      <c r="N1023" s="45"/>
      <c r="O1023" s="45"/>
      <c r="P1023" s="45"/>
      <c r="Q1023" s="45"/>
      <c r="R1023" s="51"/>
      <c r="S1023" s="51"/>
      <c r="T1023" s="51"/>
      <c r="U1023" s="51"/>
      <c r="V1023" s="51"/>
      <c r="W1023" s="51"/>
      <c r="X1023" s="51"/>
      <c r="Y1023" s="45"/>
      <c r="Z1023" s="45"/>
      <c r="AA1023" s="45"/>
      <c r="AB1023" s="45"/>
      <c r="AC1023" s="45"/>
      <c r="AD1023" s="45"/>
      <c r="AE1023" s="45"/>
      <c r="AF1023" s="45"/>
      <c r="AG1023" s="45"/>
      <c r="AH1023" s="45"/>
      <c r="AI1023" s="45"/>
      <c r="AJ1023" s="45"/>
      <c r="AK1023" s="45"/>
      <c r="AL1023" s="45"/>
      <c r="AM1023" s="45"/>
      <c r="AN1023" s="45"/>
      <c r="AO1023" s="45"/>
      <c r="AP1023" s="45"/>
      <c r="AQ1023" s="36"/>
      <c r="AR1023" s="36"/>
      <c r="AS1023" s="36"/>
      <c r="AT1023" s="36"/>
      <c r="AU1023" s="36"/>
      <c r="AV1023" s="36"/>
      <c r="AW1023" s="36"/>
      <c r="AX1023" s="36"/>
      <c r="AY1023" s="36"/>
      <c r="AZ1023" s="36"/>
      <c r="BA1023" s="36"/>
      <c r="BB1023" s="36"/>
      <c r="BC1023" s="36"/>
      <c r="BD1023" s="36"/>
      <c r="BE1023" s="36"/>
      <c r="BF1023" s="36"/>
      <c r="BG1023" s="36"/>
      <c r="BH1023" s="36"/>
      <c r="BI1023" s="36"/>
      <c r="BJ1023" s="36"/>
      <c r="BK1023" s="36"/>
      <c r="BL1023" s="36"/>
      <c r="BM1023" s="36"/>
      <c r="BN1023" s="36"/>
      <c r="BO1023" s="36"/>
      <c r="BP1023" s="36"/>
      <c r="BQ1023" s="36"/>
    </row>
    <row r="1024">
      <c r="A1024" s="45"/>
      <c r="B1024" s="45"/>
      <c r="C1024" s="45"/>
      <c r="D1024" s="45"/>
      <c r="E1024" s="45"/>
      <c r="F1024" s="45"/>
      <c r="G1024" s="45"/>
      <c r="H1024" s="45"/>
      <c r="I1024" s="45"/>
      <c r="J1024" s="45"/>
      <c r="K1024" s="45"/>
      <c r="L1024" s="45"/>
      <c r="M1024" s="45"/>
      <c r="N1024" s="45"/>
      <c r="O1024" s="45"/>
      <c r="P1024" s="45"/>
      <c r="Q1024" s="45"/>
      <c r="R1024" s="51"/>
      <c r="S1024" s="51"/>
      <c r="T1024" s="51"/>
      <c r="U1024" s="51"/>
      <c r="V1024" s="51"/>
      <c r="W1024" s="51"/>
      <c r="X1024" s="51"/>
      <c r="Y1024" s="45"/>
      <c r="Z1024" s="45"/>
      <c r="AA1024" s="45"/>
      <c r="AB1024" s="45"/>
      <c r="AC1024" s="45"/>
      <c r="AD1024" s="45"/>
      <c r="AE1024" s="45"/>
      <c r="AF1024" s="45"/>
      <c r="AG1024" s="45"/>
      <c r="AH1024" s="45"/>
      <c r="AI1024" s="45"/>
      <c r="AJ1024" s="45"/>
      <c r="AK1024" s="45"/>
      <c r="AL1024" s="45"/>
      <c r="AM1024" s="45"/>
      <c r="AN1024" s="45"/>
      <c r="AO1024" s="45"/>
      <c r="AP1024" s="45"/>
      <c r="AQ1024" s="36"/>
      <c r="AR1024" s="36"/>
      <c r="AS1024" s="36"/>
      <c r="AT1024" s="36"/>
      <c r="AU1024" s="36"/>
      <c r="AV1024" s="36"/>
      <c r="AW1024" s="36"/>
      <c r="AX1024" s="36"/>
      <c r="AY1024" s="36"/>
      <c r="AZ1024" s="36"/>
      <c r="BA1024" s="36"/>
      <c r="BB1024" s="36"/>
      <c r="BC1024" s="36"/>
      <c r="BD1024" s="36"/>
      <c r="BE1024" s="36"/>
      <c r="BF1024" s="36"/>
      <c r="BG1024" s="36"/>
      <c r="BH1024" s="36"/>
      <c r="BI1024" s="36"/>
      <c r="BJ1024" s="36"/>
      <c r="BK1024" s="36"/>
      <c r="BL1024" s="36"/>
      <c r="BM1024" s="36"/>
      <c r="BN1024" s="36"/>
      <c r="BO1024" s="36"/>
      <c r="BP1024" s="36"/>
      <c r="BQ1024" s="36"/>
    </row>
    <row r="1025">
      <c r="A1025" s="45"/>
      <c r="B1025" s="45"/>
      <c r="C1025" s="45"/>
      <c r="D1025" s="45"/>
      <c r="E1025" s="45"/>
      <c r="F1025" s="45"/>
      <c r="G1025" s="45"/>
      <c r="H1025" s="45"/>
      <c r="I1025" s="45"/>
      <c r="J1025" s="45"/>
      <c r="K1025" s="45"/>
      <c r="L1025" s="45"/>
      <c r="M1025" s="45"/>
      <c r="N1025" s="45"/>
      <c r="O1025" s="45"/>
      <c r="P1025" s="45"/>
      <c r="Q1025" s="45"/>
      <c r="R1025" s="51"/>
      <c r="S1025" s="51"/>
      <c r="T1025" s="51"/>
      <c r="U1025" s="51"/>
      <c r="V1025" s="51"/>
      <c r="W1025" s="51"/>
      <c r="X1025" s="51"/>
      <c r="Y1025" s="45"/>
      <c r="Z1025" s="45"/>
      <c r="AA1025" s="45"/>
      <c r="AB1025" s="45"/>
      <c r="AC1025" s="45"/>
      <c r="AD1025" s="45"/>
      <c r="AE1025" s="45"/>
      <c r="AF1025" s="45"/>
      <c r="AG1025" s="45"/>
      <c r="AH1025" s="45"/>
      <c r="AI1025" s="45"/>
      <c r="AJ1025" s="45"/>
      <c r="AK1025" s="45"/>
      <c r="AL1025" s="45"/>
      <c r="AM1025" s="45"/>
      <c r="AN1025" s="45"/>
      <c r="AO1025" s="45"/>
      <c r="AP1025" s="45"/>
      <c r="AQ1025" s="36"/>
      <c r="AR1025" s="36"/>
      <c r="AS1025" s="36"/>
      <c r="AT1025" s="36"/>
      <c r="AU1025" s="36"/>
      <c r="AV1025" s="36"/>
      <c r="AW1025" s="36"/>
      <c r="AX1025" s="36"/>
      <c r="AY1025" s="36"/>
      <c r="AZ1025" s="36"/>
      <c r="BA1025" s="36"/>
      <c r="BB1025" s="36"/>
      <c r="BC1025" s="36"/>
      <c r="BD1025" s="36"/>
      <c r="BE1025" s="36"/>
      <c r="BF1025" s="36"/>
      <c r="BG1025" s="36"/>
      <c r="BH1025" s="36"/>
      <c r="BI1025" s="36"/>
      <c r="BJ1025" s="36"/>
      <c r="BK1025" s="36"/>
      <c r="BL1025" s="36"/>
      <c r="BM1025" s="36"/>
      <c r="BN1025" s="36"/>
      <c r="BO1025" s="36"/>
      <c r="BP1025" s="36"/>
      <c r="BQ1025" s="36"/>
    </row>
    <row r="1026">
      <c r="A1026" s="45"/>
      <c r="B1026" s="45"/>
      <c r="C1026" s="45"/>
      <c r="D1026" s="45"/>
      <c r="E1026" s="45"/>
      <c r="F1026" s="45"/>
      <c r="G1026" s="45"/>
      <c r="H1026" s="45"/>
      <c r="I1026" s="45"/>
      <c r="J1026" s="45"/>
      <c r="K1026" s="45"/>
      <c r="L1026" s="45"/>
      <c r="M1026" s="45"/>
      <c r="N1026" s="45"/>
      <c r="O1026" s="45"/>
      <c r="P1026" s="45"/>
      <c r="Q1026" s="45"/>
      <c r="R1026" s="51"/>
      <c r="S1026" s="51"/>
      <c r="T1026" s="51"/>
      <c r="U1026" s="51"/>
      <c r="V1026" s="51"/>
      <c r="W1026" s="51"/>
      <c r="X1026" s="51"/>
      <c r="Y1026" s="45"/>
      <c r="Z1026" s="45"/>
      <c r="AA1026" s="45"/>
      <c r="AB1026" s="45"/>
      <c r="AC1026" s="45"/>
      <c r="AD1026" s="45"/>
      <c r="AE1026" s="45"/>
      <c r="AF1026" s="45"/>
      <c r="AG1026" s="45"/>
      <c r="AH1026" s="45"/>
      <c r="AI1026" s="45"/>
      <c r="AJ1026" s="45"/>
      <c r="AK1026" s="45"/>
      <c r="AL1026" s="45"/>
      <c r="AM1026" s="45"/>
      <c r="AN1026" s="45"/>
      <c r="AO1026" s="45"/>
      <c r="AP1026" s="45"/>
      <c r="AQ1026" s="36"/>
      <c r="AR1026" s="36"/>
      <c r="AS1026" s="36"/>
      <c r="AT1026" s="36"/>
      <c r="AU1026" s="36"/>
      <c r="AV1026" s="36"/>
      <c r="AW1026" s="36"/>
      <c r="AX1026" s="36"/>
      <c r="AY1026" s="36"/>
      <c r="AZ1026" s="36"/>
      <c r="BA1026" s="36"/>
      <c r="BB1026" s="36"/>
      <c r="BC1026" s="36"/>
      <c r="BD1026" s="36"/>
      <c r="BE1026" s="36"/>
      <c r="BF1026" s="36"/>
      <c r="BG1026" s="36"/>
      <c r="BH1026" s="36"/>
      <c r="BI1026" s="36"/>
      <c r="BJ1026" s="36"/>
      <c r="BK1026" s="36"/>
      <c r="BL1026" s="36"/>
      <c r="BM1026" s="36"/>
      <c r="BN1026" s="36"/>
      <c r="BO1026" s="36"/>
      <c r="BP1026" s="36"/>
      <c r="BQ1026" s="36"/>
    </row>
    <row r="1027">
      <c r="A1027" s="45"/>
      <c r="B1027" s="45"/>
      <c r="C1027" s="45"/>
      <c r="D1027" s="45"/>
      <c r="E1027" s="45"/>
      <c r="F1027" s="45"/>
      <c r="G1027" s="45"/>
      <c r="H1027" s="45"/>
      <c r="I1027" s="45"/>
      <c r="J1027" s="45"/>
      <c r="K1027" s="45"/>
      <c r="L1027" s="45"/>
      <c r="M1027" s="45"/>
      <c r="N1027" s="45"/>
      <c r="O1027" s="45"/>
      <c r="P1027" s="45"/>
      <c r="Q1027" s="45"/>
      <c r="R1027" s="51"/>
      <c r="S1027" s="51"/>
      <c r="T1027" s="51"/>
      <c r="U1027" s="51"/>
      <c r="V1027" s="51"/>
      <c r="W1027" s="51"/>
      <c r="X1027" s="51"/>
      <c r="Y1027" s="45"/>
      <c r="Z1027" s="45"/>
      <c r="AA1027" s="45"/>
      <c r="AB1027" s="45"/>
      <c r="AC1027" s="45"/>
      <c r="AD1027" s="45"/>
      <c r="AE1027" s="45"/>
      <c r="AF1027" s="45"/>
      <c r="AG1027" s="45"/>
      <c r="AH1027" s="45"/>
      <c r="AI1027" s="45"/>
      <c r="AJ1027" s="45"/>
      <c r="AK1027" s="45"/>
      <c r="AL1027" s="45"/>
      <c r="AM1027" s="45"/>
      <c r="AN1027" s="45"/>
      <c r="AO1027" s="45"/>
      <c r="AP1027" s="45"/>
      <c r="AQ1027" s="36"/>
      <c r="AR1027" s="36"/>
      <c r="AS1027" s="36"/>
      <c r="AT1027" s="36"/>
      <c r="AU1027" s="36"/>
      <c r="AV1027" s="36"/>
      <c r="AW1027" s="36"/>
      <c r="AX1027" s="36"/>
      <c r="AY1027" s="36"/>
      <c r="AZ1027" s="36"/>
      <c r="BA1027" s="36"/>
      <c r="BB1027" s="36"/>
      <c r="BC1027" s="36"/>
      <c r="BD1027" s="36"/>
      <c r="BE1027" s="36"/>
      <c r="BF1027" s="36"/>
      <c r="BG1027" s="36"/>
      <c r="BH1027" s="36"/>
      <c r="BI1027" s="36"/>
      <c r="BJ1027" s="36"/>
      <c r="BK1027" s="36"/>
      <c r="BL1027" s="36"/>
      <c r="BM1027" s="36"/>
      <c r="BN1027" s="36"/>
      <c r="BO1027" s="36"/>
      <c r="BP1027" s="36"/>
      <c r="BQ1027" s="36"/>
    </row>
    <row r="1028">
      <c r="A1028" s="45"/>
      <c r="B1028" s="45"/>
      <c r="C1028" s="45"/>
      <c r="D1028" s="45"/>
      <c r="E1028" s="45"/>
      <c r="F1028" s="45"/>
      <c r="G1028" s="45"/>
      <c r="H1028" s="45"/>
      <c r="I1028" s="45"/>
      <c r="J1028" s="45"/>
      <c r="K1028" s="45"/>
      <c r="L1028" s="45"/>
      <c r="M1028" s="45"/>
      <c r="N1028" s="45"/>
      <c r="O1028" s="45"/>
      <c r="P1028" s="45"/>
      <c r="Q1028" s="45"/>
      <c r="R1028" s="51"/>
      <c r="S1028" s="51"/>
      <c r="T1028" s="51"/>
      <c r="U1028" s="51"/>
      <c r="V1028" s="51"/>
      <c r="W1028" s="51"/>
      <c r="X1028" s="51"/>
      <c r="Y1028" s="45"/>
      <c r="Z1028" s="45"/>
      <c r="AA1028" s="45"/>
      <c r="AB1028" s="45"/>
      <c r="AC1028" s="45"/>
      <c r="AD1028" s="45"/>
      <c r="AE1028" s="45"/>
      <c r="AF1028" s="45"/>
      <c r="AG1028" s="45"/>
      <c r="AH1028" s="45"/>
      <c r="AI1028" s="45"/>
      <c r="AJ1028" s="45"/>
      <c r="AK1028" s="45"/>
      <c r="AL1028" s="45"/>
      <c r="AM1028" s="45"/>
      <c r="AN1028" s="45"/>
      <c r="AO1028" s="45"/>
      <c r="AP1028" s="45"/>
      <c r="AQ1028" s="36"/>
      <c r="AR1028" s="36"/>
      <c r="AS1028" s="36"/>
      <c r="AT1028" s="36"/>
      <c r="AU1028" s="36"/>
      <c r="AV1028" s="36"/>
      <c r="AW1028" s="36"/>
      <c r="AX1028" s="36"/>
      <c r="AY1028" s="36"/>
      <c r="AZ1028" s="36"/>
      <c r="BA1028" s="36"/>
      <c r="BB1028" s="36"/>
      <c r="BC1028" s="36"/>
      <c r="BD1028" s="36"/>
      <c r="BE1028" s="36"/>
      <c r="BF1028" s="36"/>
      <c r="BG1028" s="36"/>
      <c r="BH1028" s="36"/>
      <c r="BI1028" s="36"/>
      <c r="BJ1028" s="36"/>
      <c r="BK1028" s="36"/>
      <c r="BL1028" s="36"/>
      <c r="BM1028" s="36"/>
      <c r="BN1028" s="36"/>
      <c r="BO1028" s="36"/>
      <c r="BP1028" s="36"/>
      <c r="BQ1028" s="36"/>
    </row>
    <row r="1029">
      <c r="A1029" s="45"/>
      <c r="B1029" s="45"/>
      <c r="C1029" s="45"/>
      <c r="D1029" s="45"/>
      <c r="E1029" s="45"/>
      <c r="F1029" s="45"/>
      <c r="G1029" s="45"/>
      <c r="H1029" s="45"/>
      <c r="I1029" s="45"/>
      <c r="J1029" s="45"/>
      <c r="K1029" s="45"/>
      <c r="L1029" s="45"/>
      <c r="M1029" s="45"/>
      <c r="N1029" s="45"/>
      <c r="O1029" s="45"/>
      <c r="P1029" s="45"/>
      <c r="Q1029" s="45"/>
      <c r="R1029" s="51"/>
      <c r="S1029" s="51"/>
      <c r="T1029" s="51"/>
      <c r="U1029" s="51"/>
      <c r="V1029" s="51"/>
      <c r="W1029" s="51"/>
      <c r="X1029" s="51"/>
      <c r="Y1029" s="45"/>
      <c r="Z1029" s="45"/>
      <c r="AA1029" s="45"/>
      <c r="AB1029" s="45"/>
      <c r="AC1029" s="45"/>
      <c r="AD1029" s="45"/>
      <c r="AE1029" s="45"/>
      <c r="AF1029" s="45"/>
      <c r="AG1029" s="45"/>
      <c r="AH1029" s="45"/>
      <c r="AI1029" s="45"/>
      <c r="AJ1029" s="45"/>
      <c r="AK1029" s="45"/>
      <c r="AL1029" s="45"/>
      <c r="AM1029" s="45"/>
      <c r="AN1029" s="45"/>
      <c r="AO1029" s="45"/>
      <c r="AP1029" s="45"/>
      <c r="AQ1029" s="36"/>
      <c r="AR1029" s="36"/>
      <c r="AS1029" s="36"/>
      <c r="AT1029" s="36"/>
      <c r="AU1029" s="36"/>
      <c r="AV1029" s="36"/>
      <c r="AW1029" s="36"/>
      <c r="AX1029" s="36"/>
      <c r="AY1029" s="36"/>
      <c r="AZ1029" s="36"/>
      <c r="BA1029" s="36"/>
      <c r="BB1029" s="36"/>
      <c r="BC1029" s="36"/>
      <c r="BD1029" s="36"/>
      <c r="BE1029" s="36"/>
      <c r="BF1029" s="36"/>
      <c r="BG1029" s="36"/>
      <c r="BH1029" s="36"/>
      <c r="BI1029" s="36"/>
      <c r="BJ1029" s="36"/>
      <c r="BK1029" s="36"/>
      <c r="BL1029" s="36"/>
      <c r="BM1029" s="36"/>
      <c r="BN1029" s="36"/>
      <c r="BO1029" s="36"/>
      <c r="BP1029" s="36"/>
      <c r="BQ1029" s="36"/>
    </row>
    <row r="1030">
      <c r="A1030" s="45"/>
      <c r="B1030" s="45"/>
      <c r="C1030" s="45"/>
      <c r="D1030" s="45"/>
      <c r="E1030" s="45"/>
      <c r="F1030" s="45"/>
      <c r="G1030" s="45"/>
      <c r="H1030" s="45"/>
      <c r="I1030" s="45"/>
      <c r="J1030" s="45"/>
      <c r="K1030" s="45"/>
      <c r="L1030" s="45"/>
      <c r="M1030" s="45"/>
      <c r="N1030" s="45"/>
      <c r="O1030" s="45"/>
      <c r="P1030" s="45"/>
      <c r="Q1030" s="45"/>
      <c r="R1030" s="51"/>
      <c r="S1030" s="51"/>
      <c r="T1030" s="51"/>
      <c r="U1030" s="51"/>
      <c r="V1030" s="51"/>
      <c r="W1030" s="51"/>
      <c r="X1030" s="51"/>
      <c r="Y1030" s="45"/>
      <c r="Z1030" s="45"/>
      <c r="AA1030" s="45"/>
      <c r="AB1030" s="45"/>
      <c r="AC1030" s="45"/>
      <c r="AD1030" s="45"/>
      <c r="AE1030" s="45"/>
      <c r="AF1030" s="45"/>
      <c r="AG1030" s="45"/>
      <c r="AH1030" s="45"/>
      <c r="AI1030" s="45"/>
      <c r="AJ1030" s="45"/>
      <c r="AK1030" s="45"/>
      <c r="AL1030" s="45"/>
      <c r="AM1030" s="45"/>
      <c r="AN1030" s="45"/>
      <c r="AO1030" s="45"/>
      <c r="AP1030" s="45"/>
      <c r="AQ1030" s="36"/>
      <c r="AR1030" s="36"/>
      <c r="AS1030" s="36"/>
      <c r="AT1030" s="36"/>
      <c r="AU1030" s="36"/>
      <c r="AV1030" s="36"/>
      <c r="AW1030" s="36"/>
      <c r="AX1030" s="36"/>
      <c r="AY1030" s="36"/>
      <c r="AZ1030" s="36"/>
      <c r="BA1030" s="36"/>
      <c r="BB1030" s="36"/>
      <c r="BC1030" s="36"/>
      <c r="BD1030" s="36"/>
      <c r="BE1030" s="36"/>
      <c r="BF1030" s="36"/>
      <c r="BG1030" s="36"/>
      <c r="BH1030" s="36"/>
      <c r="BI1030" s="36"/>
      <c r="BJ1030" s="36"/>
      <c r="BK1030" s="36"/>
      <c r="BL1030" s="36"/>
      <c r="BM1030" s="36"/>
      <c r="BN1030" s="36"/>
      <c r="BO1030" s="36"/>
      <c r="BP1030" s="36"/>
      <c r="BQ1030" s="36"/>
    </row>
    <row r="1031">
      <c r="A1031" s="45"/>
      <c r="B1031" s="45"/>
      <c r="C1031" s="45"/>
      <c r="D1031" s="45"/>
      <c r="E1031" s="45"/>
      <c r="F1031" s="45"/>
      <c r="G1031" s="45"/>
      <c r="H1031" s="45"/>
      <c r="I1031" s="45"/>
      <c r="J1031" s="45"/>
      <c r="K1031" s="45"/>
      <c r="L1031" s="45"/>
      <c r="M1031" s="45"/>
      <c r="N1031" s="45"/>
      <c r="O1031" s="45"/>
      <c r="P1031" s="45"/>
      <c r="Q1031" s="45"/>
      <c r="R1031" s="51"/>
      <c r="S1031" s="51"/>
      <c r="T1031" s="51"/>
      <c r="U1031" s="51"/>
      <c r="V1031" s="51"/>
      <c r="W1031" s="51"/>
      <c r="X1031" s="51"/>
      <c r="Y1031" s="45"/>
      <c r="Z1031" s="45"/>
      <c r="AA1031" s="45"/>
      <c r="AB1031" s="45"/>
      <c r="AC1031" s="45"/>
      <c r="AD1031" s="45"/>
      <c r="AE1031" s="45"/>
      <c r="AF1031" s="45"/>
      <c r="AG1031" s="45"/>
      <c r="AH1031" s="45"/>
      <c r="AI1031" s="45"/>
      <c r="AJ1031" s="45"/>
      <c r="AK1031" s="45"/>
      <c r="AL1031" s="45"/>
      <c r="AM1031" s="45"/>
      <c r="AN1031" s="45"/>
      <c r="AO1031" s="45"/>
      <c r="AP1031" s="45"/>
      <c r="AQ1031" s="36"/>
      <c r="AR1031" s="36"/>
      <c r="AS1031" s="36"/>
      <c r="AT1031" s="36"/>
      <c r="AU1031" s="36"/>
      <c r="AV1031" s="36"/>
      <c r="AW1031" s="36"/>
      <c r="AX1031" s="36"/>
      <c r="AY1031" s="36"/>
      <c r="AZ1031" s="36"/>
      <c r="BA1031" s="36"/>
      <c r="BB1031" s="36"/>
      <c r="BC1031" s="36"/>
      <c r="BD1031" s="36"/>
      <c r="BE1031" s="36"/>
      <c r="BF1031" s="36"/>
      <c r="BG1031" s="36"/>
      <c r="BH1031" s="36"/>
      <c r="BI1031" s="36"/>
      <c r="BJ1031" s="36"/>
      <c r="BK1031" s="36"/>
      <c r="BL1031" s="36"/>
      <c r="BM1031" s="36"/>
      <c r="BN1031" s="36"/>
      <c r="BO1031" s="36"/>
      <c r="BP1031" s="36"/>
      <c r="BQ1031" s="36"/>
    </row>
    <row r="1032">
      <c r="A1032" s="45"/>
      <c r="B1032" s="45"/>
      <c r="C1032" s="45"/>
      <c r="D1032" s="45"/>
      <c r="E1032" s="45"/>
      <c r="F1032" s="45"/>
      <c r="G1032" s="45"/>
      <c r="H1032" s="45"/>
      <c r="I1032" s="45"/>
      <c r="J1032" s="45"/>
      <c r="K1032" s="45"/>
      <c r="L1032" s="45"/>
      <c r="M1032" s="45"/>
      <c r="N1032" s="45"/>
      <c r="O1032" s="45"/>
      <c r="P1032" s="45"/>
      <c r="Q1032" s="45"/>
      <c r="R1032" s="51"/>
      <c r="S1032" s="51"/>
      <c r="T1032" s="51"/>
      <c r="U1032" s="51"/>
      <c r="V1032" s="51"/>
      <c r="W1032" s="51"/>
      <c r="X1032" s="51"/>
      <c r="Y1032" s="45"/>
      <c r="Z1032" s="45"/>
      <c r="AA1032" s="45"/>
      <c r="AB1032" s="45"/>
      <c r="AC1032" s="45"/>
      <c r="AD1032" s="45"/>
      <c r="AE1032" s="45"/>
      <c r="AF1032" s="45"/>
      <c r="AG1032" s="45"/>
      <c r="AH1032" s="45"/>
      <c r="AI1032" s="45"/>
      <c r="AJ1032" s="45"/>
      <c r="AK1032" s="45"/>
      <c r="AL1032" s="45"/>
      <c r="AM1032" s="45"/>
      <c r="AN1032" s="45"/>
      <c r="AO1032" s="45"/>
      <c r="AP1032" s="45"/>
      <c r="AQ1032" s="36"/>
      <c r="AR1032" s="36"/>
      <c r="AS1032" s="36"/>
      <c r="AT1032" s="36"/>
      <c r="AU1032" s="36"/>
      <c r="AV1032" s="36"/>
      <c r="AW1032" s="36"/>
      <c r="AX1032" s="36"/>
      <c r="AY1032" s="36"/>
      <c r="AZ1032" s="36"/>
      <c r="BA1032" s="36"/>
      <c r="BB1032" s="36"/>
      <c r="BC1032" s="36"/>
      <c r="BD1032" s="36"/>
      <c r="BE1032" s="36"/>
      <c r="BF1032" s="36"/>
      <c r="BG1032" s="36"/>
      <c r="BH1032" s="36"/>
      <c r="BI1032" s="36"/>
      <c r="BJ1032" s="36"/>
      <c r="BK1032" s="36"/>
      <c r="BL1032" s="36"/>
      <c r="BM1032" s="36"/>
      <c r="BN1032" s="36"/>
      <c r="BO1032" s="36"/>
      <c r="BP1032" s="36"/>
      <c r="BQ1032" s="36"/>
    </row>
    <row r="1033">
      <c r="A1033" s="45"/>
      <c r="B1033" s="45"/>
      <c r="C1033" s="45"/>
      <c r="D1033" s="45"/>
      <c r="E1033" s="45"/>
      <c r="F1033" s="45"/>
      <c r="G1033" s="45"/>
      <c r="H1033" s="45"/>
      <c r="I1033" s="45"/>
      <c r="J1033" s="45"/>
      <c r="K1033" s="45"/>
      <c r="L1033" s="45"/>
      <c r="M1033" s="45"/>
      <c r="N1033" s="45"/>
      <c r="O1033" s="45"/>
      <c r="P1033" s="45"/>
      <c r="Q1033" s="45"/>
      <c r="R1033" s="51"/>
      <c r="S1033" s="51"/>
      <c r="T1033" s="51"/>
      <c r="U1033" s="51"/>
      <c r="V1033" s="51"/>
      <c r="W1033" s="51"/>
      <c r="X1033" s="51"/>
      <c r="Y1033" s="45"/>
      <c r="Z1033" s="45"/>
      <c r="AA1033" s="45"/>
      <c r="AB1033" s="45"/>
      <c r="AC1033" s="45"/>
      <c r="AD1033" s="45"/>
      <c r="AE1033" s="45"/>
      <c r="AF1033" s="45"/>
      <c r="AG1033" s="45"/>
      <c r="AH1033" s="45"/>
      <c r="AI1033" s="45"/>
      <c r="AJ1033" s="45"/>
      <c r="AK1033" s="45"/>
      <c r="AL1033" s="45"/>
      <c r="AM1033" s="45"/>
      <c r="AN1033" s="45"/>
      <c r="AO1033" s="45"/>
      <c r="AP1033" s="45"/>
      <c r="AQ1033" s="36"/>
      <c r="AR1033" s="36"/>
      <c r="AS1033" s="36"/>
      <c r="AT1033" s="36"/>
      <c r="AU1033" s="36"/>
      <c r="AV1033" s="36"/>
      <c r="AW1033" s="36"/>
      <c r="AX1033" s="36"/>
      <c r="AY1033" s="36"/>
      <c r="AZ1033" s="36"/>
      <c r="BA1033" s="36"/>
      <c r="BB1033" s="36"/>
      <c r="BC1033" s="36"/>
      <c r="BD1033" s="36"/>
      <c r="BE1033" s="36"/>
      <c r="BF1033" s="36"/>
      <c r="BG1033" s="36"/>
      <c r="BH1033" s="36"/>
      <c r="BI1033" s="36"/>
      <c r="BJ1033" s="36"/>
      <c r="BK1033" s="36"/>
      <c r="BL1033" s="36"/>
      <c r="BM1033" s="36"/>
      <c r="BN1033" s="36"/>
      <c r="BO1033" s="36"/>
      <c r="BP1033" s="36"/>
      <c r="BQ1033" s="36"/>
    </row>
    <row r="1034">
      <c r="A1034" s="45"/>
      <c r="B1034" s="45"/>
      <c r="C1034" s="45"/>
      <c r="D1034" s="45"/>
      <c r="E1034" s="45"/>
      <c r="F1034" s="45"/>
      <c r="G1034" s="45"/>
      <c r="H1034" s="45"/>
      <c r="I1034" s="45"/>
      <c r="J1034" s="45"/>
      <c r="K1034" s="45"/>
      <c r="L1034" s="45"/>
      <c r="M1034" s="45"/>
      <c r="N1034" s="45"/>
      <c r="O1034" s="45"/>
      <c r="P1034" s="45"/>
      <c r="Q1034" s="45"/>
      <c r="R1034" s="51"/>
      <c r="S1034" s="51"/>
      <c r="T1034" s="51"/>
      <c r="U1034" s="51"/>
      <c r="V1034" s="51"/>
      <c r="W1034" s="51"/>
      <c r="X1034" s="51"/>
      <c r="Y1034" s="45"/>
      <c r="Z1034" s="45"/>
      <c r="AA1034" s="45"/>
      <c r="AB1034" s="45"/>
      <c r="AC1034" s="45"/>
      <c r="AD1034" s="45"/>
      <c r="AE1034" s="45"/>
      <c r="AF1034" s="45"/>
      <c r="AG1034" s="45"/>
      <c r="AH1034" s="45"/>
      <c r="AI1034" s="45"/>
      <c r="AJ1034" s="45"/>
      <c r="AK1034" s="45"/>
      <c r="AL1034" s="45"/>
      <c r="AM1034" s="45"/>
      <c r="AN1034" s="45"/>
      <c r="AO1034" s="45"/>
      <c r="AP1034" s="45"/>
      <c r="AQ1034" s="36"/>
      <c r="AR1034" s="36"/>
      <c r="AS1034" s="36"/>
      <c r="AT1034" s="36"/>
      <c r="AU1034" s="36"/>
      <c r="AV1034" s="36"/>
      <c r="AW1034" s="36"/>
      <c r="AX1034" s="36"/>
      <c r="AY1034" s="36"/>
      <c r="AZ1034" s="36"/>
      <c r="BA1034" s="36"/>
      <c r="BB1034" s="36"/>
      <c r="BC1034" s="36"/>
      <c r="BD1034" s="36"/>
      <c r="BE1034" s="36"/>
      <c r="BF1034" s="36"/>
      <c r="BG1034" s="36"/>
      <c r="BH1034" s="36"/>
      <c r="BI1034" s="36"/>
      <c r="BJ1034" s="36"/>
      <c r="BK1034" s="36"/>
      <c r="BL1034" s="36"/>
      <c r="BM1034" s="36"/>
      <c r="BN1034" s="36"/>
      <c r="BO1034" s="36"/>
      <c r="BP1034" s="36"/>
      <c r="BQ1034" s="36"/>
    </row>
    <row r="1035">
      <c r="A1035" s="45"/>
      <c r="B1035" s="45"/>
      <c r="C1035" s="45"/>
      <c r="D1035" s="45"/>
      <c r="E1035" s="45"/>
      <c r="F1035" s="45"/>
      <c r="G1035" s="45"/>
      <c r="H1035" s="45"/>
      <c r="I1035" s="45"/>
      <c r="J1035" s="45"/>
      <c r="K1035" s="45"/>
      <c r="L1035" s="45"/>
      <c r="M1035" s="45"/>
      <c r="N1035" s="45"/>
      <c r="O1035" s="45"/>
      <c r="P1035" s="45"/>
      <c r="Q1035" s="45"/>
      <c r="R1035" s="51"/>
      <c r="S1035" s="51"/>
      <c r="T1035" s="51"/>
      <c r="U1035" s="51"/>
      <c r="V1035" s="51"/>
      <c r="W1035" s="51"/>
      <c r="X1035" s="51"/>
      <c r="Y1035" s="45"/>
      <c r="Z1035" s="45"/>
      <c r="AA1035" s="45"/>
      <c r="AB1035" s="45"/>
      <c r="AC1035" s="45"/>
      <c r="AD1035" s="45"/>
      <c r="AE1035" s="45"/>
      <c r="AF1035" s="45"/>
      <c r="AG1035" s="45"/>
      <c r="AH1035" s="45"/>
      <c r="AI1035" s="45"/>
      <c r="AJ1035" s="45"/>
      <c r="AK1035" s="45"/>
      <c r="AL1035" s="45"/>
      <c r="AM1035" s="45"/>
      <c r="AN1035" s="45"/>
      <c r="AO1035" s="45"/>
      <c r="AP1035" s="45"/>
      <c r="AQ1035" s="36"/>
      <c r="AR1035" s="36"/>
      <c r="AS1035" s="36"/>
      <c r="AT1035" s="36"/>
      <c r="AU1035" s="36"/>
      <c r="AV1035" s="36"/>
      <c r="AW1035" s="36"/>
      <c r="AX1035" s="36"/>
      <c r="AY1035" s="36"/>
      <c r="AZ1035" s="36"/>
      <c r="BA1035" s="36"/>
      <c r="BB1035" s="36"/>
      <c r="BC1035" s="36"/>
      <c r="BD1035" s="36"/>
      <c r="BE1035" s="36"/>
      <c r="BF1035" s="36"/>
      <c r="BG1035" s="36"/>
      <c r="BH1035" s="36"/>
      <c r="BI1035" s="36"/>
      <c r="BJ1035" s="36"/>
      <c r="BK1035" s="36"/>
      <c r="BL1035" s="36"/>
      <c r="BM1035" s="36"/>
      <c r="BN1035" s="36"/>
      <c r="BO1035" s="36"/>
      <c r="BP1035" s="36"/>
      <c r="BQ1035" s="36"/>
    </row>
    <row r="1036">
      <c r="A1036" s="45"/>
      <c r="B1036" s="45"/>
      <c r="C1036" s="45"/>
      <c r="D1036" s="45"/>
      <c r="E1036" s="45"/>
      <c r="F1036" s="45"/>
      <c r="G1036" s="45"/>
      <c r="H1036" s="45"/>
      <c r="I1036" s="45"/>
      <c r="J1036" s="45"/>
      <c r="K1036" s="45"/>
      <c r="L1036" s="45"/>
      <c r="M1036" s="45"/>
      <c r="N1036" s="45"/>
      <c r="O1036" s="45"/>
      <c r="P1036" s="45"/>
      <c r="Q1036" s="45"/>
      <c r="R1036" s="51"/>
      <c r="S1036" s="51"/>
      <c r="T1036" s="51"/>
      <c r="U1036" s="51"/>
      <c r="V1036" s="51"/>
      <c r="W1036" s="51"/>
      <c r="X1036" s="51"/>
      <c r="Y1036" s="45"/>
      <c r="Z1036" s="45"/>
      <c r="AA1036" s="45"/>
      <c r="AB1036" s="45"/>
      <c r="AC1036" s="45"/>
      <c r="AD1036" s="45"/>
      <c r="AE1036" s="45"/>
      <c r="AF1036" s="45"/>
      <c r="AG1036" s="45"/>
      <c r="AH1036" s="45"/>
      <c r="AI1036" s="45"/>
      <c r="AJ1036" s="45"/>
      <c r="AK1036" s="45"/>
      <c r="AL1036" s="45"/>
      <c r="AM1036" s="45"/>
      <c r="AN1036" s="45"/>
      <c r="AO1036" s="45"/>
      <c r="AP1036" s="45"/>
      <c r="AQ1036" s="36"/>
      <c r="AR1036" s="36"/>
      <c r="AS1036" s="36"/>
      <c r="AT1036" s="36"/>
      <c r="AU1036" s="36"/>
      <c r="AV1036" s="36"/>
      <c r="AW1036" s="36"/>
      <c r="AX1036" s="36"/>
      <c r="AY1036" s="36"/>
      <c r="AZ1036" s="36"/>
      <c r="BA1036" s="36"/>
      <c r="BB1036" s="36"/>
      <c r="BC1036" s="36"/>
      <c r="BD1036" s="36"/>
      <c r="BE1036" s="36"/>
      <c r="BF1036" s="36"/>
      <c r="BG1036" s="36"/>
      <c r="BH1036" s="36"/>
      <c r="BI1036" s="36"/>
      <c r="BJ1036" s="36"/>
      <c r="BK1036" s="36"/>
      <c r="BL1036" s="36"/>
      <c r="BM1036" s="36"/>
      <c r="BN1036" s="36"/>
      <c r="BO1036" s="36"/>
      <c r="BP1036" s="36"/>
      <c r="BQ1036" s="36"/>
    </row>
    <row r="1037">
      <c r="A1037" s="45"/>
      <c r="B1037" s="45"/>
      <c r="C1037" s="45"/>
      <c r="D1037" s="45"/>
      <c r="E1037" s="45"/>
      <c r="F1037" s="45"/>
      <c r="G1037" s="45"/>
      <c r="H1037" s="45"/>
      <c r="I1037" s="45"/>
      <c r="J1037" s="45"/>
      <c r="K1037" s="45"/>
      <c r="L1037" s="45"/>
      <c r="M1037" s="45"/>
      <c r="N1037" s="45"/>
      <c r="O1037" s="45"/>
      <c r="P1037" s="45"/>
      <c r="Q1037" s="45"/>
      <c r="R1037" s="51"/>
      <c r="S1037" s="51"/>
      <c r="T1037" s="51"/>
      <c r="U1037" s="51"/>
      <c r="V1037" s="51"/>
      <c r="W1037" s="51"/>
      <c r="X1037" s="51"/>
      <c r="Y1037" s="45"/>
      <c r="Z1037" s="45"/>
      <c r="AA1037" s="45"/>
      <c r="AB1037" s="45"/>
      <c r="AC1037" s="45"/>
      <c r="AD1037" s="45"/>
      <c r="AE1037" s="45"/>
      <c r="AF1037" s="45"/>
      <c r="AG1037" s="45"/>
      <c r="AH1037" s="45"/>
      <c r="AI1037" s="45"/>
      <c r="AJ1037" s="45"/>
      <c r="AK1037" s="45"/>
      <c r="AL1037" s="45"/>
      <c r="AM1037" s="45"/>
      <c r="AN1037" s="45"/>
      <c r="AO1037" s="45"/>
      <c r="AP1037" s="45"/>
      <c r="AQ1037" s="36"/>
      <c r="AR1037" s="36"/>
      <c r="AS1037" s="36"/>
      <c r="AT1037" s="36"/>
      <c r="AU1037" s="36"/>
      <c r="AV1037" s="36"/>
      <c r="AW1037" s="36"/>
      <c r="AX1037" s="36"/>
      <c r="AY1037" s="36"/>
      <c r="AZ1037" s="36"/>
      <c r="BA1037" s="36"/>
      <c r="BB1037" s="36"/>
      <c r="BC1037" s="36"/>
      <c r="BD1037" s="36"/>
      <c r="BE1037" s="36"/>
      <c r="BF1037" s="36"/>
      <c r="BG1037" s="36"/>
      <c r="BH1037" s="36"/>
      <c r="BI1037" s="36"/>
      <c r="BJ1037" s="36"/>
      <c r="BK1037" s="36"/>
      <c r="BL1037" s="36"/>
      <c r="BM1037" s="36"/>
      <c r="BN1037" s="36"/>
      <c r="BO1037" s="36"/>
      <c r="BP1037" s="36"/>
      <c r="BQ1037" s="36"/>
    </row>
    <row r="1038">
      <c r="A1038" s="45"/>
      <c r="B1038" s="45"/>
      <c r="C1038" s="45"/>
      <c r="D1038" s="45"/>
      <c r="E1038" s="45"/>
      <c r="F1038" s="45"/>
      <c r="G1038" s="45"/>
      <c r="H1038" s="45"/>
      <c r="I1038" s="45"/>
      <c r="J1038" s="45"/>
      <c r="K1038" s="45"/>
      <c r="L1038" s="45"/>
      <c r="M1038" s="45"/>
      <c r="N1038" s="45"/>
      <c r="O1038" s="45"/>
      <c r="P1038" s="45"/>
      <c r="Q1038" s="45"/>
      <c r="R1038" s="51"/>
      <c r="S1038" s="51"/>
      <c r="T1038" s="51"/>
      <c r="U1038" s="51"/>
      <c r="V1038" s="51"/>
      <c r="W1038" s="51"/>
      <c r="X1038" s="51"/>
      <c r="Y1038" s="45"/>
      <c r="Z1038" s="45"/>
      <c r="AA1038" s="45"/>
      <c r="AB1038" s="45"/>
      <c r="AC1038" s="45"/>
      <c r="AD1038" s="45"/>
      <c r="AE1038" s="45"/>
      <c r="AF1038" s="45"/>
      <c r="AG1038" s="45"/>
      <c r="AH1038" s="45"/>
      <c r="AI1038" s="45"/>
      <c r="AJ1038" s="45"/>
      <c r="AK1038" s="45"/>
      <c r="AL1038" s="45"/>
      <c r="AM1038" s="45"/>
      <c r="AN1038" s="45"/>
      <c r="AO1038" s="45"/>
      <c r="AP1038" s="45"/>
      <c r="AQ1038" s="36"/>
      <c r="AR1038" s="36"/>
      <c r="AS1038" s="36"/>
      <c r="AT1038" s="36"/>
      <c r="AU1038" s="36"/>
      <c r="AV1038" s="36"/>
      <c r="AW1038" s="36"/>
      <c r="AX1038" s="36"/>
      <c r="AY1038" s="36"/>
      <c r="AZ1038" s="36"/>
      <c r="BA1038" s="36"/>
      <c r="BB1038" s="36"/>
      <c r="BC1038" s="36"/>
      <c r="BD1038" s="36"/>
      <c r="BE1038" s="36"/>
      <c r="BF1038" s="36"/>
      <c r="BG1038" s="36"/>
      <c r="BH1038" s="36"/>
      <c r="BI1038" s="36"/>
      <c r="BJ1038" s="36"/>
      <c r="BK1038" s="36"/>
      <c r="BL1038" s="36"/>
      <c r="BM1038" s="36"/>
      <c r="BN1038" s="36"/>
      <c r="BO1038" s="36"/>
      <c r="BP1038" s="36"/>
      <c r="BQ1038" s="36"/>
    </row>
    <row r="1039">
      <c r="A1039" s="45"/>
      <c r="B1039" s="45"/>
      <c r="C1039" s="45"/>
      <c r="D1039" s="45"/>
      <c r="E1039" s="45"/>
      <c r="F1039" s="45"/>
      <c r="G1039" s="45"/>
      <c r="H1039" s="45"/>
      <c r="I1039" s="45"/>
      <c r="J1039" s="45"/>
      <c r="K1039" s="45"/>
      <c r="L1039" s="45"/>
      <c r="M1039" s="45"/>
      <c r="N1039" s="45"/>
      <c r="O1039" s="45"/>
      <c r="P1039" s="45"/>
      <c r="Q1039" s="45"/>
      <c r="R1039" s="51"/>
      <c r="S1039" s="51"/>
      <c r="T1039" s="51"/>
      <c r="U1039" s="51"/>
      <c r="V1039" s="51"/>
      <c r="W1039" s="51"/>
      <c r="X1039" s="51"/>
      <c r="Y1039" s="45"/>
      <c r="Z1039" s="45"/>
      <c r="AA1039" s="45"/>
      <c r="AB1039" s="45"/>
      <c r="AC1039" s="45"/>
      <c r="AD1039" s="45"/>
      <c r="AE1039" s="45"/>
      <c r="AF1039" s="45"/>
      <c r="AG1039" s="45"/>
      <c r="AH1039" s="45"/>
      <c r="AI1039" s="45"/>
      <c r="AJ1039" s="45"/>
      <c r="AK1039" s="45"/>
      <c r="AL1039" s="45"/>
      <c r="AM1039" s="45"/>
      <c r="AN1039" s="45"/>
      <c r="AO1039" s="45"/>
      <c r="AP1039" s="45"/>
      <c r="AQ1039" s="36"/>
      <c r="AR1039" s="36"/>
      <c r="AS1039" s="36"/>
      <c r="AT1039" s="36"/>
      <c r="AU1039" s="36"/>
      <c r="AV1039" s="36"/>
      <c r="AW1039" s="36"/>
      <c r="AX1039" s="36"/>
      <c r="AY1039" s="36"/>
      <c r="AZ1039" s="36"/>
      <c r="BA1039" s="36"/>
      <c r="BB1039" s="36"/>
      <c r="BC1039" s="36"/>
      <c r="BD1039" s="36"/>
      <c r="BE1039" s="36"/>
      <c r="BF1039" s="36"/>
      <c r="BG1039" s="36"/>
      <c r="BH1039" s="36"/>
      <c r="BI1039" s="36"/>
      <c r="BJ1039" s="36"/>
      <c r="BK1039" s="36"/>
      <c r="BL1039" s="36"/>
      <c r="BM1039" s="36"/>
      <c r="BN1039" s="36"/>
      <c r="BO1039" s="36"/>
      <c r="BP1039" s="36"/>
      <c r="BQ1039" s="36"/>
    </row>
    <row r="1040">
      <c r="A1040" s="45"/>
      <c r="B1040" s="45"/>
      <c r="C1040" s="45"/>
      <c r="D1040" s="45"/>
      <c r="E1040" s="45"/>
      <c r="F1040" s="45"/>
      <c r="G1040" s="45"/>
      <c r="H1040" s="45"/>
      <c r="I1040" s="45"/>
      <c r="J1040" s="45"/>
      <c r="K1040" s="45"/>
      <c r="L1040" s="45"/>
      <c r="M1040" s="45"/>
      <c r="N1040" s="45"/>
      <c r="O1040" s="45"/>
      <c r="P1040" s="45"/>
      <c r="Q1040" s="45"/>
      <c r="R1040" s="51"/>
      <c r="S1040" s="51"/>
      <c r="T1040" s="51"/>
      <c r="U1040" s="51"/>
      <c r="V1040" s="51"/>
      <c r="W1040" s="51"/>
      <c r="X1040" s="51"/>
      <c r="Y1040" s="45"/>
      <c r="Z1040" s="45"/>
      <c r="AA1040" s="45"/>
      <c r="AB1040" s="45"/>
      <c r="AC1040" s="45"/>
      <c r="AD1040" s="45"/>
      <c r="AE1040" s="45"/>
      <c r="AF1040" s="45"/>
      <c r="AG1040" s="45"/>
      <c r="AH1040" s="45"/>
      <c r="AI1040" s="45"/>
      <c r="AJ1040" s="45"/>
      <c r="AK1040" s="45"/>
      <c r="AL1040" s="45"/>
      <c r="AM1040" s="45"/>
      <c r="AN1040" s="45"/>
      <c r="AO1040" s="45"/>
      <c r="AP1040" s="45"/>
      <c r="AQ1040" s="36"/>
      <c r="AR1040" s="36"/>
      <c r="AS1040" s="36"/>
      <c r="AT1040" s="36"/>
      <c r="AU1040" s="36"/>
      <c r="AV1040" s="36"/>
      <c r="AW1040" s="36"/>
      <c r="AX1040" s="36"/>
      <c r="AY1040" s="36"/>
      <c r="AZ1040" s="36"/>
      <c r="BA1040" s="36"/>
      <c r="BB1040" s="36"/>
      <c r="BC1040" s="36"/>
      <c r="BD1040" s="36"/>
      <c r="BE1040" s="36"/>
      <c r="BF1040" s="36"/>
      <c r="BG1040" s="36"/>
      <c r="BH1040" s="36"/>
      <c r="BI1040" s="36"/>
      <c r="BJ1040" s="36"/>
      <c r="BK1040" s="36"/>
      <c r="BL1040" s="36"/>
      <c r="BM1040" s="36"/>
      <c r="BN1040" s="36"/>
      <c r="BO1040" s="36"/>
      <c r="BP1040" s="36"/>
      <c r="BQ1040" s="36"/>
    </row>
    <row r="1041">
      <c r="A1041" s="45"/>
      <c r="B1041" s="45"/>
      <c r="C1041" s="45"/>
      <c r="D1041" s="45"/>
      <c r="E1041" s="45"/>
      <c r="F1041" s="45"/>
      <c r="G1041" s="45"/>
      <c r="H1041" s="45"/>
      <c r="I1041" s="45"/>
      <c r="J1041" s="45"/>
      <c r="K1041" s="45"/>
      <c r="L1041" s="45"/>
      <c r="M1041" s="45"/>
      <c r="N1041" s="45"/>
      <c r="O1041" s="45"/>
      <c r="P1041" s="45"/>
      <c r="Q1041" s="45"/>
      <c r="R1041" s="51"/>
      <c r="S1041" s="51"/>
      <c r="T1041" s="51"/>
      <c r="U1041" s="51"/>
      <c r="V1041" s="51"/>
      <c r="W1041" s="51"/>
      <c r="X1041" s="51"/>
      <c r="Y1041" s="45"/>
      <c r="Z1041" s="45"/>
      <c r="AA1041" s="45"/>
      <c r="AB1041" s="45"/>
      <c r="AC1041" s="45"/>
      <c r="AD1041" s="45"/>
      <c r="AE1041" s="45"/>
      <c r="AF1041" s="45"/>
      <c r="AG1041" s="45"/>
      <c r="AH1041" s="45"/>
      <c r="AI1041" s="45"/>
      <c r="AJ1041" s="45"/>
      <c r="AK1041" s="45"/>
      <c r="AL1041" s="45"/>
      <c r="AM1041" s="45"/>
      <c r="AN1041" s="45"/>
      <c r="AO1041" s="45"/>
      <c r="AP1041" s="45"/>
      <c r="AQ1041" s="36"/>
      <c r="AR1041" s="36"/>
      <c r="AS1041" s="36"/>
      <c r="AT1041" s="36"/>
      <c r="AU1041" s="36"/>
      <c r="AV1041" s="36"/>
      <c r="AW1041" s="36"/>
      <c r="AX1041" s="36"/>
      <c r="AY1041" s="36"/>
      <c r="AZ1041" s="36"/>
      <c r="BA1041" s="36"/>
      <c r="BB1041" s="36"/>
      <c r="BC1041" s="36"/>
      <c r="BD1041" s="36"/>
      <c r="BE1041" s="36"/>
      <c r="BF1041" s="36"/>
      <c r="BG1041" s="36"/>
      <c r="BH1041" s="36"/>
      <c r="BI1041" s="36"/>
      <c r="BJ1041" s="36"/>
      <c r="BK1041" s="36"/>
      <c r="BL1041" s="36"/>
      <c r="BM1041" s="36"/>
      <c r="BN1041" s="36"/>
      <c r="BO1041" s="36"/>
      <c r="BP1041" s="36"/>
      <c r="BQ1041" s="36"/>
    </row>
    <row r="1042">
      <c r="A1042" s="45"/>
      <c r="B1042" s="45"/>
      <c r="C1042" s="45"/>
      <c r="D1042" s="45"/>
      <c r="E1042" s="45"/>
      <c r="F1042" s="45"/>
      <c r="G1042" s="45"/>
      <c r="H1042" s="45"/>
      <c r="I1042" s="45"/>
      <c r="J1042" s="45"/>
      <c r="K1042" s="45"/>
      <c r="L1042" s="45"/>
      <c r="M1042" s="45"/>
      <c r="N1042" s="45"/>
      <c r="O1042" s="45"/>
      <c r="P1042" s="45"/>
      <c r="Q1042" s="45"/>
      <c r="R1042" s="51"/>
      <c r="S1042" s="51"/>
      <c r="T1042" s="51"/>
      <c r="U1042" s="51"/>
      <c r="V1042" s="51"/>
      <c r="W1042" s="51"/>
      <c r="X1042" s="51"/>
      <c r="Y1042" s="45"/>
      <c r="Z1042" s="45"/>
      <c r="AA1042" s="45"/>
      <c r="AB1042" s="45"/>
      <c r="AC1042" s="45"/>
      <c r="AD1042" s="45"/>
      <c r="AE1042" s="45"/>
      <c r="AF1042" s="45"/>
      <c r="AG1042" s="45"/>
      <c r="AH1042" s="45"/>
      <c r="AI1042" s="45"/>
      <c r="AJ1042" s="45"/>
      <c r="AK1042" s="45"/>
      <c r="AL1042" s="45"/>
      <c r="AM1042" s="45"/>
      <c r="AN1042" s="45"/>
      <c r="AO1042" s="45"/>
      <c r="AP1042" s="45"/>
      <c r="AQ1042" s="36"/>
      <c r="AR1042" s="36"/>
      <c r="AS1042" s="36"/>
      <c r="AT1042" s="36"/>
      <c r="AU1042" s="36"/>
      <c r="AV1042" s="36"/>
      <c r="AW1042" s="36"/>
      <c r="AX1042" s="36"/>
      <c r="AY1042" s="36"/>
      <c r="AZ1042" s="36"/>
      <c r="BA1042" s="36"/>
      <c r="BB1042" s="36"/>
      <c r="BC1042" s="36"/>
      <c r="BD1042" s="36"/>
      <c r="BE1042" s="36"/>
      <c r="BF1042" s="36"/>
      <c r="BG1042" s="36"/>
      <c r="BH1042" s="36"/>
      <c r="BI1042" s="36"/>
      <c r="BJ1042" s="36"/>
      <c r="BK1042" s="36"/>
      <c r="BL1042" s="36"/>
      <c r="BM1042" s="36"/>
      <c r="BN1042" s="36"/>
      <c r="BO1042" s="36"/>
      <c r="BP1042" s="36"/>
      <c r="BQ1042" s="36"/>
    </row>
    <row r="1043">
      <c r="A1043" s="45"/>
      <c r="B1043" s="45"/>
      <c r="C1043" s="45"/>
      <c r="D1043" s="45"/>
      <c r="E1043" s="45"/>
      <c r="F1043" s="45"/>
      <c r="G1043" s="45"/>
      <c r="H1043" s="45"/>
      <c r="I1043" s="45"/>
      <c r="J1043" s="45"/>
      <c r="K1043" s="45"/>
      <c r="L1043" s="45"/>
      <c r="M1043" s="45"/>
      <c r="N1043" s="45"/>
      <c r="O1043" s="45"/>
      <c r="P1043" s="45"/>
      <c r="Q1043" s="45"/>
      <c r="R1043" s="51"/>
      <c r="S1043" s="51"/>
      <c r="T1043" s="51"/>
      <c r="U1043" s="51"/>
      <c r="V1043" s="51"/>
      <c r="W1043" s="51"/>
      <c r="X1043" s="51"/>
      <c r="Y1043" s="45"/>
      <c r="Z1043" s="45"/>
      <c r="AA1043" s="45"/>
      <c r="AB1043" s="45"/>
      <c r="AC1043" s="45"/>
      <c r="AD1043" s="45"/>
      <c r="AE1043" s="45"/>
      <c r="AF1043" s="45"/>
      <c r="AG1043" s="45"/>
      <c r="AH1043" s="45"/>
      <c r="AI1043" s="45"/>
      <c r="AJ1043" s="45"/>
      <c r="AK1043" s="45"/>
      <c r="AL1043" s="45"/>
      <c r="AM1043" s="45"/>
      <c r="AN1043" s="45"/>
      <c r="AO1043" s="45"/>
      <c r="AP1043" s="45"/>
      <c r="AQ1043" s="36"/>
      <c r="AR1043" s="36"/>
      <c r="AS1043" s="36"/>
      <c r="AT1043" s="36"/>
      <c r="AU1043" s="36"/>
      <c r="AV1043" s="36"/>
      <c r="AW1043" s="36"/>
      <c r="AX1043" s="36"/>
      <c r="AY1043" s="36"/>
      <c r="AZ1043" s="36"/>
      <c r="BA1043" s="36"/>
      <c r="BB1043" s="36"/>
      <c r="BC1043" s="36"/>
      <c r="BD1043" s="36"/>
      <c r="BE1043" s="36"/>
      <c r="BF1043" s="36"/>
      <c r="BG1043" s="36"/>
      <c r="BH1043" s="36"/>
      <c r="BI1043" s="36"/>
      <c r="BJ1043" s="36"/>
      <c r="BK1043" s="36"/>
      <c r="BL1043" s="36"/>
      <c r="BM1043" s="36"/>
      <c r="BN1043" s="36"/>
      <c r="BO1043" s="36"/>
      <c r="BP1043" s="36"/>
      <c r="BQ1043" s="36"/>
    </row>
    <row r="1044">
      <c r="A1044" s="45"/>
      <c r="B1044" s="45"/>
      <c r="C1044" s="45"/>
      <c r="D1044" s="45"/>
      <c r="E1044" s="45"/>
      <c r="F1044" s="45"/>
      <c r="G1044" s="45"/>
      <c r="H1044" s="45"/>
      <c r="I1044" s="45"/>
      <c r="J1044" s="45"/>
      <c r="K1044" s="45"/>
      <c r="L1044" s="45"/>
      <c r="M1044" s="45"/>
      <c r="N1044" s="45"/>
      <c r="O1044" s="45"/>
      <c r="P1044" s="45"/>
      <c r="Q1044" s="45"/>
      <c r="R1044" s="51"/>
      <c r="S1044" s="51"/>
      <c r="T1044" s="51"/>
      <c r="U1044" s="51"/>
      <c r="V1044" s="51"/>
      <c r="W1044" s="51"/>
      <c r="X1044" s="51"/>
      <c r="Y1044" s="45"/>
      <c r="Z1044" s="45"/>
      <c r="AA1044" s="45"/>
      <c r="AB1044" s="45"/>
      <c r="AC1044" s="45"/>
      <c r="AD1044" s="45"/>
      <c r="AE1044" s="45"/>
      <c r="AF1044" s="45"/>
      <c r="AG1044" s="45"/>
      <c r="AH1044" s="45"/>
      <c r="AI1044" s="45"/>
      <c r="AJ1044" s="45"/>
      <c r="AK1044" s="45"/>
      <c r="AL1044" s="45"/>
      <c r="AM1044" s="45"/>
      <c r="AN1044" s="45"/>
      <c r="AO1044" s="45"/>
      <c r="AP1044" s="45"/>
      <c r="AQ1044" s="36"/>
      <c r="AR1044" s="36"/>
      <c r="AS1044" s="36"/>
      <c r="AT1044" s="36"/>
      <c r="AU1044" s="36"/>
      <c r="AV1044" s="36"/>
      <c r="AW1044" s="36"/>
      <c r="AX1044" s="36"/>
      <c r="AY1044" s="36"/>
      <c r="AZ1044" s="36"/>
      <c r="BA1044" s="36"/>
      <c r="BB1044" s="36"/>
      <c r="BC1044" s="36"/>
      <c r="BD1044" s="36"/>
      <c r="BE1044" s="36"/>
      <c r="BF1044" s="36"/>
      <c r="BG1044" s="36"/>
      <c r="BH1044" s="36"/>
      <c r="BI1044" s="36"/>
      <c r="BJ1044" s="36"/>
      <c r="BK1044" s="36"/>
      <c r="BL1044" s="36"/>
      <c r="BM1044" s="36"/>
      <c r="BN1044" s="36"/>
      <c r="BO1044" s="36"/>
      <c r="BP1044" s="36"/>
      <c r="BQ1044" s="36"/>
    </row>
    <row r="1045">
      <c r="A1045" s="45"/>
      <c r="B1045" s="45"/>
      <c r="C1045" s="45"/>
      <c r="D1045" s="45"/>
      <c r="E1045" s="45"/>
      <c r="F1045" s="45"/>
      <c r="G1045" s="45"/>
      <c r="H1045" s="45"/>
      <c r="I1045" s="45"/>
      <c r="J1045" s="45"/>
      <c r="K1045" s="45"/>
      <c r="L1045" s="45"/>
      <c r="M1045" s="45"/>
      <c r="N1045" s="45"/>
      <c r="O1045" s="45"/>
      <c r="P1045" s="45"/>
      <c r="Q1045" s="45"/>
      <c r="R1045" s="51"/>
      <c r="S1045" s="51"/>
      <c r="T1045" s="51"/>
      <c r="U1045" s="51"/>
      <c r="V1045" s="51"/>
      <c r="W1045" s="51"/>
      <c r="X1045" s="51"/>
      <c r="Y1045" s="45"/>
      <c r="Z1045" s="45"/>
      <c r="AA1045" s="45"/>
      <c r="AB1045" s="45"/>
      <c r="AC1045" s="45"/>
      <c r="AD1045" s="45"/>
      <c r="AE1045" s="45"/>
      <c r="AF1045" s="45"/>
      <c r="AG1045" s="45"/>
      <c r="AH1045" s="45"/>
      <c r="AI1045" s="45"/>
      <c r="AJ1045" s="45"/>
      <c r="AK1045" s="45"/>
      <c r="AL1045" s="45"/>
      <c r="AM1045" s="45"/>
      <c r="AN1045" s="45"/>
      <c r="AO1045" s="45"/>
      <c r="AP1045" s="45"/>
      <c r="AQ1045" s="36"/>
      <c r="AR1045" s="36"/>
      <c r="AS1045" s="36"/>
      <c r="AT1045" s="36"/>
      <c r="AU1045" s="36"/>
      <c r="AV1045" s="36"/>
      <c r="AW1045" s="36"/>
      <c r="AX1045" s="36"/>
      <c r="AY1045" s="36"/>
      <c r="AZ1045" s="36"/>
      <c r="BA1045" s="36"/>
      <c r="BB1045" s="36"/>
      <c r="BC1045" s="36"/>
      <c r="BD1045" s="36"/>
      <c r="BE1045" s="36"/>
      <c r="BF1045" s="36"/>
      <c r="BG1045" s="36"/>
      <c r="BH1045" s="36"/>
      <c r="BI1045" s="36"/>
      <c r="BJ1045" s="36"/>
      <c r="BK1045" s="36"/>
      <c r="BL1045" s="36"/>
      <c r="BM1045" s="36"/>
      <c r="BN1045" s="36"/>
      <c r="BO1045" s="36"/>
      <c r="BP1045" s="36"/>
      <c r="BQ1045" s="36"/>
    </row>
    <row r="1046">
      <c r="A1046" s="45"/>
      <c r="B1046" s="45"/>
      <c r="C1046" s="45"/>
      <c r="D1046" s="45"/>
      <c r="E1046" s="45"/>
      <c r="F1046" s="45"/>
      <c r="G1046" s="45"/>
      <c r="H1046" s="45"/>
      <c r="I1046" s="45"/>
      <c r="J1046" s="45"/>
      <c r="K1046" s="45"/>
      <c r="L1046" s="45"/>
      <c r="M1046" s="45"/>
      <c r="N1046" s="45"/>
      <c r="O1046" s="45"/>
      <c r="P1046" s="45"/>
      <c r="Q1046" s="45"/>
      <c r="R1046" s="51"/>
      <c r="S1046" s="51"/>
      <c r="T1046" s="51"/>
      <c r="U1046" s="51"/>
      <c r="V1046" s="51"/>
      <c r="W1046" s="51"/>
      <c r="X1046" s="51"/>
      <c r="Y1046" s="45"/>
      <c r="Z1046" s="45"/>
      <c r="AA1046" s="45"/>
      <c r="AB1046" s="45"/>
      <c r="AC1046" s="45"/>
      <c r="AD1046" s="45"/>
      <c r="AE1046" s="45"/>
      <c r="AF1046" s="45"/>
      <c r="AG1046" s="45"/>
      <c r="AH1046" s="45"/>
      <c r="AI1046" s="45"/>
      <c r="AJ1046" s="45"/>
      <c r="AK1046" s="45"/>
      <c r="AL1046" s="45"/>
      <c r="AM1046" s="45"/>
      <c r="AN1046" s="45"/>
      <c r="AO1046" s="45"/>
      <c r="AP1046" s="45"/>
      <c r="AQ1046" s="36"/>
      <c r="AR1046" s="36"/>
      <c r="AS1046" s="36"/>
      <c r="AT1046" s="36"/>
      <c r="AU1046" s="36"/>
      <c r="AV1046" s="36"/>
      <c r="AW1046" s="36"/>
      <c r="AX1046" s="36"/>
      <c r="AY1046" s="36"/>
      <c r="AZ1046" s="36"/>
      <c r="BA1046" s="36"/>
      <c r="BB1046" s="36"/>
      <c r="BC1046" s="36"/>
      <c r="BD1046" s="36"/>
      <c r="BE1046" s="36"/>
      <c r="BF1046" s="36"/>
      <c r="BG1046" s="36"/>
      <c r="BH1046" s="36"/>
      <c r="BI1046" s="36"/>
      <c r="BJ1046" s="36"/>
      <c r="BK1046" s="36"/>
      <c r="BL1046" s="36"/>
      <c r="BM1046" s="36"/>
      <c r="BN1046" s="36"/>
      <c r="BO1046" s="36"/>
      <c r="BP1046" s="36"/>
      <c r="BQ1046" s="36"/>
    </row>
    <row r="1047">
      <c r="A1047" s="45"/>
      <c r="B1047" s="45"/>
      <c r="C1047" s="45"/>
      <c r="D1047" s="45"/>
      <c r="E1047" s="45"/>
      <c r="F1047" s="45"/>
      <c r="G1047" s="45"/>
      <c r="H1047" s="45"/>
      <c r="I1047" s="45"/>
      <c r="J1047" s="45"/>
      <c r="K1047" s="45"/>
      <c r="L1047" s="45"/>
      <c r="M1047" s="45"/>
      <c r="N1047" s="45"/>
      <c r="O1047" s="45"/>
      <c r="P1047" s="45"/>
      <c r="Q1047" s="45"/>
      <c r="R1047" s="51"/>
      <c r="S1047" s="51"/>
      <c r="T1047" s="51"/>
      <c r="U1047" s="51"/>
      <c r="V1047" s="51"/>
      <c r="W1047" s="51"/>
      <c r="X1047" s="51"/>
      <c r="Y1047" s="45"/>
      <c r="Z1047" s="45"/>
      <c r="AA1047" s="45"/>
      <c r="AB1047" s="45"/>
      <c r="AC1047" s="45"/>
      <c r="AD1047" s="45"/>
      <c r="AE1047" s="45"/>
      <c r="AF1047" s="45"/>
      <c r="AG1047" s="45"/>
      <c r="AH1047" s="45"/>
      <c r="AI1047" s="45"/>
      <c r="AJ1047" s="45"/>
      <c r="AK1047" s="45"/>
      <c r="AL1047" s="45"/>
      <c r="AM1047" s="45"/>
      <c r="AN1047" s="45"/>
      <c r="AO1047" s="45"/>
      <c r="AP1047" s="45"/>
      <c r="AQ1047" s="36"/>
      <c r="AR1047" s="36"/>
      <c r="AS1047" s="36"/>
      <c r="AT1047" s="36"/>
      <c r="AU1047" s="36"/>
      <c r="AV1047" s="36"/>
      <c r="AW1047" s="36"/>
      <c r="AX1047" s="36"/>
      <c r="AY1047" s="36"/>
      <c r="AZ1047" s="36"/>
      <c r="BA1047" s="36"/>
      <c r="BB1047" s="36"/>
      <c r="BC1047" s="36"/>
      <c r="BD1047" s="36"/>
      <c r="BE1047" s="36"/>
      <c r="BF1047" s="36"/>
      <c r="BG1047" s="36"/>
      <c r="BH1047" s="36"/>
      <c r="BI1047" s="36"/>
      <c r="BJ1047" s="36"/>
      <c r="BK1047" s="36"/>
      <c r="BL1047" s="36"/>
      <c r="BM1047" s="36"/>
      <c r="BN1047" s="36"/>
      <c r="BO1047" s="36"/>
      <c r="BP1047" s="36"/>
      <c r="BQ1047" s="36"/>
    </row>
    <row r="1048">
      <c r="A1048" s="45"/>
      <c r="B1048" s="45"/>
      <c r="C1048" s="45"/>
      <c r="D1048" s="45"/>
      <c r="E1048" s="45"/>
      <c r="F1048" s="45"/>
      <c r="G1048" s="45"/>
      <c r="H1048" s="45"/>
      <c r="I1048" s="45"/>
      <c r="J1048" s="45"/>
      <c r="K1048" s="45"/>
      <c r="L1048" s="45"/>
      <c r="M1048" s="45"/>
      <c r="N1048" s="45"/>
      <c r="O1048" s="45"/>
      <c r="P1048" s="45"/>
      <c r="Q1048" s="45"/>
      <c r="R1048" s="51"/>
      <c r="S1048" s="51"/>
      <c r="T1048" s="51"/>
      <c r="U1048" s="51"/>
      <c r="V1048" s="51"/>
      <c r="W1048" s="51"/>
      <c r="X1048" s="51"/>
      <c r="Y1048" s="45"/>
      <c r="Z1048" s="45"/>
      <c r="AA1048" s="45"/>
      <c r="AB1048" s="45"/>
      <c r="AC1048" s="45"/>
      <c r="AD1048" s="45"/>
      <c r="AE1048" s="45"/>
      <c r="AF1048" s="45"/>
      <c r="AG1048" s="45"/>
      <c r="AH1048" s="45"/>
      <c r="AI1048" s="45"/>
      <c r="AJ1048" s="45"/>
      <c r="AK1048" s="45"/>
      <c r="AL1048" s="45"/>
      <c r="AM1048" s="45"/>
      <c r="AN1048" s="45"/>
      <c r="AO1048" s="45"/>
      <c r="AP1048" s="45"/>
      <c r="AQ1048" s="36"/>
      <c r="AR1048" s="36"/>
      <c r="AS1048" s="36"/>
      <c r="AT1048" s="36"/>
      <c r="AU1048" s="36"/>
      <c r="AV1048" s="36"/>
      <c r="AW1048" s="36"/>
      <c r="AX1048" s="36"/>
      <c r="AY1048" s="36"/>
      <c r="AZ1048" s="36"/>
      <c r="BA1048" s="36"/>
      <c r="BB1048" s="36"/>
      <c r="BC1048" s="36"/>
      <c r="BD1048" s="36"/>
      <c r="BE1048" s="36"/>
      <c r="BF1048" s="36"/>
      <c r="BG1048" s="36"/>
      <c r="BH1048" s="36"/>
      <c r="BI1048" s="36"/>
      <c r="BJ1048" s="36"/>
      <c r="BK1048" s="36"/>
      <c r="BL1048" s="36"/>
      <c r="BM1048" s="36"/>
      <c r="BN1048" s="36"/>
      <c r="BO1048" s="36"/>
      <c r="BP1048" s="36"/>
      <c r="BQ1048" s="36"/>
    </row>
    <row r="1049">
      <c r="A1049" s="45"/>
      <c r="B1049" s="45"/>
      <c r="C1049" s="45"/>
      <c r="D1049" s="45"/>
      <c r="E1049" s="45"/>
      <c r="F1049" s="45"/>
      <c r="G1049" s="45"/>
      <c r="H1049" s="45"/>
      <c r="I1049" s="45"/>
      <c r="J1049" s="45"/>
      <c r="K1049" s="45"/>
      <c r="L1049" s="45"/>
      <c r="M1049" s="45"/>
      <c r="N1049" s="45"/>
      <c r="O1049" s="45"/>
      <c r="P1049" s="45"/>
      <c r="Q1049" s="45"/>
      <c r="R1049" s="51"/>
      <c r="S1049" s="51"/>
      <c r="T1049" s="51"/>
      <c r="U1049" s="51"/>
      <c r="V1049" s="51"/>
      <c r="W1049" s="51"/>
      <c r="X1049" s="51"/>
      <c r="Y1049" s="45"/>
      <c r="Z1049" s="45"/>
      <c r="AA1049" s="45"/>
      <c r="AB1049" s="45"/>
      <c r="AC1049" s="45"/>
      <c r="AD1049" s="45"/>
      <c r="AE1049" s="45"/>
      <c r="AF1049" s="45"/>
      <c r="AG1049" s="45"/>
      <c r="AH1049" s="45"/>
      <c r="AI1049" s="45"/>
      <c r="AJ1049" s="45"/>
      <c r="AK1049" s="45"/>
      <c r="AL1049" s="45"/>
      <c r="AM1049" s="45"/>
      <c r="AN1049" s="45"/>
      <c r="AO1049" s="45"/>
      <c r="AP1049" s="45"/>
      <c r="AQ1049" s="36"/>
      <c r="AR1049" s="36"/>
      <c r="AS1049" s="36"/>
      <c r="AT1049" s="36"/>
      <c r="AU1049" s="36"/>
      <c r="AV1049" s="36"/>
      <c r="AW1049" s="36"/>
      <c r="AX1049" s="36"/>
      <c r="AY1049" s="36"/>
      <c r="AZ1049" s="36"/>
      <c r="BA1049" s="36"/>
      <c r="BB1049" s="36"/>
      <c r="BC1049" s="36"/>
      <c r="BD1049" s="36"/>
      <c r="BE1049" s="36"/>
      <c r="BF1049" s="36"/>
      <c r="BG1049" s="36"/>
      <c r="BH1049" s="36"/>
      <c r="BI1049" s="36"/>
      <c r="BJ1049" s="36"/>
      <c r="BK1049" s="36"/>
      <c r="BL1049" s="36"/>
      <c r="BM1049" s="36"/>
      <c r="BN1049" s="36"/>
      <c r="BO1049" s="36"/>
      <c r="BP1049" s="36"/>
      <c r="BQ1049" s="36"/>
    </row>
    <row r="1050">
      <c r="A1050" s="45"/>
      <c r="B1050" s="45"/>
      <c r="C1050" s="45"/>
      <c r="D1050" s="45"/>
      <c r="E1050" s="45"/>
      <c r="F1050" s="45"/>
      <c r="G1050" s="45"/>
      <c r="H1050" s="45"/>
      <c r="I1050" s="45"/>
      <c r="J1050" s="45"/>
      <c r="K1050" s="45"/>
      <c r="L1050" s="45"/>
      <c r="M1050" s="45"/>
      <c r="N1050" s="45"/>
      <c r="O1050" s="45"/>
      <c r="P1050" s="45"/>
      <c r="Q1050" s="45"/>
      <c r="R1050" s="51"/>
      <c r="S1050" s="51"/>
      <c r="T1050" s="51"/>
      <c r="U1050" s="51"/>
      <c r="V1050" s="51"/>
      <c r="W1050" s="51"/>
      <c r="X1050" s="51"/>
      <c r="Y1050" s="45"/>
      <c r="Z1050" s="45"/>
      <c r="AA1050" s="45"/>
      <c r="AB1050" s="45"/>
      <c r="AC1050" s="45"/>
      <c r="AD1050" s="45"/>
      <c r="AE1050" s="45"/>
      <c r="AF1050" s="45"/>
      <c r="AG1050" s="45"/>
      <c r="AH1050" s="45"/>
      <c r="AI1050" s="45"/>
      <c r="AJ1050" s="45"/>
      <c r="AK1050" s="45"/>
      <c r="AL1050" s="45"/>
      <c r="AM1050" s="45"/>
      <c r="AN1050" s="45"/>
      <c r="AO1050" s="45"/>
      <c r="AP1050" s="45"/>
      <c r="AQ1050" s="36"/>
      <c r="AR1050" s="36"/>
      <c r="AS1050" s="36"/>
      <c r="AT1050" s="36"/>
      <c r="AU1050" s="36"/>
      <c r="AV1050" s="36"/>
      <c r="AW1050" s="36"/>
      <c r="AX1050" s="36"/>
      <c r="AY1050" s="36"/>
      <c r="AZ1050" s="36"/>
      <c r="BA1050" s="36"/>
      <c r="BB1050" s="36"/>
      <c r="BC1050" s="36"/>
      <c r="BD1050" s="36"/>
      <c r="BE1050" s="36"/>
      <c r="BF1050" s="36"/>
      <c r="BG1050" s="36"/>
      <c r="BH1050" s="36"/>
      <c r="BI1050" s="36"/>
      <c r="BJ1050" s="36"/>
      <c r="BK1050" s="36"/>
      <c r="BL1050" s="36"/>
      <c r="BM1050" s="36"/>
      <c r="BN1050" s="36"/>
      <c r="BO1050" s="36"/>
      <c r="BP1050" s="36"/>
      <c r="BQ1050" s="36"/>
    </row>
    <row r="1051">
      <c r="A1051" s="45"/>
      <c r="B1051" s="45"/>
      <c r="C1051" s="45"/>
      <c r="D1051" s="45"/>
      <c r="E1051" s="45"/>
      <c r="F1051" s="45"/>
      <c r="G1051" s="45"/>
      <c r="H1051" s="45"/>
      <c r="I1051" s="45"/>
      <c r="J1051" s="45"/>
      <c r="K1051" s="45"/>
      <c r="L1051" s="45"/>
      <c r="M1051" s="45"/>
      <c r="N1051" s="45"/>
      <c r="O1051" s="45"/>
      <c r="P1051" s="45"/>
      <c r="Q1051" s="45"/>
      <c r="R1051" s="51"/>
      <c r="S1051" s="51"/>
      <c r="T1051" s="51"/>
      <c r="U1051" s="51"/>
      <c r="V1051" s="51"/>
      <c r="W1051" s="51"/>
      <c r="X1051" s="51"/>
      <c r="Y1051" s="45"/>
      <c r="Z1051" s="45"/>
      <c r="AA1051" s="45"/>
      <c r="AB1051" s="45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5"/>
      <c r="AM1051" s="45"/>
      <c r="AN1051" s="45"/>
      <c r="AO1051" s="45"/>
      <c r="AP1051" s="45"/>
      <c r="AQ1051" s="36"/>
      <c r="AR1051" s="36"/>
      <c r="AS1051" s="36"/>
      <c r="AT1051" s="36"/>
      <c r="AU1051" s="36"/>
      <c r="AV1051" s="36"/>
      <c r="AW1051" s="36"/>
      <c r="AX1051" s="36"/>
      <c r="AY1051" s="36"/>
      <c r="AZ1051" s="36"/>
      <c r="BA1051" s="36"/>
      <c r="BB1051" s="36"/>
      <c r="BC1051" s="36"/>
      <c r="BD1051" s="36"/>
      <c r="BE1051" s="36"/>
      <c r="BF1051" s="36"/>
      <c r="BG1051" s="36"/>
      <c r="BH1051" s="36"/>
      <c r="BI1051" s="36"/>
      <c r="BJ1051" s="36"/>
      <c r="BK1051" s="36"/>
      <c r="BL1051" s="36"/>
      <c r="BM1051" s="36"/>
      <c r="BN1051" s="36"/>
      <c r="BO1051" s="36"/>
      <c r="BP1051" s="36"/>
      <c r="BQ1051" s="36"/>
    </row>
    <row r="1052">
      <c r="A1052" s="45"/>
      <c r="B1052" s="45"/>
      <c r="C1052" s="45"/>
      <c r="D1052" s="45"/>
      <c r="E1052" s="45"/>
      <c r="F1052" s="45"/>
      <c r="G1052" s="45"/>
      <c r="H1052" s="45"/>
      <c r="I1052" s="45"/>
      <c r="J1052" s="45"/>
      <c r="K1052" s="45"/>
      <c r="L1052" s="45"/>
      <c r="M1052" s="45"/>
      <c r="N1052" s="45"/>
      <c r="O1052" s="45"/>
      <c r="P1052" s="45"/>
      <c r="Q1052" s="45"/>
      <c r="R1052" s="51"/>
      <c r="S1052" s="51"/>
      <c r="T1052" s="51"/>
      <c r="U1052" s="51"/>
      <c r="V1052" s="51"/>
      <c r="W1052" s="51"/>
      <c r="X1052" s="51"/>
      <c r="Y1052" s="45"/>
      <c r="Z1052" s="45"/>
      <c r="AA1052" s="45"/>
      <c r="AB1052" s="45"/>
      <c r="AC1052" s="45"/>
      <c r="AD1052" s="45"/>
      <c r="AE1052" s="45"/>
      <c r="AF1052" s="45"/>
      <c r="AG1052" s="45"/>
      <c r="AH1052" s="45"/>
      <c r="AI1052" s="45"/>
      <c r="AJ1052" s="45"/>
      <c r="AK1052" s="45"/>
      <c r="AL1052" s="45"/>
      <c r="AM1052" s="45"/>
      <c r="AN1052" s="45"/>
      <c r="AO1052" s="45"/>
      <c r="AP1052" s="45"/>
      <c r="AQ1052" s="36"/>
      <c r="AR1052" s="36"/>
      <c r="AS1052" s="36"/>
      <c r="AT1052" s="36"/>
      <c r="AU1052" s="36"/>
      <c r="AV1052" s="36"/>
      <c r="AW1052" s="36"/>
      <c r="AX1052" s="36"/>
      <c r="AY1052" s="36"/>
      <c r="AZ1052" s="36"/>
      <c r="BA1052" s="36"/>
      <c r="BB1052" s="36"/>
      <c r="BC1052" s="36"/>
      <c r="BD1052" s="36"/>
      <c r="BE1052" s="36"/>
      <c r="BF1052" s="36"/>
      <c r="BG1052" s="36"/>
      <c r="BH1052" s="36"/>
      <c r="BI1052" s="36"/>
      <c r="BJ1052" s="36"/>
      <c r="BK1052" s="36"/>
      <c r="BL1052" s="36"/>
      <c r="BM1052" s="36"/>
      <c r="BN1052" s="36"/>
      <c r="BO1052" s="36"/>
      <c r="BP1052" s="36"/>
      <c r="BQ1052" s="36"/>
    </row>
    <row r="1053">
      <c r="A1053" s="45"/>
      <c r="B1053" s="45"/>
      <c r="C1053" s="45"/>
      <c r="D1053" s="45"/>
      <c r="E1053" s="45"/>
      <c r="F1053" s="45"/>
      <c r="G1053" s="45"/>
      <c r="H1053" s="45"/>
      <c r="I1053" s="45"/>
      <c r="J1053" s="45"/>
      <c r="K1053" s="45"/>
      <c r="L1053" s="45"/>
      <c r="M1053" s="45"/>
      <c r="N1053" s="45"/>
      <c r="O1053" s="45"/>
      <c r="P1053" s="45"/>
      <c r="Q1053" s="45"/>
      <c r="R1053" s="51"/>
      <c r="S1053" s="51"/>
      <c r="T1053" s="51"/>
      <c r="U1053" s="51"/>
      <c r="V1053" s="51"/>
      <c r="W1053" s="51"/>
      <c r="X1053" s="51"/>
      <c r="Y1053" s="45"/>
      <c r="Z1053" s="45"/>
      <c r="AA1053" s="45"/>
      <c r="AB1053" s="45"/>
      <c r="AC1053" s="45"/>
      <c r="AD1053" s="45"/>
      <c r="AE1053" s="45"/>
      <c r="AF1053" s="45"/>
      <c r="AG1053" s="45"/>
      <c r="AH1053" s="45"/>
      <c r="AI1053" s="45"/>
      <c r="AJ1053" s="45"/>
      <c r="AK1053" s="45"/>
      <c r="AL1053" s="45"/>
      <c r="AM1053" s="45"/>
      <c r="AN1053" s="45"/>
      <c r="AO1053" s="45"/>
      <c r="AP1053" s="45"/>
      <c r="AQ1053" s="36"/>
      <c r="AR1053" s="36"/>
      <c r="AS1053" s="36"/>
      <c r="AT1053" s="36"/>
      <c r="AU1053" s="36"/>
      <c r="AV1053" s="36"/>
      <c r="AW1053" s="36"/>
      <c r="AX1053" s="36"/>
      <c r="AY1053" s="36"/>
      <c r="AZ1053" s="36"/>
      <c r="BA1053" s="36"/>
      <c r="BB1053" s="36"/>
      <c r="BC1053" s="36"/>
      <c r="BD1053" s="36"/>
      <c r="BE1053" s="36"/>
      <c r="BF1053" s="36"/>
      <c r="BG1053" s="36"/>
      <c r="BH1053" s="36"/>
      <c r="BI1053" s="36"/>
      <c r="BJ1053" s="36"/>
      <c r="BK1053" s="36"/>
      <c r="BL1053" s="36"/>
      <c r="BM1053" s="36"/>
      <c r="BN1053" s="36"/>
      <c r="BO1053" s="36"/>
      <c r="BP1053" s="36"/>
      <c r="BQ1053" s="36"/>
    </row>
    <row r="1054">
      <c r="A1054" s="45"/>
      <c r="B1054" s="45"/>
      <c r="C1054" s="45"/>
      <c r="D1054" s="45"/>
      <c r="E1054" s="45"/>
      <c r="F1054" s="45"/>
      <c r="G1054" s="45"/>
      <c r="H1054" s="45"/>
      <c r="I1054" s="45"/>
      <c r="J1054" s="45"/>
      <c r="K1054" s="45"/>
      <c r="L1054" s="45"/>
      <c r="M1054" s="45"/>
      <c r="N1054" s="45"/>
      <c r="O1054" s="45"/>
      <c r="P1054" s="45"/>
      <c r="Q1054" s="45"/>
      <c r="R1054" s="51"/>
      <c r="S1054" s="51"/>
      <c r="T1054" s="51"/>
      <c r="U1054" s="51"/>
      <c r="V1054" s="51"/>
      <c r="W1054" s="51"/>
      <c r="X1054" s="51"/>
      <c r="Y1054" s="45"/>
      <c r="Z1054" s="45"/>
      <c r="AA1054" s="45"/>
      <c r="AB1054" s="45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5"/>
      <c r="AM1054" s="45"/>
      <c r="AN1054" s="45"/>
      <c r="AO1054" s="45"/>
      <c r="AP1054" s="45"/>
      <c r="AQ1054" s="36"/>
      <c r="AR1054" s="36"/>
      <c r="AS1054" s="36"/>
      <c r="AT1054" s="36"/>
      <c r="AU1054" s="36"/>
      <c r="AV1054" s="36"/>
      <c r="AW1054" s="36"/>
      <c r="AX1054" s="36"/>
      <c r="AY1054" s="36"/>
      <c r="AZ1054" s="36"/>
      <c r="BA1054" s="36"/>
      <c r="BB1054" s="36"/>
      <c r="BC1054" s="36"/>
      <c r="BD1054" s="36"/>
      <c r="BE1054" s="36"/>
      <c r="BF1054" s="36"/>
      <c r="BG1054" s="36"/>
      <c r="BH1054" s="36"/>
      <c r="BI1054" s="36"/>
      <c r="BJ1054" s="36"/>
      <c r="BK1054" s="36"/>
      <c r="BL1054" s="36"/>
      <c r="BM1054" s="36"/>
      <c r="BN1054" s="36"/>
      <c r="BO1054" s="36"/>
      <c r="BP1054" s="36"/>
      <c r="BQ1054" s="36"/>
    </row>
    <row r="1055">
      <c r="A1055" s="45"/>
      <c r="B1055" s="45"/>
      <c r="C1055" s="45"/>
      <c r="D1055" s="45"/>
      <c r="E1055" s="45"/>
      <c r="F1055" s="45"/>
      <c r="G1055" s="45"/>
      <c r="H1055" s="45"/>
      <c r="I1055" s="45"/>
      <c r="J1055" s="45"/>
      <c r="K1055" s="45"/>
      <c r="L1055" s="45"/>
      <c r="M1055" s="45"/>
      <c r="N1055" s="45"/>
      <c r="O1055" s="45"/>
      <c r="P1055" s="45"/>
      <c r="Q1055" s="45"/>
      <c r="R1055" s="51"/>
      <c r="S1055" s="51"/>
      <c r="T1055" s="51"/>
      <c r="U1055" s="51"/>
      <c r="V1055" s="51"/>
      <c r="W1055" s="51"/>
      <c r="X1055" s="51"/>
      <c r="Y1055" s="45"/>
      <c r="Z1055" s="45"/>
      <c r="AA1055" s="45"/>
      <c r="AB1055" s="45"/>
      <c r="AC1055" s="45"/>
      <c r="AD1055" s="45"/>
      <c r="AE1055" s="45"/>
      <c r="AF1055" s="45"/>
      <c r="AG1055" s="45"/>
      <c r="AH1055" s="45"/>
      <c r="AI1055" s="45"/>
      <c r="AJ1055" s="45"/>
      <c r="AK1055" s="45"/>
      <c r="AL1055" s="45"/>
      <c r="AM1055" s="45"/>
      <c r="AN1055" s="45"/>
      <c r="AO1055" s="45"/>
      <c r="AP1055" s="45"/>
      <c r="AQ1055" s="36"/>
      <c r="AR1055" s="36"/>
      <c r="AS1055" s="36"/>
      <c r="AT1055" s="36"/>
      <c r="AU1055" s="36"/>
      <c r="AV1055" s="36"/>
      <c r="AW1055" s="36"/>
      <c r="AX1055" s="36"/>
      <c r="AY1055" s="36"/>
      <c r="AZ1055" s="36"/>
      <c r="BA1055" s="36"/>
      <c r="BB1055" s="36"/>
      <c r="BC1055" s="36"/>
      <c r="BD1055" s="36"/>
      <c r="BE1055" s="36"/>
      <c r="BF1055" s="36"/>
      <c r="BG1055" s="36"/>
      <c r="BH1055" s="36"/>
      <c r="BI1055" s="36"/>
      <c r="BJ1055" s="36"/>
      <c r="BK1055" s="36"/>
      <c r="BL1055" s="36"/>
      <c r="BM1055" s="36"/>
      <c r="BN1055" s="36"/>
      <c r="BO1055" s="36"/>
      <c r="BP1055" s="36"/>
      <c r="BQ1055" s="36"/>
    </row>
    <row r="1056">
      <c r="A1056" s="45"/>
      <c r="B1056" s="45"/>
      <c r="C1056" s="45"/>
      <c r="D1056" s="45"/>
      <c r="E1056" s="45"/>
      <c r="F1056" s="45"/>
      <c r="G1056" s="45"/>
      <c r="H1056" s="45"/>
      <c r="I1056" s="45"/>
      <c r="J1056" s="45"/>
      <c r="K1056" s="45"/>
      <c r="L1056" s="45"/>
      <c r="M1056" s="45"/>
      <c r="N1056" s="45"/>
      <c r="O1056" s="45"/>
      <c r="P1056" s="45"/>
      <c r="Q1056" s="45"/>
      <c r="R1056" s="51"/>
      <c r="S1056" s="51"/>
      <c r="T1056" s="51"/>
      <c r="U1056" s="51"/>
      <c r="V1056" s="51"/>
      <c r="W1056" s="51"/>
      <c r="X1056" s="51"/>
      <c r="Y1056" s="45"/>
      <c r="Z1056" s="45"/>
      <c r="AA1056" s="45"/>
      <c r="AB1056" s="45"/>
      <c r="AC1056" s="45"/>
      <c r="AD1056" s="45"/>
      <c r="AE1056" s="45"/>
      <c r="AF1056" s="45"/>
      <c r="AG1056" s="45"/>
      <c r="AH1056" s="45"/>
      <c r="AI1056" s="45"/>
      <c r="AJ1056" s="45"/>
      <c r="AK1056" s="45"/>
      <c r="AL1056" s="45"/>
      <c r="AM1056" s="45"/>
      <c r="AN1056" s="45"/>
      <c r="AO1056" s="45"/>
      <c r="AP1056" s="45"/>
      <c r="AQ1056" s="36"/>
      <c r="AR1056" s="36"/>
      <c r="AS1056" s="36"/>
      <c r="AT1056" s="36"/>
      <c r="AU1056" s="36"/>
      <c r="AV1056" s="36"/>
      <c r="AW1056" s="36"/>
      <c r="AX1056" s="36"/>
      <c r="AY1056" s="36"/>
      <c r="AZ1056" s="36"/>
      <c r="BA1056" s="36"/>
      <c r="BB1056" s="36"/>
      <c r="BC1056" s="36"/>
      <c r="BD1056" s="36"/>
      <c r="BE1056" s="36"/>
      <c r="BF1056" s="36"/>
      <c r="BG1056" s="36"/>
      <c r="BH1056" s="36"/>
      <c r="BI1056" s="36"/>
      <c r="BJ1056" s="36"/>
      <c r="BK1056" s="36"/>
      <c r="BL1056" s="36"/>
      <c r="BM1056" s="36"/>
      <c r="BN1056" s="36"/>
      <c r="BO1056" s="36"/>
      <c r="BP1056" s="36"/>
      <c r="BQ1056" s="36"/>
    </row>
    <row r="1057">
      <c r="A1057" s="45"/>
      <c r="B1057" s="45"/>
      <c r="C1057" s="45"/>
      <c r="D1057" s="45"/>
      <c r="E1057" s="45"/>
      <c r="F1057" s="45"/>
      <c r="G1057" s="45"/>
      <c r="H1057" s="45"/>
      <c r="I1057" s="45"/>
      <c r="J1057" s="45"/>
      <c r="K1057" s="45"/>
      <c r="L1057" s="45"/>
      <c r="M1057" s="45"/>
      <c r="N1057" s="45"/>
      <c r="O1057" s="45"/>
      <c r="P1057" s="45"/>
      <c r="Q1057" s="45"/>
      <c r="R1057" s="51"/>
      <c r="S1057" s="51"/>
      <c r="T1057" s="51"/>
      <c r="U1057" s="51"/>
      <c r="V1057" s="51"/>
      <c r="W1057" s="51"/>
      <c r="X1057" s="51"/>
      <c r="Y1057" s="45"/>
      <c r="Z1057" s="45"/>
      <c r="AA1057" s="45"/>
      <c r="AB1057" s="45"/>
      <c r="AC1057" s="45"/>
      <c r="AD1057" s="45"/>
      <c r="AE1057" s="45"/>
      <c r="AF1057" s="45"/>
      <c r="AG1057" s="45"/>
      <c r="AH1057" s="45"/>
      <c r="AI1057" s="45"/>
      <c r="AJ1057" s="45"/>
      <c r="AK1057" s="45"/>
      <c r="AL1057" s="45"/>
      <c r="AM1057" s="45"/>
      <c r="AN1057" s="45"/>
      <c r="AO1057" s="45"/>
      <c r="AP1057" s="45"/>
      <c r="AQ1057" s="36"/>
      <c r="AR1057" s="36"/>
      <c r="AS1057" s="36"/>
      <c r="AT1057" s="36"/>
      <c r="AU1057" s="36"/>
      <c r="AV1057" s="36"/>
      <c r="AW1057" s="36"/>
      <c r="AX1057" s="36"/>
      <c r="AY1057" s="36"/>
      <c r="AZ1057" s="36"/>
      <c r="BA1057" s="36"/>
      <c r="BB1057" s="36"/>
      <c r="BC1057" s="36"/>
      <c r="BD1057" s="36"/>
      <c r="BE1057" s="36"/>
      <c r="BF1057" s="36"/>
      <c r="BG1057" s="36"/>
      <c r="BH1057" s="36"/>
      <c r="BI1057" s="36"/>
      <c r="BJ1057" s="36"/>
      <c r="BK1057" s="36"/>
      <c r="BL1057" s="36"/>
      <c r="BM1057" s="36"/>
      <c r="BN1057" s="36"/>
      <c r="BO1057" s="36"/>
      <c r="BP1057" s="36"/>
      <c r="BQ1057" s="36"/>
    </row>
    <row r="1058">
      <c r="A1058" s="45"/>
      <c r="B1058" s="45"/>
      <c r="C1058" s="45"/>
      <c r="D1058" s="45"/>
      <c r="E1058" s="45"/>
      <c r="F1058" s="45"/>
      <c r="G1058" s="45"/>
      <c r="H1058" s="45"/>
      <c r="I1058" s="45"/>
      <c r="J1058" s="45"/>
      <c r="K1058" s="45"/>
      <c r="L1058" s="45"/>
      <c r="M1058" s="45"/>
      <c r="N1058" s="45"/>
      <c r="O1058" s="45"/>
      <c r="P1058" s="45"/>
      <c r="Q1058" s="45"/>
      <c r="R1058" s="51"/>
      <c r="S1058" s="51"/>
      <c r="T1058" s="51"/>
      <c r="U1058" s="51"/>
      <c r="V1058" s="51"/>
      <c r="W1058" s="51"/>
      <c r="X1058" s="51"/>
      <c r="Y1058" s="45"/>
      <c r="Z1058" s="45"/>
      <c r="AA1058" s="45"/>
      <c r="AB1058" s="45"/>
      <c r="AC1058" s="45"/>
      <c r="AD1058" s="45"/>
      <c r="AE1058" s="45"/>
      <c r="AF1058" s="45"/>
      <c r="AG1058" s="45"/>
      <c r="AH1058" s="45"/>
      <c r="AI1058" s="45"/>
      <c r="AJ1058" s="45"/>
      <c r="AK1058" s="45"/>
      <c r="AL1058" s="45"/>
      <c r="AM1058" s="45"/>
      <c r="AN1058" s="45"/>
      <c r="AO1058" s="45"/>
      <c r="AP1058" s="45"/>
      <c r="AQ1058" s="36"/>
      <c r="AR1058" s="36"/>
      <c r="AS1058" s="36"/>
      <c r="AT1058" s="36"/>
      <c r="AU1058" s="36"/>
      <c r="AV1058" s="36"/>
      <c r="AW1058" s="36"/>
      <c r="AX1058" s="36"/>
      <c r="AY1058" s="36"/>
      <c r="AZ1058" s="36"/>
      <c r="BA1058" s="36"/>
      <c r="BB1058" s="36"/>
      <c r="BC1058" s="36"/>
      <c r="BD1058" s="36"/>
      <c r="BE1058" s="36"/>
      <c r="BF1058" s="36"/>
      <c r="BG1058" s="36"/>
      <c r="BH1058" s="36"/>
      <c r="BI1058" s="36"/>
      <c r="BJ1058" s="36"/>
      <c r="BK1058" s="36"/>
      <c r="BL1058" s="36"/>
      <c r="BM1058" s="36"/>
      <c r="BN1058" s="36"/>
      <c r="BO1058" s="36"/>
      <c r="BP1058" s="36"/>
      <c r="BQ1058" s="36"/>
    </row>
    <row r="1059">
      <c r="A1059" s="45"/>
      <c r="B1059" s="45"/>
      <c r="C1059" s="45"/>
      <c r="D1059" s="45"/>
      <c r="E1059" s="45"/>
      <c r="F1059" s="45"/>
      <c r="G1059" s="45"/>
      <c r="H1059" s="45"/>
      <c r="I1059" s="45"/>
      <c r="J1059" s="45"/>
      <c r="K1059" s="45"/>
      <c r="L1059" s="45"/>
      <c r="M1059" s="45"/>
      <c r="N1059" s="45"/>
      <c r="O1059" s="45"/>
      <c r="P1059" s="45"/>
      <c r="Q1059" s="45"/>
      <c r="R1059" s="51"/>
      <c r="S1059" s="51"/>
      <c r="T1059" s="51"/>
      <c r="U1059" s="51"/>
      <c r="V1059" s="51"/>
      <c r="W1059" s="51"/>
      <c r="X1059" s="51"/>
      <c r="Y1059" s="45"/>
      <c r="Z1059" s="45"/>
      <c r="AA1059" s="45"/>
      <c r="AB1059" s="45"/>
      <c r="AC1059" s="45"/>
      <c r="AD1059" s="45"/>
      <c r="AE1059" s="45"/>
      <c r="AF1059" s="45"/>
      <c r="AG1059" s="45"/>
      <c r="AH1059" s="45"/>
      <c r="AI1059" s="45"/>
      <c r="AJ1059" s="45"/>
      <c r="AK1059" s="45"/>
      <c r="AL1059" s="45"/>
      <c r="AM1059" s="45"/>
      <c r="AN1059" s="45"/>
      <c r="AO1059" s="45"/>
      <c r="AP1059" s="45"/>
      <c r="AQ1059" s="36"/>
      <c r="AR1059" s="36"/>
      <c r="AS1059" s="36"/>
      <c r="AT1059" s="36"/>
      <c r="AU1059" s="36"/>
      <c r="AV1059" s="36"/>
      <c r="AW1059" s="36"/>
      <c r="AX1059" s="36"/>
      <c r="AY1059" s="36"/>
      <c r="AZ1059" s="36"/>
      <c r="BA1059" s="36"/>
      <c r="BB1059" s="36"/>
      <c r="BC1059" s="36"/>
      <c r="BD1059" s="36"/>
      <c r="BE1059" s="36"/>
      <c r="BF1059" s="36"/>
      <c r="BG1059" s="36"/>
      <c r="BH1059" s="36"/>
      <c r="BI1059" s="36"/>
      <c r="BJ1059" s="36"/>
      <c r="BK1059" s="36"/>
      <c r="BL1059" s="36"/>
      <c r="BM1059" s="36"/>
      <c r="BN1059" s="36"/>
      <c r="BO1059" s="36"/>
      <c r="BP1059" s="36"/>
      <c r="BQ1059" s="36"/>
    </row>
    <row r="1060">
      <c r="A1060" s="45"/>
      <c r="B1060" s="45"/>
      <c r="C1060" s="45"/>
      <c r="D1060" s="45"/>
      <c r="E1060" s="45"/>
      <c r="F1060" s="45"/>
      <c r="G1060" s="45"/>
      <c r="H1060" s="45"/>
      <c r="I1060" s="45"/>
      <c r="J1060" s="45"/>
      <c r="K1060" s="45"/>
      <c r="L1060" s="45"/>
      <c r="M1060" s="45"/>
      <c r="N1060" s="45"/>
      <c r="O1060" s="45"/>
      <c r="P1060" s="45"/>
      <c r="Q1060" s="45"/>
      <c r="R1060" s="51"/>
      <c r="S1060" s="51"/>
      <c r="T1060" s="51"/>
      <c r="U1060" s="51"/>
      <c r="V1060" s="51"/>
      <c r="W1060" s="51"/>
      <c r="X1060" s="51"/>
      <c r="Y1060" s="45"/>
      <c r="Z1060" s="45"/>
      <c r="AA1060" s="45"/>
      <c r="AB1060" s="45"/>
      <c r="AC1060" s="45"/>
      <c r="AD1060" s="45"/>
      <c r="AE1060" s="45"/>
      <c r="AF1060" s="45"/>
      <c r="AG1060" s="45"/>
      <c r="AH1060" s="45"/>
      <c r="AI1060" s="45"/>
      <c r="AJ1060" s="45"/>
      <c r="AK1060" s="45"/>
      <c r="AL1060" s="45"/>
      <c r="AM1060" s="45"/>
      <c r="AN1060" s="45"/>
      <c r="AO1060" s="45"/>
      <c r="AP1060" s="45"/>
      <c r="AQ1060" s="36"/>
      <c r="AR1060" s="36"/>
      <c r="AS1060" s="36"/>
      <c r="AT1060" s="36"/>
      <c r="AU1060" s="36"/>
      <c r="AV1060" s="36"/>
      <c r="AW1060" s="36"/>
      <c r="AX1060" s="36"/>
      <c r="AY1060" s="36"/>
      <c r="AZ1060" s="36"/>
      <c r="BA1060" s="36"/>
      <c r="BB1060" s="36"/>
      <c r="BC1060" s="36"/>
      <c r="BD1060" s="36"/>
      <c r="BE1060" s="36"/>
      <c r="BF1060" s="36"/>
      <c r="BG1060" s="36"/>
      <c r="BH1060" s="36"/>
      <c r="BI1060" s="36"/>
      <c r="BJ1060" s="36"/>
      <c r="BK1060" s="36"/>
      <c r="BL1060" s="36"/>
      <c r="BM1060" s="36"/>
      <c r="BN1060" s="36"/>
      <c r="BO1060" s="36"/>
      <c r="BP1060" s="36"/>
      <c r="BQ1060" s="36"/>
    </row>
    <row r="1061">
      <c r="A1061" s="45"/>
      <c r="B1061" s="45"/>
      <c r="C1061" s="45"/>
      <c r="D1061" s="45"/>
      <c r="E1061" s="45"/>
      <c r="F1061" s="45"/>
      <c r="G1061" s="45"/>
      <c r="H1061" s="45"/>
      <c r="I1061" s="45"/>
      <c r="J1061" s="45"/>
      <c r="K1061" s="45"/>
      <c r="L1061" s="45"/>
      <c r="M1061" s="45"/>
      <c r="N1061" s="45"/>
      <c r="O1061" s="45"/>
      <c r="P1061" s="45"/>
      <c r="Q1061" s="45"/>
      <c r="R1061" s="51"/>
      <c r="S1061" s="51"/>
      <c r="T1061" s="51"/>
      <c r="U1061" s="51"/>
      <c r="V1061" s="51"/>
      <c r="W1061" s="51"/>
      <c r="X1061" s="51"/>
      <c r="Y1061" s="45"/>
      <c r="Z1061" s="45"/>
      <c r="AA1061" s="45"/>
      <c r="AB1061" s="45"/>
      <c r="AC1061" s="45"/>
      <c r="AD1061" s="45"/>
      <c r="AE1061" s="45"/>
      <c r="AF1061" s="45"/>
      <c r="AG1061" s="45"/>
      <c r="AH1061" s="45"/>
      <c r="AI1061" s="45"/>
      <c r="AJ1061" s="45"/>
      <c r="AK1061" s="45"/>
      <c r="AL1061" s="45"/>
      <c r="AM1061" s="45"/>
      <c r="AN1061" s="45"/>
      <c r="AO1061" s="45"/>
      <c r="AP1061" s="45"/>
      <c r="AQ1061" s="36"/>
      <c r="AR1061" s="36"/>
      <c r="AS1061" s="36"/>
      <c r="AT1061" s="36"/>
      <c r="AU1061" s="36"/>
      <c r="AV1061" s="36"/>
      <c r="AW1061" s="36"/>
      <c r="AX1061" s="36"/>
      <c r="AY1061" s="36"/>
      <c r="AZ1061" s="36"/>
      <c r="BA1061" s="36"/>
      <c r="BB1061" s="36"/>
      <c r="BC1061" s="36"/>
      <c r="BD1061" s="36"/>
      <c r="BE1061" s="36"/>
      <c r="BF1061" s="36"/>
      <c r="BG1061" s="36"/>
      <c r="BH1061" s="36"/>
      <c r="BI1061" s="36"/>
      <c r="BJ1061" s="36"/>
      <c r="BK1061" s="36"/>
      <c r="BL1061" s="36"/>
      <c r="BM1061" s="36"/>
      <c r="BN1061" s="36"/>
      <c r="BO1061" s="36"/>
      <c r="BP1061" s="36"/>
      <c r="BQ1061" s="36"/>
    </row>
    <row r="1062">
      <c r="A1062" s="45"/>
      <c r="B1062" s="45"/>
      <c r="C1062" s="45"/>
      <c r="D1062" s="45"/>
      <c r="E1062" s="45"/>
      <c r="F1062" s="45"/>
      <c r="G1062" s="45"/>
      <c r="H1062" s="45"/>
      <c r="I1062" s="45"/>
      <c r="J1062" s="45"/>
      <c r="K1062" s="45"/>
      <c r="L1062" s="45"/>
      <c r="M1062" s="45"/>
      <c r="N1062" s="45"/>
      <c r="O1062" s="45"/>
      <c r="P1062" s="45"/>
      <c r="Q1062" s="45"/>
      <c r="R1062" s="51"/>
      <c r="S1062" s="51"/>
      <c r="T1062" s="51"/>
      <c r="U1062" s="51"/>
      <c r="V1062" s="51"/>
      <c r="W1062" s="51"/>
      <c r="X1062" s="51"/>
      <c r="Y1062" s="45"/>
      <c r="Z1062" s="45"/>
      <c r="AA1062" s="45"/>
      <c r="AB1062" s="45"/>
      <c r="AC1062" s="45"/>
      <c r="AD1062" s="45"/>
      <c r="AE1062" s="45"/>
      <c r="AF1062" s="45"/>
      <c r="AG1062" s="45"/>
      <c r="AH1062" s="45"/>
      <c r="AI1062" s="45"/>
      <c r="AJ1062" s="45"/>
      <c r="AK1062" s="45"/>
      <c r="AL1062" s="45"/>
      <c r="AM1062" s="45"/>
      <c r="AN1062" s="45"/>
      <c r="AO1062" s="45"/>
      <c r="AP1062" s="45"/>
      <c r="AQ1062" s="36"/>
      <c r="AR1062" s="36"/>
      <c r="AS1062" s="36"/>
      <c r="AT1062" s="36"/>
      <c r="AU1062" s="36"/>
      <c r="AV1062" s="36"/>
      <c r="AW1062" s="36"/>
      <c r="AX1062" s="36"/>
      <c r="AY1062" s="36"/>
      <c r="AZ1062" s="36"/>
      <c r="BA1062" s="36"/>
      <c r="BB1062" s="36"/>
      <c r="BC1062" s="36"/>
      <c r="BD1062" s="36"/>
      <c r="BE1062" s="36"/>
      <c r="BF1062" s="36"/>
      <c r="BG1062" s="36"/>
      <c r="BH1062" s="36"/>
      <c r="BI1062" s="36"/>
      <c r="BJ1062" s="36"/>
      <c r="BK1062" s="36"/>
      <c r="BL1062" s="36"/>
      <c r="BM1062" s="36"/>
      <c r="BN1062" s="36"/>
      <c r="BO1062" s="36"/>
      <c r="BP1062" s="36"/>
      <c r="BQ1062" s="36"/>
    </row>
    <row r="1063">
      <c r="A1063" s="45"/>
      <c r="B1063" s="45"/>
      <c r="C1063" s="45"/>
      <c r="D1063" s="45"/>
      <c r="E1063" s="45"/>
      <c r="F1063" s="45"/>
      <c r="G1063" s="45"/>
      <c r="H1063" s="45"/>
      <c r="I1063" s="45"/>
      <c r="J1063" s="45"/>
      <c r="K1063" s="45"/>
      <c r="L1063" s="45"/>
      <c r="M1063" s="45"/>
      <c r="N1063" s="45"/>
      <c r="O1063" s="45"/>
      <c r="P1063" s="45"/>
      <c r="Q1063" s="45"/>
      <c r="R1063" s="51"/>
      <c r="S1063" s="51"/>
      <c r="T1063" s="51"/>
      <c r="U1063" s="51"/>
      <c r="V1063" s="51"/>
      <c r="W1063" s="51"/>
      <c r="X1063" s="51"/>
      <c r="Y1063" s="45"/>
      <c r="Z1063" s="45"/>
      <c r="AA1063" s="45"/>
      <c r="AB1063" s="45"/>
      <c r="AC1063" s="45"/>
      <c r="AD1063" s="45"/>
      <c r="AE1063" s="45"/>
      <c r="AF1063" s="45"/>
      <c r="AG1063" s="45"/>
      <c r="AH1063" s="45"/>
      <c r="AI1063" s="45"/>
      <c r="AJ1063" s="45"/>
      <c r="AK1063" s="45"/>
      <c r="AL1063" s="45"/>
      <c r="AM1063" s="45"/>
      <c r="AN1063" s="45"/>
      <c r="AO1063" s="45"/>
      <c r="AP1063" s="45"/>
      <c r="AQ1063" s="36"/>
      <c r="AR1063" s="36"/>
      <c r="AS1063" s="36"/>
      <c r="AT1063" s="36"/>
      <c r="AU1063" s="36"/>
      <c r="AV1063" s="36"/>
      <c r="AW1063" s="36"/>
      <c r="AX1063" s="36"/>
      <c r="AY1063" s="36"/>
      <c r="AZ1063" s="36"/>
      <c r="BA1063" s="36"/>
      <c r="BB1063" s="36"/>
      <c r="BC1063" s="36"/>
      <c r="BD1063" s="36"/>
      <c r="BE1063" s="36"/>
      <c r="BF1063" s="36"/>
      <c r="BG1063" s="36"/>
      <c r="BH1063" s="36"/>
      <c r="BI1063" s="36"/>
      <c r="BJ1063" s="36"/>
      <c r="BK1063" s="36"/>
      <c r="BL1063" s="36"/>
      <c r="BM1063" s="36"/>
      <c r="BN1063" s="36"/>
      <c r="BO1063" s="36"/>
      <c r="BP1063" s="36"/>
      <c r="BQ1063" s="36"/>
    </row>
    <row r="1064">
      <c r="A1064" s="45"/>
      <c r="B1064" s="45"/>
      <c r="C1064" s="45"/>
      <c r="D1064" s="45"/>
      <c r="E1064" s="45"/>
      <c r="F1064" s="45"/>
      <c r="G1064" s="45"/>
      <c r="H1064" s="45"/>
      <c r="I1064" s="45"/>
      <c r="J1064" s="45"/>
      <c r="K1064" s="45"/>
      <c r="L1064" s="45"/>
      <c r="M1064" s="45"/>
      <c r="N1064" s="45"/>
      <c r="O1064" s="45"/>
      <c r="P1064" s="45"/>
      <c r="Q1064" s="45"/>
      <c r="R1064" s="51"/>
      <c r="S1064" s="51"/>
      <c r="T1064" s="51"/>
      <c r="U1064" s="51"/>
      <c r="V1064" s="51"/>
      <c r="W1064" s="51"/>
      <c r="X1064" s="51"/>
      <c r="Y1064" s="45"/>
      <c r="Z1064" s="45"/>
      <c r="AA1064" s="45"/>
      <c r="AB1064" s="45"/>
      <c r="AC1064" s="45"/>
      <c r="AD1064" s="45"/>
      <c r="AE1064" s="45"/>
      <c r="AF1064" s="45"/>
      <c r="AG1064" s="45"/>
      <c r="AH1064" s="45"/>
      <c r="AI1064" s="45"/>
      <c r="AJ1064" s="45"/>
      <c r="AK1064" s="45"/>
      <c r="AL1064" s="45"/>
      <c r="AM1064" s="45"/>
      <c r="AN1064" s="45"/>
      <c r="AO1064" s="45"/>
      <c r="AP1064" s="45"/>
      <c r="AQ1064" s="36"/>
      <c r="AR1064" s="36"/>
      <c r="AS1064" s="36"/>
      <c r="AT1064" s="36"/>
      <c r="AU1064" s="36"/>
      <c r="AV1064" s="36"/>
      <c r="AW1064" s="36"/>
      <c r="AX1064" s="36"/>
      <c r="AY1064" s="36"/>
      <c r="AZ1064" s="36"/>
      <c r="BA1064" s="36"/>
      <c r="BB1064" s="36"/>
      <c r="BC1064" s="36"/>
      <c r="BD1064" s="36"/>
      <c r="BE1064" s="36"/>
      <c r="BF1064" s="36"/>
      <c r="BG1064" s="36"/>
      <c r="BH1064" s="36"/>
      <c r="BI1064" s="36"/>
      <c r="BJ1064" s="36"/>
      <c r="BK1064" s="36"/>
      <c r="BL1064" s="36"/>
      <c r="BM1064" s="36"/>
      <c r="BN1064" s="36"/>
      <c r="BO1064" s="36"/>
      <c r="BP1064" s="36"/>
      <c r="BQ1064" s="36"/>
    </row>
    <row r="1065">
      <c r="A1065" s="45"/>
      <c r="B1065" s="45"/>
      <c r="C1065" s="45"/>
      <c r="D1065" s="45"/>
      <c r="E1065" s="45"/>
      <c r="F1065" s="45"/>
      <c r="G1065" s="45"/>
      <c r="H1065" s="45"/>
      <c r="I1065" s="45"/>
      <c r="J1065" s="45"/>
      <c r="K1065" s="45"/>
      <c r="L1065" s="45"/>
      <c r="M1065" s="45"/>
      <c r="N1065" s="45"/>
      <c r="O1065" s="45"/>
      <c r="P1065" s="45"/>
      <c r="Q1065" s="45"/>
      <c r="R1065" s="51"/>
      <c r="S1065" s="51"/>
      <c r="T1065" s="51"/>
      <c r="U1065" s="51"/>
      <c r="V1065" s="51"/>
      <c r="W1065" s="51"/>
      <c r="X1065" s="51"/>
      <c r="Y1065" s="45"/>
      <c r="Z1065" s="45"/>
      <c r="AA1065" s="45"/>
      <c r="AB1065" s="45"/>
      <c r="AC1065" s="45"/>
      <c r="AD1065" s="45"/>
      <c r="AE1065" s="45"/>
      <c r="AF1065" s="45"/>
      <c r="AG1065" s="45"/>
      <c r="AH1065" s="45"/>
      <c r="AI1065" s="45"/>
      <c r="AJ1065" s="45"/>
      <c r="AK1065" s="45"/>
      <c r="AL1065" s="45"/>
      <c r="AM1065" s="45"/>
      <c r="AN1065" s="45"/>
      <c r="AO1065" s="45"/>
      <c r="AP1065" s="45"/>
      <c r="AQ1065" s="36"/>
      <c r="AR1065" s="36"/>
      <c r="AS1065" s="36"/>
      <c r="AT1065" s="36"/>
      <c r="AU1065" s="36"/>
      <c r="AV1065" s="36"/>
      <c r="AW1065" s="36"/>
      <c r="AX1065" s="36"/>
      <c r="AY1065" s="36"/>
      <c r="AZ1065" s="36"/>
      <c r="BA1065" s="36"/>
      <c r="BB1065" s="36"/>
      <c r="BC1065" s="36"/>
      <c r="BD1065" s="36"/>
      <c r="BE1065" s="36"/>
      <c r="BF1065" s="36"/>
      <c r="BG1065" s="36"/>
      <c r="BH1065" s="36"/>
      <c r="BI1065" s="36"/>
      <c r="BJ1065" s="36"/>
      <c r="BK1065" s="36"/>
      <c r="BL1065" s="36"/>
      <c r="BM1065" s="36"/>
      <c r="BN1065" s="36"/>
      <c r="BO1065" s="36"/>
      <c r="BP1065" s="36"/>
      <c r="BQ1065" s="36"/>
    </row>
    <row r="1066">
      <c r="A1066" s="45"/>
      <c r="B1066" s="45"/>
      <c r="C1066" s="45"/>
      <c r="D1066" s="45"/>
      <c r="E1066" s="45"/>
      <c r="F1066" s="45"/>
      <c r="G1066" s="45"/>
      <c r="H1066" s="45"/>
      <c r="I1066" s="45"/>
      <c r="J1066" s="45"/>
      <c r="K1066" s="45"/>
      <c r="L1066" s="45"/>
      <c r="M1066" s="45"/>
      <c r="N1066" s="45"/>
      <c r="O1066" s="45"/>
      <c r="P1066" s="45"/>
      <c r="Q1066" s="45"/>
      <c r="R1066" s="51"/>
      <c r="S1066" s="51"/>
      <c r="T1066" s="51"/>
      <c r="U1066" s="51"/>
      <c r="V1066" s="51"/>
      <c r="W1066" s="51"/>
      <c r="X1066" s="51"/>
      <c r="Y1066" s="45"/>
      <c r="Z1066" s="45"/>
      <c r="AA1066" s="45"/>
      <c r="AB1066" s="45"/>
      <c r="AC1066" s="45"/>
      <c r="AD1066" s="45"/>
      <c r="AE1066" s="45"/>
      <c r="AF1066" s="45"/>
      <c r="AG1066" s="45"/>
      <c r="AH1066" s="45"/>
      <c r="AI1066" s="45"/>
      <c r="AJ1066" s="45"/>
      <c r="AK1066" s="45"/>
      <c r="AL1066" s="45"/>
      <c r="AM1066" s="45"/>
      <c r="AN1066" s="45"/>
      <c r="AO1066" s="45"/>
      <c r="AP1066" s="45"/>
      <c r="AQ1066" s="36"/>
      <c r="AR1066" s="36"/>
      <c r="AS1066" s="36"/>
      <c r="AT1066" s="36"/>
      <c r="AU1066" s="36"/>
      <c r="AV1066" s="36"/>
      <c r="AW1066" s="36"/>
      <c r="AX1066" s="36"/>
      <c r="AY1066" s="36"/>
      <c r="AZ1066" s="36"/>
      <c r="BA1066" s="36"/>
      <c r="BB1066" s="36"/>
      <c r="BC1066" s="36"/>
      <c r="BD1066" s="36"/>
      <c r="BE1066" s="36"/>
      <c r="BF1066" s="36"/>
      <c r="BG1066" s="36"/>
      <c r="BH1066" s="36"/>
      <c r="BI1066" s="36"/>
      <c r="BJ1066" s="36"/>
      <c r="BK1066" s="36"/>
      <c r="BL1066" s="36"/>
      <c r="BM1066" s="36"/>
      <c r="BN1066" s="36"/>
      <c r="BO1066" s="36"/>
      <c r="BP1066" s="36"/>
      <c r="BQ1066" s="36"/>
    </row>
    <row r="1067">
      <c r="A1067" s="45"/>
      <c r="B1067" s="45"/>
      <c r="C1067" s="45"/>
      <c r="D1067" s="45"/>
      <c r="E1067" s="45"/>
      <c r="F1067" s="45"/>
      <c r="G1067" s="45"/>
      <c r="H1067" s="45"/>
      <c r="I1067" s="45"/>
      <c r="J1067" s="45"/>
      <c r="K1067" s="45"/>
      <c r="L1067" s="45"/>
      <c r="M1067" s="45"/>
      <c r="N1067" s="45"/>
      <c r="O1067" s="45"/>
      <c r="P1067" s="45"/>
      <c r="Q1067" s="45"/>
      <c r="R1067" s="51"/>
      <c r="S1067" s="51"/>
      <c r="T1067" s="51"/>
      <c r="U1067" s="51"/>
      <c r="V1067" s="51"/>
      <c r="W1067" s="51"/>
      <c r="X1067" s="51"/>
      <c r="Y1067" s="45"/>
      <c r="Z1067" s="45"/>
      <c r="AA1067" s="45"/>
      <c r="AB1067" s="45"/>
      <c r="AC1067" s="45"/>
      <c r="AD1067" s="45"/>
      <c r="AE1067" s="45"/>
      <c r="AF1067" s="45"/>
      <c r="AG1067" s="45"/>
      <c r="AH1067" s="45"/>
      <c r="AI1067" s="45"/>
      <c r="AJ1067" s="45"/>
      <c r="AK1067" s="45"/>
      <c r="AL1067" s="45"/>
      <c r="AM1067" s="45"/>
      <c r="AN1067" s="45"/>
      <c r="AO1067" s="45"/>
      <c r="AP1067" s="45"/>
      <c r="AQ1067" s="36"/>
      <c r="AR1067" s="36"/>
      <c r="AS1067" s="36"/>
      <c r="AT1067" s="36"/>
      <c r="AU1067" s="36"/>
      <c r="AV1067" s="36"/>
      <c r="AW1067" s="36"/>
      <c r="AX1067" s="36"/>
      <c r="AY1067" s="36"/>
      <c r="AZ1067" s="36"/>
      <c r="BA1067" s="36"/>
      <c r="BB1067" s="36"/>
      <c r="BC1067" s="36"/>
      <c r="BD1067" s="36"/>
      <c r="BE1067" s="36"/>
      <c r="BF1067" s="36"/>
      <c r="BG1067" s="36"/>
      <c r="BH1067" s="36"/>
      <c r="BI1067" s="36"/>
      <c r="BJ1067" s="36"/>
      <c r="BK1067" s="36"/>
      <c r="BL1067" s="36"/>
      <c r="BM1067" s="36"/>
      <c r="BN1067" s="36"/>
      <c r="BO1067" s="36"/>
      <c r="BP1067" s="36"/>
      <c r="BQ1067" s="36"/>
    </row>
    <row r="1068">
      <c r="A1068" s="45"/>
      <c r="B1068" s="45"/>
      <c r="C1068" s="45"/>
      <c r="D1068" s="45"/>
      <c r="E1068" s="45"/>
      <c r="F1068" s="45"/>
      <c r="G1068" s="45"/>
      <c r="H1068" s="45"/>
      <c r="I1068" s="45"/>
      <c r="J1068" s="45"/>
      <c r="K1068" s="45"/>
      <c r="L1068" s="45"/>
      <c r="M1068" s="45"/>
      <c r="N1068" s="45"/>
      <c r="O1068" s="45"/>
      <c r="P1068" s="45"/>
      <c r="Q1068" s="45"/>
      <c r="R1068" s="51"/>
      <c r="S1068" s="51"/>
      <c r="T1068" s="51"/>
      <c r="U1068" s="51"/>
      <c r="V1068" s="51"/>
      <c r="W1068" s="51"/>
      <c r="X1068" s="51"/>
      <c r="Y1068" s="45"/>
      <c r="Z1068" s="45"/>
      <c r="AA1068" s="45"/>
      <c r="AB1068" s="45"/>
      <c r="AC1068" s="45"/>
      <c r="AD1068" s="45"/>
      <c r="AE1068" s="45"/>
      <c r="AF1068" s="45"/>
      <c r="AG1068" s="45"/>
      <c r="AH1068" s="45"/>
      <c r="AI1068" s="45"/>
      <c r="AJ1068" s="45"/>
      <c r="AK1068" s="45"/>
      <c r="AL1068" s="45"/>
      <c r="AM1068" s="45"/>
      <c r="AN1068" s="45"/>
      <c r="AO1068" s="45"/>
      <c r="AP1068" s="45"/>
      <c r="AQ1068" s="36"/>
      <c r="AR1068" s="36"/>
      <c r="AS1068" s="36"/>
      <c r="AT1068" s="36"/>
      <c r="AU1068" s="36"/>
      <c r="AV1068" s="36"/>
      <c r="AW1068" s="36"/>
      <c r="AX1068" s="36"/>
      <c r="AY1068" s="36"/>
      <c r="AZ1068" s="36"/>
      <c r="BA1068" s="36"/>
      <c r="BB1068" s="36"/>
      <c r="BC1068" s="36"/>
      <c r="BD1068" s="36"/>
      <c r="BE1068" s="36"/>
      <c r="BF1068" s="36"/>
      <c r="BG1068" s="36"/>
      <c r="BH1068" s="36"/>
      <c r="BI1068" s="36"/>
      <c r="BJ1068" s="36"/>
      <c r="BK1068" s="36"/>
      <c r="BL1068" s="36"/>
      <c r="BM1068" s="36"/>
      <c r="BN1068" s="36"/>
      <c r="BO1068" s="36"/>
      <c r="BP1068" s="36"/>
      <c r="BQ1068" s="36"/>
    </row>
    <row r="1069">
      <c r="A1069" s="45"/>
      <c r="B1069" s="45"/>
      <c r="C1069" s="45"/>
      <c r="D1069" s="45"/>
      <c r="E1069" s="45"/>
      <c r="F1069" s="45"/>
      <c r="G1069" s="45"/>
      <c r="H1069" s="45"/>
      <c r="I1069" s="45"/>
      <c r="J1069" s="45"/>
      <c r="K1069" s="45"/>
      <c r="L1069" s="45"/>
      <c r="M1069" s="45"/>
      <c r="N1069" s="45"/>
      <c r="O1069" s="45"/>
      <c r="P1069" s="45"/>
      <c r="Q1069" s="45"/>
      <c r="R1069" s="51"/>
      <c r="S1069" s="51"/>
      <c r="T1069" s="51"/>
      <c r="U1069" s="51"/>
      <c r="V1069" s="51"/>
      <c r="W1069" s="51"/>
      <c r="X1069" s="51"/>
      <c r="Y1069" s="45"/>
      <c r="Z1069" s="45"/>
      <c r="AA1069" s="45"/>
      <c r="AB1069" s="45"/>
      <c r="AC1069" s="45"/>
      <c r="AD1069" s="45"/>
      <c r="AE1069" s="45"/>
      <c r="AF1069" s="45"/>
      <c r="AG1069" s="45"/>
      <c r="AH1069" s="45"/>
      <c r="AI1069" s="45"/>
      <c r="AJ1069" s="45"/>
      <c r="AK1069" s="45"/>
      <c r="AL1069" s="45"/>
      <c r="AM1069" s="45"/>
      <c r="AN1069" s="45"/>
      <c r="AO1069" s="45"/>
      <c r="AP1069" s="45"/>
      <c r="AQ1069" s="36"/>
      <c r="AR1069" s="36"/>
      <c r="AS1069" s="36"/>
      <c r="AT1069" s="36"/>
      <c r="AU1069" s="36"/>
      <c r="AV1069" s="36"/>
      <c r="AW1069" s="36"/>
      <c r="AX1069" s="36"/>
      <c r="AY1069" s="36"/>
      <c r="AZ1069" s="36"/>
      <c r="BA1069" s="36"/>
      <c r="BB1069" s="36"/>
      <c r="BC1069" s="36"/>
      <c r="BD1069" s="36"/>
      <c r="BE1069" s="36"/>
      <c r="BF1069" s="36"/>
      <c r="BG1069" s="36"/>
      <c r="BH1069" s="36"/>
      <c r="BI1069" s="36"/>
      <c r="BJ1069" s="36"/>
      <c r="BK1069" s="36"/>
      <c r="BL1069" s="36"/>
      <c r="BM1069" s="36"/>
      <c r="BN1069" s="36"/>
      <c r="BO1069" s="36"/>
      <c r="BP1069" s="36"/>
      <c r="BQ1069" s="36"/>
    </row>
    <row r="1070">
      <c r="A1070" s="45"/>
      <c r="B1070" s="45"/>
      <c r="C1070" s="45"/>
      <c r="D1070" s="45"/>
      <c r="E1070" s="45"/>
      <c r="F1070" s="45"/>
      <c r="G1070" s="45"/>
      <c r="H1070" s="45"/>
      <c r="I1070" s="45"/>
      <c r="J1070" s="45"/>
      <c r="K1070" s="45"/>
      <c r="L1070" s="45"/>
      <c r="M1070" s="45"/>
      <c r="N1070" s="45"/>
      <c r="O1070" s="45"/>
      <c r="P1070" s="45"/>
      <c r="Q1070" s="45"/>
      <c r="R1070" s="51"/>
      <c r="S1070" s="51"/>
      <c r="T1070" s="51"/>
      <c r="U1070" s="51"/>
      <c r="V1070" s="51"/>
      <c r="W1070" s="51"/>
      <c r="X1070" s="51"/>
      <c r="Y1070" s="45"/>
      <c r="Z1070" s="45"/>
      <c r="AA1070" s="45"/>
      <c r="AB1070" s="45"/>
      <c r="AC1070" s="45"/>
      <c r="AD1070" s="45"/>
      <c r="AE1070" s="45"/>
      <c r="AF1070" s="45"/>
      <c r="AG1070" s="45"/>
      <c r="AH1070" s="45"/>
      <c r="AI1070" s="45"/>
      <c r="AJ1070" s="45"/>
      <c r="AK1070" s="45"/>
      <c r="AL1070" s="45"/>
      <c r="AM1070" s="45"/>
      <c r="AN1070" s="45"/>
      <c r="AO1070" s="45"/>
      <c r="AP1070" s="45"/>
      <c r="AQ1070" s="36"/>
      <c r="AR1070" s="36"/>
      <c r="AS1070" s="36"/>
      <c r="AT1070" s="36"/>
      <c r="AU1070" s="36"/>
      <c r="AV1070" s="36"/>
      <c r="AW1070" s="36"/>
      <c r="AX1070" s="36"/>
      <c r="AY1070" s="36"/>
      <c r="AZ1070" s="36"/>
      <c r="BA1070" s="36"/>
      <c r="BB1070" s="36"/>
      <c r="BC1070" s="36"/>
      <c r="BD1070" s="36"/>
      <c r="BE1070" s="36"/>
      <c r="BF1070" s="36"/>
      <c r="BG1070" s="36"/>
      <c r="BH1070" s="36"/>
      <c r="BI1070" s="36"/>
      <c r="BJ1070" s="36"/>
      <c r="BK1070" s="36"/>
      <c r="BL1070" s="36"/>
      <c r="BM1070" s="36"/>
      <c r="BN1070" s="36"/>
      <c r="BO1070" s="36"/>
      <c r="BP1070" s="36"/>
      <c r="BQ1070" s="36"/>
    </row>
    <row r="1071">
      <c r="A1071" s="45"/>
      <c r="B1071" s="45"/>
      <c r="C1071" s="45"/>
      <c r="D1071" s="45"/>
      <c r="E1071" s="45"/>
      <c r="F1071" s="45"/>
      <c r="G1071" s="45"/>
      <c r="H1071" s="45"/>
      <c r="I1071" s="45"/>
      <c r="J1071" s="45"/>
      <c r="K1071" s="45"/>
      <c r="L1071" s="45"/>
      <c r="M1071" s="45"/>
      <c r="N1071" s="45"/>
      <c r="O1071" s="45"/>
      <c r="P1071" s="45"/>
      <c r="Q1071" s="45"/>
      <c r="R1071" s="51"/>
      <c r="S1071" s="51"/>
      <c r="T1071" s="51"/>
      <c r="U1071" s="51"/>
      <c r="V1071" s="51"/>
      <c r="W1071" s="51"/>
      <c r="X1071" s="51"/>
      <c r="Y1071" s="45"/>
      <c r="Z1071" s="45"/>
      <c r="AA1071" s="45"/>
      <c r="AB1071" s="45"/>
      <c r="AC1071" s="45"/>
      <c r="AD1071" s="45"/>
      <c r="AE1071" s="45"/>
      <c r="AF1071" s="45"/>
      <c r="AG1071" s="45"/>
      <c r="AH1071" s="45"/>
      <c r="AI1071" s="45"/>
      <c r="AJ1071" s="45"/>
      <c r="AK1071" s="45"/>
      <c r="AL1071" s="45"/>
      <c r="AM1071" s="45"/>
      <c r="AN1071" s="45"/>
      <c r="AO1071" s="45"/>
      <c r="AP1071" s="45"/>
      <c r="AQ1071" s="36"/>
      <c r="AR1071" s="36"/>
      <c r="AS1071" s="36"/>
      <c r="AT1071" s="36"/>
      <c r="AU1071" s="36"/>
      <c r="AV1071" s="36"/>
      <c r="AW1071" s="36"/>
      <c r="AX1071" s="36"/>
      <c r="AY1071" s="36"/>
      <c r="AZ1071" s="36"/>
      <c r="BA1071" s="36"/>
      <c r="BB1071" s="36"/>
      <c r="BC1071" s="36"/>
      <c r="BD1071" s="36"/>
      <c r="BE1071" s="36"/>
      <c r="BF1071" s="36"/>
      <c r="BG1071" s="36"/>
      <c r="BH1071" s="36"/>
      <c r="BI1071" s="36"/>
      <c r="BJ1071" s="36"/>
      <c r="BK1071" s="36"/>
      <c r="BL1071" s="36"/>
      <c r="BM1071" s="36"/>
      <c r="BN1071" s="36"/>
      <c r="BO1071" s="36"/>
      <c r="BP1071" s="36"/>
      <c r="BQ1071" s="36"/>
    </row>
    <row r="1072">
      <c r="A1072" s="45"/>
      <c r="B1072" s="45"/>
      <c r="C1072" s="45"/>
      <c r="D1072" s="45"/>
      <c r="E1072" s="45"/>
      <c r="F1072" s="45"/>
      <c r="G1072" s="45"/>
      <c r="H1072" s="45"/>
      <c r="I1072" s="45"/>
      <c r="J1072" s="45"/>
      <c r="K1072" s="45"/>
      <c r="L1072" s="45"/>
      <c r="M1072" s="45"/>
      <c r="N1072" s="45"/>
      <c r="O1072" s="45"/>
      <c r="P1072" s="45"/>
      <c r="Q1072" s="45"/>
      <c r="R1072" s="51"/>
      <c r="S1072" s="51"/>
      <c r="T1072" s="51"/>
      <c r="U1072" s="51"/>
      <c r="V1072" s="51"/>
      <c r="W1072" s="51"/>
      <c r="X1072" s="51"/>
      <c r="Y1072" s="45"/>
      <c r="Z1072" s="45"/>
      <c r="AA1072" s="45"/>
      <c r="AB1072" s="45"/>
      <c r="AC1072" s="45"/>
      <c r="AD1072" s="45"/>
      <c r="AE1072" s="45"/>
      <c r="AF1072" s="45"/>
      <c r="AG1072" s="45"/>
      <c r="AH1072" s="45"/>
      <c r="AI1072" s="45"/>
      <c r="AJ1072" s="45"/>
      <c r="AK1072" s="45"/>
      <c r="AL1072" s="45"/>
      <c r="AM1072" s="45"/>
      <c r="AN1072" s="45"/>
      <c r="AO1072" s="45"/>
      <c r="AP1072" s="45"/>
      <c r="AQ1072" s="36"/>
      <c r="AR1072" s="36"/>
      <c r="AS1072" s="36"/>
      <c r="AT1072" s="36"/>
      <c r="AU1072" s="36"/>
      <c r="AV1072" s="36"/>
      <c r="AW1072" s="36"/>
      <c r="AX1072" s="36"/>
      <c r="AY1072" s="36"/>
      <c r="AZ1072" s="36"/>
      <c r="BA1072" s="36"/>
      <c r="BB1072" s="36"/>
      <c r="BC1072" s="36"/>
      <c r="BD1072" s="36"/>
      <c r="BE1072" s="36"/>
      <c r="BF1072" s="36"/>
      <c r="BG1072" s="36"/>
      <c r="BH1072" s="36"/>
      <c r="BI1072" s="36"/>
      <c r="BJ1072" s="36"/>
      <c r="BK1072" s="36"/>
      <c r="BL1072" s="36"/>
      <c r="BM1072" s="36"/>
      <c r="BN1072" s="36"/>
      <c r="BO1072" s="36"/>
      <c r="BP1072" s="36"/>
      <c r="BQ1072" s="36"/>
    </row>
    <row r="1073">
      <c r="A1073" s="45"/>
      <c r="B1073" s="45"/>
      <c r="C1073" s="45"/>
      <c r="D1073" s="45"/>
      <c r="E1073" s="45"/>
      <c r="F1073" s="45"/>
      <c r="G1073" s="45"/>
      <c r="H1073" s="45"/>
      <c r="I1073" s="45"/>
      <c r="J1073" s="45"/>
      <c r="K1073" s="45"/>
      <c r="L1073" s="45"/>
      <c r="M1073" s="45"/>
      <c r="N1073" s="45"/>
      <c r="O1073" s="45"/>
      <c r="P1073" s="45"/>
      <c r="Q1073" s="45"/>
      <c r="R1073" s="51"/>
      <c r="S1073" s="51"/>
      <c r="T1073" s="51"/>
      <c r="U1073" s="51"/>
      <c r="V1073" s="51"/>
      <c r="W1073" s="51"/>
      <c r="X1073" s="51"/>
      <c r="Y1073" s="45"/>
      <c r="Z1073" s="45"/>
      <c r="AA1073" s="45"/>
      <c r="AB1073" s="45"/>
      <c r="AC1073" s="45"/>
      <c r="AD1073" s="45"/>
      <c r="AE1073" s="45"/>
      <c r="AF1073" s="45"/>
      <c r="AG1073" s="45"/>
      <c r="AH1073" s="45"/>
      <c r="AI1073" s="45"/>
      <c r="AJ1073" s="45"/>
      <c r="AK1073" s="45"/>
      <c r="AL1073" s="45"/>
      <c r="AM1073" s="45"/>
      <c r="AN1073" s="45"/>
      <c r="AO1073" s="45"/>
      <c r="AP1073" s="45"/>
      <c r="AQ1073" s="36"/>
      <c r="AR1073" s="36"/>
      <c r="AS1073" s="36"/>
      <c r="AT1073" s="36"/>
      <c r="AU1073" s="36"/>
      <c r="AV1073" s="36"/>
      <c r="AW1073" s="36"/>
      <c r="AX1073" s="36"/>
      <c r="AY1073" s="36"/>
      <c r="AZ1073" s="36"/>
      <c r="BA1073" s="36"/>
      <c r="BB1073" s="36"/>
      <c r="BC1073" s="36"/>
      <c r="BD1073" s="36"/>
      <c r="BE1073" s="36"/>
      <c r="BF1073" s="36"/>
      <c r="BG1073" s="36"/>
      <c r="BH1073" s="36"/>
      <c r="BI1073" s="36"/>
      <c r="BJ1073" s="36"/>
      <c r="BK1073" s="36"/>
      <c r="BL1073" s="36"/>
      <c r="BM1073" s="36"/>
      <c r="BN1073" s="36"/>
      <c r="BO1073" s="36"/>
      <c r="BP1073" s="36"/>
      <c r="BQ1073" s="36"/>
    </row>
    <row r="1074">
      <c r="A1074" s="45"/>
      <c r="B1074" s="45"/>
      <c r="C1074" s="45"/>
      <c r="D1074" s="45"/>
      <c r="E1074" s="45"/>
      <c r="F1074" s="45"/>
      <c r="G1074" s="45"/>
      <c r="H1074" s="45"/>
      <c r="I1074" s="45"/>
      <c r="J1074" s="45"/>
      <c r="K1074" s="45"/>
      <c r="L1074" s="45"/>
      <c r="M1074" s="45"/>
      <c r="N1074" s="45"/>
      <c r="O1074" s="45"/>
      <c r="P1074" s="45"/>
      <c r="Q1074" s="45"/>
      <c r="R1074" s="51"/>
      <c r="S1074" s="51"/>
      <c r="T1074" s="51"/>
      <c r="U1074" s="51"/>
      <c r="V1074" s="51"/>
      <c r="W1074" s="51"/>
      <c r="X1074" s="51"/>
      <c r="Y1074" s="45"/>
      <c r="Z1074" s="45"/>
      <c r="AA1074" s="45"/>
      <c r="AB1074" s="45"/>
      <c r="AC1074" s="45"/>
      <c r="AD1074" s="45"/>
      <c r="AE1074" s="45"/>
      <c r="AF1074" s="45"/>
      <c r="AG1074" s="45"/>
      <c r="AH1074" s="45"/>
      <c r="AI1074" s="45"/>
      <c r="AJ1074" s="45"/>
      <c r="AK1074" s="45"/>
      <c r="AL1074" s="45"/>
      <c r="AM1074" s="45"/>
      <c r="AN1074" s="45"/>
      <c r="AO1074" s="45"/>
      <c r="AP1074" s="45"/>
      <c r="AQ1074" s="36"/>
      <c r="AR1074" s="36"/>
      <c r="AS1074" s="36"/>
      <c r="AT1074" s="36"/>
      <c r="AU1074" s="36"/>
      <c r="AV1074" s="36"/>
      <c r="AW1074" s="36"/>
      <c r="AX1074" s="36"/>
      <c r="AY1074" s="36"/>
      <c r="AZ1074" s="36"/>
      <c r="BA1074" s="36"/>
      <c r="BB1074" s="36"/>
      <c r="BC1074" s="36"/>
      <c r="BD1074" s="36"/>
      <c r="BE1074" s="36"/>
      <c r="BF1074" s="36"/>
      <c r="BG1074" s="36"/>
      <c r="BH1074" s="36"/>
      <c r="BI1074" s="36"/>
      <c r="BJ1074" s="36"/>
      <c r="BK1074" s="36"/>
      <c r="BL1074" s="36"/>
      <c r="BM1074" s="36"/>
      <c r="BN1074" s="36"/>
      <c r="BO1074" s="36"/>
      <c r="BP1074" s="36"/>
      <c r="BQ1074" s="36"/>
    </row>
    <row r="1075">
      <c r="A1075" s="45"/>
      <c r="B1075" s="45"/>
      <c r="C1075" s="45"/>
      <c r="D1075" s="45"/>
      <c r="E1075" s="45"/>
      <c r="F1075" s="45"/>
      <c r="G1075" s="45"/>
      <c r="H1075" s="45"/>
      <c r="I1075" s="45"/>
      <c r="J1075" s="45"/>
      <c r="K1075" s="45"/>
      <c r="L1075" s="45"/>
      <c r="M1075" s="45"/>
      <c r="N1075" s="45"/>
      <c r="O1075" s="45"/>
      <c r="P1075" s="45"/>
      <c r="Q1075" s="45"/>
      <c r="R1075" s="51"/>
      <c r="S1075" s="51"/>
      <c r="T1075" s="51"/>
      <c r="U1075" s="51"/>
      <c r="V1075" s="51"/>
      <c r="W1075" s="51"/>
      <c r="X1075" s="51"/>
      <c r="Y1075" s="45"/>
      <c r="Z1075" s="45"/>
      <c r="AA1075" s="45"/>
      <c r="AB1075" s="45"/>
      <c r="AC1075" s="45"/>
      <c r="AD1075" s="45"/>
      <c r="AE1075" s="45"/>
      <c r="AF1075" s="45"/>
      <c r="AG1075" s="45"/>
      <c r="AH1075" s="45"/>
      <c r="AI1075" s="45"/>
      <c r="AJ1075" s="45"/>
      <c r="AK1075" s="45"/>
      <c r="AL1075" s="45"/>
      <c r="AM1075" s="45"/>
      <c r="AN1075" s="45"/>
      <c r="AO1075" s="45"/>
      <c r="AP1075" s="45"/>
      <c r="AQ1075" s="36"/>
      <c r="AR1075" s="36"/>
      <c r="AS1075" s="36"/>
      <c r="AT1075" s="36"/>
      <c r="AU1075" s="36"/>
      <c r="AV1075" s="36"/>
      <c r="AW1075" s="36"/>
      <c r="AX1075" s="36"/>
      <c r="AY1075" s="36"/>
      <c r="AZ1075" s="36"/>
      <c r="BA1075" s="36"/>
      <c r="BB1075" s="36"/>
      <c r="BC1075" s="36"/>
      <c r="BD1075" s="36"/>
      <c r="BE1075" s="36"/>
      <c r="BF1075" s="36"/>
      <c r="BG1075" s="36"/>
      <c r="BH1075" s="36"/>
      <c r="BI1075" s="36"/>
      <c r="BJ1075" s="36"/>
      <c r="BK1075" s="36"/>
      <c r="BL1075" s="36"/>
      <c r="BM1075" s="36"/>
      <c r="BN1075" s="36"/>
      <c r="BO1075" s="36"/>
      <c r="BP1075" s="36"/>
      <c r="BQ1075" s="36"/>
    </row>
    <row r="1076">
      <c r="A1076" s="45"/>
      <c r="B1076" s="45"/>
      <c r="C1076" s="45"/>
      <c r="D1076" s="45"/>
      <c r="E1076" s="45"/>
      <c r="F1076" s="45"/>
      <c r="G1076" s="45"/>
      <c r="H1076" s="45"/>
      <c r="I1076" s="45"/>
      <c r="J1076" s="45"/>
      <c r="K1076" s="45"/>
      <c r="L1076" s="45"/>
      <c r="M1076" s="45"/>
      <c r="N1076" s="45"/>
      <c r="O1076" s="45"/>
      <c r="P1076" s="45"/>
      <c r="Q1076" s="45"/>
      <c r="R1076" s="51"/>
      <c r="S1076" s="51"/>
      <c r="T1076" s="51"/>
      <c r="U1076" s="51"/>
      <c r="V1076" s="51"/>
      <c r="W1076" s="51"/>
      <c r="X1076" s="51"/>
      <c r="Y1076" s="45"/>
      <c r="Z1076" s="45"/>
      <c r="AA1076" s="45"/>
      <c r="AB1076" s="45"/>
      <c r="AC1076" s="45"/>
      <c r="AD1076" s="45"/>
      <c r="AE1076" s="45"/>
      <c r="AF1076" s="45"/>
      <c r="AG1076" s="45"/>
      <c r="AH1076" s="45"/>
      <c r="AI1076" s="45"/>
      <c r="AJ1076" s="45"/>
      <c r="AK1076" s="45"/>
      <c r="AL1076" s="45"/>
      <c r="AM1076" s="45"/>
      <c r="AN1076" s="45"/>
      <c r="AO1076" s="45"/>
      <c r="AP1076" s="45"/>
      <c r="AQ1076" s="36"/>
      <c r="AR1076" s="36"/>
      <c r="AS1076" s="36"/>
      <c r="AT1076" s="36"/>
      <c r="AU1076" s="36"/>
      <c r="AV1076" s="36"/>
      <c r="AW1076" s="36"/>
      <c r="AX1076" s="36"/>
      <c r="AY1076" s="36"/>
      <c r="AZ1076" s="36"/>
      <c r="BA1076" s="36"/>
      <c r="BB1076" s="36"/>
      <c r="BC1076" s="36"/>
      <c r="BD1076" s="36"/>
      <c r="BE1076" s="36"/>
      <c r="BF1076" s="36"/>
      <c r="BG1076" s="36"/>
      <c r="BH1076" s="36"/>
      <c r="BI1076" s="36"/>
      <c r="BJ1076" s="36"/>
      <c r="BK1076" s="36"/>
      <c r="BL1076" s="36"/>
      <c r="BM1076" s="36"/>
      <c r="BN1076" s="36"/>
      <c r="BO1076" s="36"/>
      <c r="BP1076" s="36"/>
      <c r="BQ1076" s="36"/>
    </row>
    <row r="1077">
      <c r="A1077" s="45"/>
      <c r="B1077" s="45"/>
      <c r="C1077" s="45"/>
      <c r="D1077" s="45"/>
      <c r="E1077" s="45"/>
      <c r="F1077" s="45"/>
      <c r="G1077" s="45"/>
      <c r="H1077" s="45"/>
      <c r="I1077" s="45"/>
      <c r="J1077" s="45"/>
      <c r="K1077" s="45"/>
      <c r="L1077" s="45"/>
      <c r="M1077" s="45"/>
      <c r="N1077" s="45"/>
      <c r="O1077" s="45"/>
      <c r="P1077" s="45"/>
      <c r="Q1077" s="45"/>
      <c r="R1077" s="51"/>
      <c r="S1077" s="51"/>
      <c r="T1077" s="51"/>
      <c r="U1077" s="51"/>
      <c r="V1077" s="51"/>
      <c r="W1077" s="51"/>
      <c r="X1077" s="51"/>
      <c r="Y1077" s="45"/>
      <c r="Z1077" s="45"/>
      <c r="AA1077" s="45"/>
      <c r="AB1077" s="45"/>
      <c r="AC1077" s="45"/>
      <c r="AD1077" s="45"/>
      <c r="AE1077" s="45"/>
      <c r="AF1077" s="45"/>
      <c r="AG1077" s="45"/>
      <c r="AH1077" s="45"/>
      <c r="AI1077" s="45"/>
      <c r="AJ1077" s="45"/>
      <c r="AK1077" s="45"/>
      <c r="AL1077" s="45"/>
      <c r="AM1077" s="45"/>
      <c r="AN1077" s="45"/>
      <c r="AO1077" s="45"/>
      <c r="AP1077" s="45"/>
      <c r="AQ1077" s="36"/>
      <c r="AR1077" s="36"/>
      <c r="AS1077" s="36"/>
      <c r="AT1077" s="36"/>
      <c r="AU1077" s="36"/>
      <c r="AV1077" s="36"/>
      <c r="AW1077" s="36"/>
      <c r="AX1077" s="36"/>
      <c r="AY1077" s="36"/>
      <c r="AZ1077" s="36"/>
      <c r="BA1077" s="36"/>
      <c r="BB1077" s="36"/>
      <c r="BC1077" s="36"/>
      <c r="BD1077" s="36"/>
      <c r="BE1077" s="36"/>
      <c r="BF1077" s="36"/>
      <c r="BG1077" s="36"/>
      <c r="BH1077" s="36"/>
      <c r="BI1077" s="36"/>
      <c r="BJ1077" s="36"/>
      <c r="BK1077" s="36"/>
      <c r="BL1077" s="36"/>
      <c r="BM1077" s="36"/>
      <c r="BN1077" s="36"/>
      <c r="BO1077" s="36"/>
      <c r="BP1077" s="36"/>
      <c r="BQ1077" s="36"/>
    </row>
    <row r="1078">
      <c r="A1078" s="45"/>
      <c r="B1078" s="45"/>
      <c r="C1078" s="45"/>
      <c r="D1078" s="45"/>
      <c r="E1078" s="45"/>
      <c r="F1078" s="45"/>
      <c r="G1078" s="45"/>
      <c r="H1078" s="45"/>
      <c r="I1078" s="45"/>
      <c r="J1078" s="45"/>
      <c r="K1078" s="45"/>
      <c r="L1078" s="45"/>
      <c r="M1078" s="45"/>
      <c r="N1078" s="45"/>
      <c r="O1078" s="45"/>
      <c r="P1078" s="45"/>
      <c r="Q1078" s="45"/>
      <c r="R1078" s="51"/>
      <c r="S1078" s="51"/>
      <c r="T1078" s="51"/>
      <c r="U1078" s="51"/>
      <c r="V1078" s="51"/>
      <c r="W1078" s="51"/>
      <c r="X1078" s="51"/>
      <c r="Y1078" s="45"/>
      <c r="Z1078" s="45"/>
      <c r="AA1078" s="45"/>
      <c r="AB1078" s="45"/>
      <c r="AC1078" s="45"/>
      <c r="AD1078" s="45"/>
      <c r="AE1078" s="45"/>
      <c r="AF1078" s="45"/>
      <c r="AG1078" s="45"/>
      <c r="AH1078" s="45"/>
      <c r="AI1078" s="45"/>
      <c r="AJ1078" s="45"/>
      <c r="AK1078" s="45"/>
      <c r="AL1078" s="45"/>
      <c r="AM1078" s="45"/>
      <c r="AN1078" s="45"/>
      <c r="AO1078" s="45"/>
      <c r="AP1078" s="45"/>
      <c r="AQ1078" s="36"/>
      <c r="AR1078" s="36"/>
      <c r="AS1078" s="36"/>
      <c r="AT1078" s="36"/>
      <c r="AU1078" s="36"/>
      <c r="AV1078" s="36"/>
      <c r="AW1078" s="36"/>
      <c r="AX1078" s="36"/>
      <c r="AY1078" s="36"/>
      <c r="AZ1078" s="36"/>
      <c r="BA1078" s="36"/>
      <c r="BB1078" s="36"/>
      <c r="BC1078" s="36"/>
      <c r="BD1078" s="36"/>
      <c r="BE1078" s="36"/>
      <c r="BF1078" s="36"/>
      <c r="BG1078" s="36"/>
      <c r="BH1078" s="36"/>
      <c r="BI1078" s="36"/>
      <c r="BJ1078" s="36"/>
      <c r="BK1078" s="36"/>
      <c r="BL1078" s="36"/>
      <c r="BM1078" s="36"/>
      <c r="BN1078" s="36"/>
      <c r="BO1078" s="36"/>
      <c r="BP1078" s="36"/>
      <c r="BQ1078" s="36"/>
    </row>
    <row r="1079">
      <c r="A1079" s="45"/>
      <c r="B1079" s="45"/>
      <c r="C1079" s="45"/>
      <c r="D1079" s="45"/>
      <c r="E1079" s="45"/>
      <c r="F1079" s="45"/>
      <c r="G1079" s="45"/>
      <c r="H1079" s="45"/>
      <c r="I1079" s="45"/>
      <c r="J1079" s="45"/>
      <c r="K1079" s="45"/>
      <c r="L1079" s="45"/>
      <c r="M1079" s="45"/>
      <c r="N1079" s="45"/>
      <c r="O1079" s="45"/>
      <c r="P1079" s="45"/>
      <c r="Q1079" s="45"/>
      <c r="R1079" s="51"/>
      <c r="S1079" s="51"/>
      <c r="T1079" s="51"/>
      <c r="U1079" s="51"/>
      <c r="V1079" s="51"/>
      <c r="W1079" s="51"/>
      <c r="X1079" s="51"/>
      <c r="Y1079" s="45"/>
      <c r="Z1079" s="45"/>
      <c r="AA1079" s="45"/>
      <c r="AB1079" s="45"/>
      <c r="AC1079" s="45"/>
      <c r="AD1079" s="45"/>
      <c r="AE1079" s="45"/>
      <c r="AF1079" s="45"/>
      <c r="AG1079" s="45"/>
      <c r="AH1079" s="45"/>
      <c r="AI1079" s="45"/>
      <c r="AJ1079" s="45"/>
      <c r="AK1079" s="45"/>
      <c r="AL1079" s="45"/>
      <c r="AM1079" s="45"/>
      <c r="AN1079" s="45"/>
      <c r="AO1079" s="45"/>
      <c r="AP1079" s="45"/>
      <c r="AQ1079" s="36"/>
      <c r="AR1079" s="36"/>
      <c r="AS1079" s="36"/>
      <c r="AT1079" s="36"/>
      <c r="AU1079" s="36"/>
      <c r="AV1079" s="36"/>
      <c r="AW1079" s="36"/>
      <c r="AX1079" s="36"/>
      <c r="AY1079" s="36"/>
      <c r="AZ1079" s="36"/>
      <c r="BA1079" s="36"/>
      <c r="BB1079" s="36"/>
      <c r="BC1079" s="36"/>
      <c r="BD1079" s="36"/>
      <c r="BE1079" s="36"/>
      <c r="BF1079" s="36"/>
      <c r="BG1079" s="36"/>
      <c r="BH1079" s="36"/>
      <c r="BI1079" s="36"/>
      <c r="BJ1079" s="36"/>
      <c r="BK1079" s="36"/>
      <c r="BL1079" s="36"/>
      <c r="BM1079" s="36"/>
      <c r="BN1079" s="36"/>
      <c r="BO1079" s="36"/>
      <c r="BP1079" s="36"/>
      <c r="BQ1079" s="36"/>
    </row>
    <row r="1080">
      <c r="A1080" s="45"/>
      <c r="B1080" s="45"/>
      <c r="C1080" s="45"/>
      <c r="D1080" s="45"/>
      <c r="E1080" s="45"/>
      <c r="F1080" s="45"/>
      <c r="G1080" s="45"/>
      <c r="H1080" s="45"/>
      <c r="I1080" s="45"/>
      <c r="J1080" s="45"/>
      <c r="K1080" s="45"/>
      <c r="L1080" s="45"/>
      <c r="M1080" s="45"/>
      <c r="N1080" s="45"/>
      <c r="O1080" s="45"/>
      <c r="P1080" s="45"/>
      <c r="Q1080" s="45"/>
      <c r="R1080" s="51"/>
      <c r="S1080" s="51"/>
      <c r="T1080" s="51"/>
      <c r="U1080" s="51"/>
      <c r="V1080" s="51"/>
      <c r="W1080" s="51"/>
      <c r="X1080" s="51"/>
      <c r="Y1080" s="45"/>
      <c r="Z1080" s="45"/>
      <c r="AA1080" s="45"/>
      <c r="AB1080" s="45"/>
      <c r="AC1080" s="45"/>
      <c r="AD1080" s="45"/>
      <c r="AE1080" s="45"/>
      <c r="AF1080" s="45"/>
      <c r="AG1080" s="45"/>
      <c r="AH1080" s="45"/>
      <c r="AI1080" s="45"/>
      <c r="AJ1080" s="45"/>
      <c r="AK1080" s="45"/>
      <c r="AL1080" s="45"/>
      <c r="AM1080" s="45"/>
      <c r="AN1080" s="45"/>
      <c r="AO1080" s="45"/>
      <c r="AP1080" s="45"/>
      <c r="AQ1080" s="36"/>
      <c r="AR1080" s="36"/>
      <c r="AS1080" s="36"/>
      <c r="AT1080" s="36"/>
      <c r="AU1080" s="36"/>
      <c r="AV1080" s="36"/>
      <c r="AW1080" s="36"/>
      <c r="AX1080" s="36"/>
      <c r="AY1080" s="36"/>
      <c r="AZ1080" s="36"/>
      <c r="BA1080" s="36"/>
      <c r="BB1080" s="36"/>
      <c r="BC1080" s="36"/>
      <c r="BD1080" s="36"/>
      <c r="BE1080" s="36"/>
      <c r="BF1080" s="36"/>
      <c r="BG1080" s="36"/>
      <c r="BH1080" s="36"/>
      <c r="BI1080" s="36"/>
      <c r="BJ1080" s="36"/>
      <c r="BK1080" s="36"/>
      <c r="BL1080" s="36"/>
      <c r="BM1080" s="36"/>
      <c r="BN1080" s="36"/>
      <c r="BO1080" s="36"/>
      <c r="BP1080" s="36"/>
      <c r="BQ1080" s="36"/>
    </row>
    <row r="1081">
      <c r="A1081" s="45"/>
      <c r="B1081" s="45"/>
      <c r="C1081" s="45"/>
      <c r="D1081" s="45"/>
      <c r="E1081" s="45"/>
      <c r="F1081" s="45"/>
      <c r="G1081" s="45"/>
      <c r="H1081" s="45"/>
      <c r="I1081" s="45"/>
      <c r="J1081" s="45"/>
      <c r="K1081" s="45"/>
      <c r="L1081" s="45"/>
      <c r="M1081" s="45"/>
      <c r="N1081" s="45"/>
      <c r="O1081" s="45"/>
      <c r="P1081" s="45"/>
      <c r="Q1081" s="45"/>
      <c r="R1081" s="51"/>
      <c r="S1081" s="51"/>
      <c r="T1081" s="51"/>
      <c r="U1081" s="51"/>
      <c r="V1081" s="51"/>
      <c r="W1081" s="51"/>
      <c r="X1081" s="51"/>
      <c r="Y1081" s="45"/>
      <c r="Z1081" s="45"/>
      <c r="AA1081" s="45"/>
      <c r="AB1081" s="45"/>
      <c r="AC1081" s="45"/>
      <c r="AD1081" s="45"/>
      <c r="AE1081" s="45"/>
      <c r="AF1081" s="45"/>
      <c r="AG1081" s="45"/>
      <c r="AH1081" s="45"/>
      <c r="AI1081" s="45"/>
      <c r="AJ1081" s="45"/>
      <c r="AK1081" s="45"/>
      <c r="AL1081" s="45"/>
      <c r="AM1081" s="45"/>
      <c r="AN1081" s="45"/>
      <c r="AO1081" s="45"/>
      <c r="AP1081" s="45"/>
      <c r="AQ1081" s="36"/>
      <c r="AR1081" s="36"/>
      <c r="AS1081" s="36"/>
      <c r="AT1081" s="36"/>
      <c r="AU1081" s="36"/>
      <c r="AV1081" s="36"/>
      <c r="AW1081" s="36"/>
      <c r="AX1081" s="36"/>
      <c r="AY1081" s="36"/>
      <c r="AZ1081" s="36"/>
      <c r="BA1081" s="36"/>
      <c r="BB1081" s="36"/>
      <c r="BC1081" s="36"/>
      <c r="BD1081" s="36"/>
      <c r="BE1081" s="36"/>
      <c r="BF1081" s="36"/>
      <c r="BG1081" s="36"/>
      <c r="BH1081" s="36"/>
      <c r="BI1081" s="36"/>
      <c r="BJ1081" s="36"/>
      <c r="BK1081" s="36"/>
      <c r="BL1081" s="36"/>
      <c r="BM1081" s="36"/>
      <c r="BN1081" s="36"/>
      <c r="BO1081" s="36"/>
      <c r="BP1081" s="36"/>
      <c r="BQ1081" s="36"/>
    </row>
    <row r="1082">
      <c r="A1082" s="45"/>
      <c r="B1082" s="45"/>
      <c r="C1082" s="45"/>
      <c r="D1082" s="45"/>
      <c r="E1082" s="45"/>
      <c r="F1082" s="45"/>
      <c r="G1082" s="45"/>
      <c r="H1082" s="45"/>
      <c r="I1082" s="45"/>
      <c r="J1082" s="45"/>
      <c r="K1082" s="45"/>
      <c r="L1082" s="45"/>
      <c r="M1082" s="45"/>
      <c r="N1082" s="45"/>
      <c r="O1082" s="45"/>
      <c r="P1082" s="45"/>
      <c r="Q1082" s="45"/>
      <c r="R1082" s="51"/>
      <c r="S1082" s="51"/>
      <c r="T1082" s="51"/>
      <c r="U1082" s="51"/>
      <c r="V1082" s="51"/>
      <c r="W1082" s="51"/>
      <c r="X1082" s="51"/>
      <c r="Y1082" s="45"/>
      <c r="Z1082" s="45"/>
      <c r="AA1082" s="45"/>
      <c r="AB1082" s="45"/>
      <c r="AC1082" s="45"/>
      <c r="AD1082" s="45"/>
      <c r="AE1082" s="45"/>
      <c r="AF1082" s="45"/>
      <c r="AG1082" s="45"/>
      <c r="AH1082" s="45"/>
      <c r="AI1082" s="45"/>
      <c r="AJ1082" s="45"/>
      <c r="AK1082" s="45"/>
      <c r="AL1082" s="45"/>
      <c r="AM1082" s="45"/>
      <c r="AN1082" s="45"/>
      <c r="AO1082" s="45"/>
      <c r="AP1082" s="45"/>
      <c r="AQ1082" s="36"/>
      <c r="AR1082" s="36"/>
      <c r="AS1082" s="36"/>
      <c r="AT1082" s="36"/>
      <c r="AU1082" s="36"/>
      <c r="AV1082" s="36"/>
      <c r="AW1082" s="36"/>
      <c r="AX1082" s="36"/>
      <c r="AY1082" s="36"/>
      <c r="AZ1082" s="36"/>
      <c r="BA1082" s="36"/>
      <c r="BB1082" s="36"/>
      <c r="BC1082" s="36"/>
      <c r="BD1082" s="36"/>
      <c r="BE1082" s="36"/>
      <c r="BF1082" s="36"/>
      <c r="BG1082" s="36"/>
      <c r="BH1082" s="36"/>
      <c r="BI1082" s="36"/>
      <c r="BJ1082" s="36"/>
      <c r="BK1082" s="36"/>
      <c r="BL1082" s="36"/>
      <c r="BM1082" s="36"/>
      <c r="BN1082" s="36"/>
      <c r="BO1082" s="36"/>
      <c r="BP1082" s="36"/>
      <c r="BQ1082" s="36"/>
    </row>
    <row r="1083">
      <c r="A1083" s="45"/>
      <c r="B1083" s="45"/>
      <c r="C1083" s="45"/>
      <c r="D1083" s="45"/>
      <c r="E1083" s="45"/>
      <c r="F1083" s="45"/>
      <c r="G1083" s="45"/>
      <c r="H1083" s="45"/>
      <c r="I1083" s="45"/>
      <c r="J1083" s="45"/>
      <c r="K1083" s="45"/>
      <c r="L1083" s="45"/>
      <c r="M1083" s="45"/>
      <c r="N1083" s="45"/>
      <c r="O1083" s="45"/>
      <c r="P1083" s="45"/>
      <c r="Q1083" s="45"/>
      <c r="R1083" s="51"/>
      <c r="S1083" s="51"/>
      <c r="T1083" s="51"/>
      <c r="U1083" s="51"/>
      <c r="V1083" s="51"/>
      <c r="W1083" s="51"/>
      <c r="X1083" s="51"/>
      <c r="Y1083" s="45"/>
      <c r="Z1083" s="45"/>
      <c r="AA1083" s="45"/>
      <c r="AB1083" s="45"/>
      <c r="AC1083" s="45"/>
      <c r="AD1083" s="45"/>
      <c r="AE1083" s="45"/>
      <c r="AF1083" s="45"/>
      <c r="AG1083" s="45"/>
      <c r="AH1083" s="45"/>
      <c r="AI1083" s="45"/>
      <c r="AJ1083" s="45"/>
      <c r="AK1083" s="45"/>
      <c r="AL1083" s="45"/>
      <c r="AM1083" s="45"/>
      <c r="AN1083" s="45"/>
      <c r="AO1083" s="45"/>
      <c r="AP1083" s="45"/>
      <c r="AQ1083" s="36"/>
      <c r="AR1083" s="36"/>
      <c r="AS1083" s="36"/>
      <c r="AT1083" s="36"/>
      <c r="AU1083" s="36"/>
      <c r="AV1083" s="36"/>
      <c r="AW1083" s="36"/>
      <c r="AX1083" s="36"/>
      <c r="AY1083" s="36"/>
      <c r="AZ1083" s="36"/>
      <c r="BA1083" s="36"/>
      <c r="BB1083" s="36"/>
      <c r="BC1083" s="36"/>
      <c r="BD1083" s="36"/>
      <c r="BE1083" s="36"/>
      <c r="BF1083" s="36"/>
      <c r="BG1083" s="36"/>
      <c r="BH1083" s="36"/>
      <c r="BI1083" s="36"/>
      <c r="BJ1083" s="36"/>
      <c r="BK1083" s="36"/>
      <c r="BL1083" s="36"/>
      <c r="BM1083" s="36"/>
      <c r="BN1083" s="36"/>
      <c r="BO1083" s="36"/>
      <c r="BP1083" s="36"/>
      <c r="BQ1083" s="36"/>
    </row>
    <row r="1084">
      <c r="A1084" s="45"/>
      <c r="B1084" s="45"/>
      <c r="C1084" s="45"/>
      <c r="D1084" s="45"/>
      <c r="E1084" s="45"/>
      <c r="F1084" s="45"/>
      <c r="G1084" s="45"/>
      <c r="H1084" s="45"/>
      <c r="I1084" s="45"/>
      <c r="J1084" s="45"/>
      <c r="K1084" s="45"/>
      <c r="L1084" s="45"/>
      <c r="M1084" s="45"/>
      <c r="N1084" s="45"/>
      <c r="O1084" s="45"/>
      <c r="P1084" s="45"/>
      <c r="Q1084" s="45"/>
      <c r="R1084" s="51"/>
      <c r="S1084" s="51"/>
      <c r="T1084" s="51"/>
      <c r="U1084" s="51"/>
      <c r="V1084" s="51"/>
      <c r="W1084" s="51"/>
      <c r="X1084" s="51"/>
      <c r="Y1084" s="45"/>
      <c r="Z1084" s="45"/>
      <c r="AA1084" s="45"/>
      <c r="AB1084" s="45"/>
      <c r="AC1084" s="45"/>
      <c r="AD1084" s="45"/>
      <c r="AE1084" s="45"/>
      <c r="AF1084" s="45"/>
      <c r="AG1084" s="45"/>
      <c r="AH1084" s="45"/>
      <c r="AI1084" s="45"/>
      <c r="AJ1084" s="45"/>
      <c r="AK1084" s="45"/>
      <c r="AL1084" s="45"/>
      <c r="AM1084" s="45"/>
      <c r="AN1084" s="45"/>
      <c r="AO1084" s="45"/>
      <c r="AP1084" s="45"/>
      <c r="AQ1084" s="36"/>
      <c r="AR1084" s="36"/>
      <c r="AS1084" s="36"/>
      <c r="AT1084" s="36"/>
      <c r="AU1084" s="36"/>
      <c r="AV1084" s="36"/>
      <c r="AW1084" s="36"/>
      <c r="AX1084" s="36"/>
      <c r="AY1084" s="36"/>
      <c r="AZ1084" s="36"/>
      <c r="BA1084" s="36"/>
      <c r="BB1084" s="36"/>
      <c r="BC1084" s="36"/>
      <c r="BD1084" s="36"/>
      <c r="BE1084" s="36"/>
      <c r="BF1084" s="36"/>
      <c r="BG1084" s="36"/>
      <c r="BH1084" s="36"/>
      <c r="BI1084" s="36"/>
      <c r="BJ1084" s="36"/>
      <c r="BK1084" s="36"/>
      <c r="BL1084" s="36"/>
      <c r="BM1084" s="36"/>
      <c r="BN1084" s="36"/>
      <c r="BO1084" s="36"/>
      <c r="BP1084" s="36"/>
      <c r="BQ1084" s="36"/>
    </row>
    <row r="1085">
      <c r="A1085" s="45"/>
      <c r="B1085" s="45"/>
      <c r="C1085" s="45"/>
      <c r="D1085" s="45"/>
      <c r="E1085" s="45"/>
      <c r="F1085" s="45"/>
      <c r="G1085" s="45"/>
      <c r="H1085" s="45"/>
      <c r="I1085" s="45"/>
      <c r="J1085" s="45"/>
      <c r="K1085" s="45"/>
      <c r="L1085" s="45"/>
      <c r="M1085" s="45"/>
      <c r="N1085" s="45"/>
      <c r="O1085" s="45"/>
      <c r="P1085" s="45"/>
      <c r="Q1085" s="45"/>
      <c r="R1085" s="51"/>
      <c r="S1085" s="51"/>
      <c r="T1085" s="51"/>
      <c r="U1085" s="51"/>
      <c r="V1085" s="51"/>
      <c r="W1085" s="51"/>
      <c r="X1085" s="51"/>
      <c r="Y1085" s="45"/>
      <c r="Z1085" s="45"/>
      <c r="AA1085" s="45"/>
      <c r="AB1085" s="45"/>
      <c r="AC1085" s="45"/>
      <c r="AD1085" s="45"/>
      <c r="AE1085" s="45"/>
      <c r="AF1085" s="45"/>
      <c r="AG1085" s="45"/>
      <c r="AH1085" s="45"/>
      <c r="AI1085" s="45"/>
      <c r="AJ1085" s="45"/>
      <c r="AK1085" s="45"/>
      <c r="AL1085" s="45"/>
      <c r="AM1085" s="45"/>
      <c r="AN1085" s="45"/>
      <c r="AO1085" s="45"/>
      <c r="AP1085" s="45"/>
      <c r="AQ1085" s="36"/>
      <c r="AR1085" s="36"/>
      <c r="AS1085" s="36"/>
      <c r="AT1085" s="36"/>
      <c r="AU1085" s="36"/>
      <c r="AV1085" s="36"/>
      <c r="AW1085" s="36"/>
      <c r="AX1085" s="36"/>
      <c r="AY1085" s="36"/>
      <c r="AZ1085" s="36"/>
      <c r="BA1085" s="36"/>
      <c r="BB1085" s="36"/>
      <c r="BC1085" s="36"/>
      <c r="BD1085" s="36"/>
      <c r="BE1085" s="36"/>
      <c r="BF1085" s="36"/>
      <c r="BG1085" s="36"/>
      <c r="BH1085" s="36"/>
      <c r="BI1085" s="36"/>
      <c r="BJ1085" s="36"/>
      <c r="BK1085" s="36"/>
      <c r="BL1085" s="36"/>
      <c r="BM1085" s="36"/>
      <c r="BN1085" s="36"/>
      <c r="BO1085" s="36"/>
      <c r="BP1085" s="36"/>
      <c r="BQ1085" s="36"/>
    </row>
    <row r="1086">
      <c r="A1086" s="45"/>
      <c r="B1086" s="45"/>
      <c r="C1086" s="45"/>
      <c r="D1086" s="45"/>
      <c r="E1086" s="45"/>
      <c r="F1086" s="45"/>
      <c r="G1086" s="45"/>
      <c r="H1086" s="45"/>
      <c r="I1086" s="45"/>
      <c r="J1086" s="45"/>
      <c r="K1086" s="45"/>
      <c r="L1086" s="45"/>
      <c r="M1086" s="45"/>
      <c r="N1086" s="45"/>
      <c r="O1086" s="45"/>
      <c r="P1086" s="45"/>
      <c r="Q1086" s="45"/>
      <c r="R1086" s="51"/>
      <c r="S1086" s="51"/>
      <c r="T1086" s="51"/>
      <c r="U1086" s="51"/>
      <c r="V1086" s="51"/>
      <c r="W1086" s="51"/>
      <c r="X1086" s="51"/>
      <c r="Y1086" s="45"/>
      <c r="Z1086" s="45"/>
      <c r="AA1086" s="45"/>
      <c r="AB1086" s="45"/>
      <c r="AC1086" s="45"/>
      <c r="AD1086" s="45"/>
      <c r="AE1086" s="45"/>
      <c r="AF1086" s="45"/>
      <c r="AG1086" s="45"/>
      <c r="AH1086" s="45"/>
      <c r="AI1086" s="45"/>
      <c r="AJ1086" s="45"/>
      <c r="AK1086" s="45"/>
      <c r="AL1086" s="45"/>
      <c r="AM1086" s="45"/>
      <c r="AN1086" s="45"/>
      <c r="AO1086" s="45"/>
      <c r="AP1086" s="45"/>
      <c r="AQ1086" s="36"/>
      <c r="AR1086" s="36"/>
      <c r="AS1086" s="36"/>
      <c r="AT1086" s="36"/>
      <c r="AU1086" s="36"/>
      <c r="AV1086" s="36"/>
      <c r="AW1086" s="36"/>
      <c r="AX1086" s="36"/>
      <c r="AY1086" s="36"/>
      <c r="AZ1086" s="36"/>
      <c r="BA1086" s="36"/>
      <c r="BB1086" s="36"/>
      <c r="BC1086" s="36"/>
      <c r="BD1086" s="36"/>
      <c r="BE1086" s="36"/>
      <c r="BF1086" s="36"/>
      <c r="BG1086" s="36"/>
      <c r="BH1086" s="36"/>
      <c r="BI1086" s="36"/>
      <c r="BJ1086" s="36"/>
      <c r="BK1086" s="36"/>
      <c r="BL1086" s="36"/>
      <c r="BM1086" s="36"/>
      <c r="BN1086" s="36"/>
      <c r="BO1086" s="36"/>
      <c r="BP1086" s="36"/>
      <c r="BQ1086" s="36"/>
    </row>
    <row r="1087">
      <c r="A1087" s="45"/>
      <c r="B1087" s="45"/>
      <c r="C1087" s="45"/>
      <c r="D1087" s="45"/>
      <c r="E1087" s="45"/>
      <c r="F1087" s="45"/>
      <c r="G1087" s="45"/>
      <c r="H1087" s="45"/>
      <c r="I1087" s="45"/>
      <c r="J1087" s="45"/>
      <c r="K1087" s="45"/>
      <c r="L1087" s="45"/>
      <c r="M1087" s="45"/>
      <c r="N1087" s="45"/>
      <c r="O1087" s="45"/>
      <c r="P1087" s="45"/>
      <c r="Q1087" s="45"/>
      <c r="R1087" s="51"/>
      <c r="S1087" s="51"/>
      <c r="T1087" s="51"/>
      <c r="U1087" s="51"/>
      <c r="V1087" s="51"/>
      <c r="W1087" s="51"/>
      <c r="X1087" s="51"/>
      <c r="Y1087" s="45"/>
      <c r="Z1087" s="45"/>
      <c r="AA1087" s="45"/>
      <c r="AB1087" s="45"/>
      <c r="AC1087" s="45"/>
      <c r="AD1087" s="45"/>
      <c r="AE1087" s="45"/>
      <c r="AF1087" s="45"/>
      <c r="AG1087" s="45"/>
      <c r="AH1087" s="45"/>
      <c r="AI1087" s="45"/>
      <c r="AJ1087" s="45"/>
      <c r="AK1087" s="45"/>
      <c r="AL1087" s="45"/>
      <c r="AM1087" s="45"/>
      <c r="AN1087" s="45"/>
      <c r="AO1087" s="45"/>
      <c r="AP1087" s="45"/>
      <c r="AQ1087" s="36"/>
      <c r="AR1087" s="36"/>
      <c r="AS1087" s="36"/>
      <c r="AT1087" s="36"/>
      <c r="AU1087" s="36"/>
      <c r="AV1087" s="36"/>
      <c r="AW1087" s="36"/>
      <c r="AX1087" s="36"/>
      <c r="AY1087" s="36"/>
      <c r="AZ1087" s="36"/>
      <c r="BA1087" s="36"/>
      <c r="BB1087" s="36"/>
      <c r="BC1087" s="36"/>
      <c r="BD1087" s="36"/>
      <c r="BE1087" s="36"/>
      <c r="BF1087" s="36"/>
      <c r="BG1087" s="36"/>
      <c r="BH1087" s="36"/>
      <c r="BI1087" s="36"/>
      <c r="BJ1087" s="36"/>
      <c r="BK1087" s="36"/>
      <c r="BL1087" s="36"/>
      <c r="BM1087" s="36"/>
      <c r="BN1087" s="36"/>
      <c r="BO1087" s="36"/>
      <c r="BP1087" s="36"/>
      <c r="BQ1087" s="36"/>
    </row>
    <row r="1088">
      <c r="A1088" s="45"/>
      <c r="B1088" s="45"/>
      <c r="C1088" s="45"/>
      <c r="D1088" s="45"/>
      <c r="E1088" s="45"/>
      <c r="F1088" s="45"/>
      <c r="G1088" s="45"/>
      <c r="H1088" s="45"/>
      <c r="I1088" s="45"/>
      <c r="J1088" s="45"/>
      <c r="K1088" s="45"/>
      <c r="L1088" s="45"/>
      <c r="M1088" s="45"/>
      <c r="N1088" s="45"/>
      <c r="O1088" s="45"/>
      <c r="P1088" s="45"/>
      <c r="Q1088" s="45"/>
      <c r="R1088" s="51"/>
      <c r="S1088" s="51"/>
      <c r="T1088" s="51"/>
      <c r="U1088" s="51"/>
      <c r="V1088" s="51"/>
      <c r="W1088" s="51"/>
      <c r="X1088" s="51"/>
      <c r="Y1088" s="45"/>
      <c r="Z1088" s="45"/>
      <c r="AA1088" s="45"/>
      <c r="AB1088" s="45"/>
      <c r="AC1088" s="45"/>
      <c r="AD1088" s="45"/>
      <c r="AE1088" s="45"/>
      <c r="AF1088" s="45"/>
      <c r="AG1088" s="45"/>
      <c r="AH1088" s="45"/>
      <c r="AI1088" s="45"/>
      <c r="AJ1088" s="45"/>
      <c r="AK1088" s="45"/>
      <c r="AL1088" s="45"/>
      <c r="AM1088" s="45"/>
      <c r="AN1088" s="45"/>
      <c r="AO1088" s="45"/>
      <c r="AP1088" s="45"/>
      <c r="AQ1088" s="36"/>
      <c r="AR1088" s="36"/>
      <c r="AS1088" s="36"/>
      <c r="AT1088" s="36"/>
      <c r="AU1088" s="36"/>
      <c r="AV1088" s="36"/>
      <c r="AW1088" s="36"/>
      <c r="AX1088" s="36"/>
      <c r="AY1088" s="36"/>
      <c r="AZ1088" s="36"/>
      <c r="BA1088" s="36"/>
      <c r="BB1088" s="36"/>
      <c r="BC1088" s="36"/>
      <c r="BD1088" s="36"/>
      <c r="BE1088" s="36"/>
      <c r="BF1088" s="36"/>
      <c r="BG1088" s="36"/>
      <c r="BH1088" s="36"/>
      <c r="BI1088" s="36"/>
      <c r="BJ1088" s="36"/>
      <c r="BK1088" s="36"/>
      <c r="BL1088" s="36"/>
      <c r="BM1088" s="36"/>
      <c r="BN1088" s="36"/>
      <c r="BO1088" s="36"/>
      <c r="BP1088" s="36"/>
      <c r="BQ1088" s="36"/>
    </row>
  </sheetData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3.13"/>
    <col customWidth="1" min="3" max="3" width="13.0"/>
    <col customWidth="1" min="4" max="4" width="14.0"/>
    <col customWidth="1" min="5" max="5" width="18.88"/>
    <col customWidth="1" min="6" max="6" width="40.88"/>
    <col customWidth="1" min="17" max="17" width="6.13"/>
  </cols>
  <sheetData>
    <row r="1">
      <c r="A1" s="1" t="s">
        <v>0</v>
      </c>
      <c r="B1" s="1" t="s">
        <v>1</v>
      </c>
      <c r="C1" s="2" t="s">
        <v>4</v>
      </c>
      <c r="D1" s="2" t="s">
        <v>5</v>
      </c>
      <c r="E1" s="3" t="s">
        <v>6</v>
      </c>
      <c r="F1" s="1" t="s">
        <v>7</v>
      </c>
      <c r="G1" s="3" t="s">
        <v>8</v>
      </c>
      <c r="H1" s="4" t="s">
        <v>9</v>
      </c>
      <c r="I1" s="5" t="s">
        <v>10</v>
      </c>
      <c r="J1" s="6" t="s">
        <v>11</v>
      </c>
      <c r="K1" s="5" t="s">
        <v>12</v>
      </c>
      <c r="L1" s="6" t="s">
        <v>13</v>
      </c>
      <c r="M1" s="5" t="s">
        <v>14</v>
      </c>
      <c r="N1" s="5" t="s">
        <v>15</v>
      </c>
      <c r="O1" s="5" t="s">
        <v>207</v>
      </c>
      <c r="P1" s="7" t="s">
        <v>19</v>
      </c>
      <c r="Q1" s="7" t="s">
        <v>20</v>
      </c>
      <c r="R1" s="7" t="s">
        <v>21</v>
      </c>
      <c r="S1" s="7" t="s">
        <v>22</v>
      </c>
      <c r="T1" s="8" t="s">
        <v>23</v>
      </c>
      <c r="U1" s="9" t="s">
        <v>24</v>
      </c>
      <c r="V1" s="8" t="s">
        <v>25</v>
      </c>
      <c r="W1" s="8" t="s">
        <v>26</v>
      </c>
      <c r="X1" s="8" t="s">
        <v>27</v>
      </c>
      <c r="Y1" s="9" t="s">
        <v>28</v>
      </c>
      <c r="Z1" s="8" t="s">
        <v>29</v>
      </c>
      <c r="AA1" s="8" t="s">
        <v>30</v>
      </c>
      <c r="AB1" s="13" t="s">
        <v>38</v>
      </c>
      <c r="AC1" s="13" t="s">
        <v>39</v>
      </c>
      <c r="AD1" s="13" t="s">
        <v>40</v>
      </c>
      <c r="AE1" s="13" t="s">
        <v>41</v>
      </c>
      <c r="AF1" s="54" t="s">
        <v>42</v>
      </c>
      <c r="AG1" s="54" t="s">
        <v>43</v>
      </c>
      <c r="AH1" s="54" t="s">
        <v>44</v>
      </c>
      <c r="AI1" s="54" t="s">
        <v>45</v>
      </c>
      <c r="AJ1" s="55" t="s">
        <v>208</v>
      </c>
    </row>
    <row r="2">
      <c r="A2" s="15">
        <v>45852.0</v>
      </c>
      <c r="B2" s="15">
        <v>45859.0</v>
      </c>
      <c r="C2" s="27">
        <f>+0.51%</f>
        <v>0.0051</v>
      </c>
      <c r="D2" s="16">
        <v>0.0</v>
      </c>
      <c r="E2" s="16" t="s">
        <v>62</v>
      </c>
      <c r="F2" s="18" t="s">
        <v>63</v>
      </c>
      <c r="G2" s="16" t="s">
        <v>49</v>
      </c>
      <c r="H2" s="25">
        <v>2.0</v>
      </c>
      <c r="I2" s="19">
        <v>570.0</v>
      </c>
      <c r="J2" s="19">
        <v>1794.0</v>
      </c>
      <c r="K2" s="19">
        <v>749.0</v>
      </c>
      <c r="L2" s="20">
        <v>723.05</v>
      </c>
      <c r="M2" s="19">
        <v>26.85</v>
      </c>
      <c r="N2" s="20">
        <v>730.35</v>
      </c>
      <c r="O2" s="19">
        <v>28.13</v>
      </c>
      <c r="P2" s="21">
        <v>182.65</v>
      </c>
      <c r="Q2" s="21">
        <v>48.94</v>
      </c>
      <c r="R2" s="21">
        <v>42.35</v>
      </c>
      <c r="S2" s="21">
        <v>5.61</v>
      </c>
      <c r="T2" s="24">
        <v>2409.86</v>
      </c>
      <c r="U2" s="22">
        <v>36.81</v>
      </c>
      <c r="V2" s="24">
        <v>20.82</v>
      </c>
      <c r="W2" s="24">
        <v>26.88</v>
      </c>
      <c r="X2" s="24">
        <v>0.05</v>
      </c>
      <c r="Y2" s="24">
        <v>23.38</v>
      </c>
      <c r="Z2" s="24">
        <v>20.82</v>
      </c>
      <c r="AA2" s="24">
        <v>13.23</v>
      </c>
      <c r="AB2" s="25">
        <v>8.07</v>
      </c>
      <c r="AC2" s="25">
        <v>70.62</v>
      </c>
      <c r="AD2" s="25">
        <v>8.07</v>
      </c>
      <c r="AE2" s="25">
        <v>70.62</v>
      </c>
      <c r="AF2" s="23">
        <v>49.87</v>
      </c>
      <c r="AG2" s="23">
        <v>9.97</v>
      </c>
      <c r="AH2" s="23">
        <v>4.99</v>
      </c>
      <c r="AI2" s="23">
        <v>34.91</v>
      </c>
      <c r="AJ2" s="23">
        <v>29.92</v>
      </c>
    </row>
    <row r="3">
      <c r="A3" s="15">
        <v>45848.0</v>
      </c>
      <c r="B3" s="15">
        <v>45855.0</v>
      </c>
      <c r="C3" s="16" t="s">
        <v>64</v>
      </c>
      <c r="D3" s="16">
        <v>0.0</v>
      </c>
      <c r="E3" s="16" t="s">
        <v>55</v>
      </c>
      <c r="F3" s="18" t="s">
        <v>65</v>
      </c>
      <c r="G3" s="16" t="s">
        <v>49</v>
      </c>
      <c r="H3" s="25">
        <v>10.0</v>
      </c>
      <c r="I3" s="19">
        <v>407.0</v>
      </c>
      <c r="J3" s="19">
        <v>252.0</v>
      </c>
      <c r="K3" s="19">
        <v>432.0</v>
      </c>
      <c r="L3" s="20">
        <v>435.0</v>
      </c>
      <c r="M3" s="19">
        <v>6.88</v>
      </c>
      <c r="N3" s="20">
        <v>445.1</v>
      </c>
      <c r="O3" s="19">
        <v>9.36</v>
      </c>
      <c r="P3" s="21">
        <v>24.41</v>
      </c>
      <c r="Q3" s="21">
        <v>27.14</v>
      </c>
      <c r="R3" s="21">
        <v>14.06</v>
      </c>
      <c r="S3" s="21">
        <v>3.53</v>
      </c>
      <c r="T3" s="24">
        <v>107.51</v>
      </c>
      <c r="U3" s="22">
        <v>62.39</v>
      </c>
      <c r="V3" s="22">
        <v>-82.0</v>
      </c>
      <c r="W3" s="22">
        <v>6.97</v>
      </c>
      <c r="X3" s="22">
        <v>34.6</v>
      </c>
      <c r="Y3" s="22">
        <v>-4.6</v>
      </c>
      <c r="Z3" s="24">
        <v>-58.76</v>
      </c>
      <c r="AA3" s="24">
        <v>38.58</v>
      </c>
      <c r="AB3" s="25">
        <v>-6.12</v>
      </c>
      <c r="AC3" s="18">
        <v>0.0</v>
      </c>
      <c r="AD3" s="25">
        <v>-5.54</v>
      </c>
      <c r="AE3" s="18">
        <v>0.0</v>
      </c>
      <c r="AF3" s="23">
        <v>49.65</v>
      </c>
      <c r="AG3" s="23">
        <v>9.93</v>
      </c>
      <c r="AH3" s="23">
        <v>4.96</v>
      </c>
      <c r="AI3" s="23">
        <v>34.75</v>
      </c>
      <c r="AJ3" s="23">
        <v>29.79</v>
      </c>
    </row>
    <row r="4">
      <c r="A4" s="15">
        <v>45845.0</v>
      </c>
      <c r="B4" s="15">
        <v>45852.0</v>
      </c>
      <c r="C4" s="16" t="s">
        <v>67</v>
      </c>
      <c r="D4" s="16">
        <v>0.0</v>
      </c>
      <c r="E4" s="16" t="s">
        <v>55</v>
      </c>
      <c r="F4" s="18" t="s">
        <v>68</v>
      </c>
      <c r="G4" s="18" t="s">
        <v>69</v>
      </c>
      <c r="H4" s="25">
        <v>1.0</v>
      </c>
      <c r="I4" s="19">
        <v>1100.0</v>
      </c>
      <c r="J4" s="19">
        <v>251.0</v>
      </c>
      <c r="K4" s="19">
        <v>1125.0</v>
      </c>
      <c r="L4" s="20">
        <v>1125.0</v>
      </c>
      <c r="M4" s="19">
        <v>2.27</v>
      </c>
      <c r="N4" s="20">
        <v>1075.2</v>
      </c>
      <c r="O4" s="19">
        <v>-2.25</v>
      </c>
      <c r="P4" s="21">
        <v>7.7</v>
      </c>
      <c r="Q4" s="21">
        <v>1.58</v>
      </c>
      <c r="R4" s="21">
        <v>1.74</v>
      </c>
      <c r="S4" s="21">
        <v>0.69</v>
      </c>
      <c r="T4" s="24">
        <v>1048.45</v>
      </c>
      <c r="U4" s="22">
        <v>40.07</v>
      </c>
      <c r="V4" s="24">
        <v>35.47</v>
      </c>
      <c r="W4" s="24">
        <v>51.4</v>
      </c>
      <c r="X4" s="22">
        <v>0.32</v>
      </c>
      <c r="Y4" s="24">
        <v>21.54</v>
      </c>
      <c r="Z4" s="24">
        <v>34.64</v>
      </c>
      <c r="AA4" s="24">
        <v>18.2</v>
      </c>
      <c r="AB4" s="25">
        <v>22.63</v>
      </c>
      <c r="AC4" s="25">
        <v>48.6</v>
      </c>
      <c r="AD4" s="18">
        <v>0.0</v>
      </c>
      <c r="AE4" s="18">
        <v>0.0</v>
      </c>
      <c r="AF4" s="23">
        <v>71.2</v>
      </c>
      <c r="AG4" s="23">
        <v>14.24</v>
      </c>
      <c r="AH4" s="23">
        <v>7.12</v>
      </c>
      <c r="AI4" s="23">
        <v>49.84</v>
      </c>
      <c r="AJ4" s="23">
        <v>42.72</v>
      </c>
    </row>
    <row r="5">
      <c r="A5" s="15">
        <v>45840.0</v>
      </c>
      <c r="B5" s="15">
        <v>45847.0</v>
      </c>
      <c r="C5" s="27">
        <f>+0.01%</f>
        <v>0.0001</v>
      </c>
      <c r="D5" s="16">
        <v>1.0</v>
      </c>
      <c r="E5" s="16" t="s">
        <v>71</v>
      </c>
      <c r="F5" s="18" t="s">
        <v>72</v>
      </c>
      <c r="G5" s="16" t="s">
        <v>49</v>
      </c>
      <c r="H5" s="25">
        <v>2.0</v>
      </c>
      <c r="I5" s="19">
        <v>245.0</v>
      </c>
      <c r="J5" s="19">
        <v>41.53</v>
      </c>
      <c r="K5" s="19">
        <v>286.5</v>
      </c>
      <c r="L5" s="20">
        <v>281.05</v>
      </c>
      <c r="M5" s="19">
        <v>14.71</v>
      </c>
      <c r="N5" s="20">
        <v>307.63</v>
      </c>
      <c r="O5" s="19">
        <v>25.56</v>
      </c>
      <c r="P5" s="21">
        <v>134.35</v>
      </c>
      <c r="Q5" s="21">
        <v>88.4</v>
      </c>
      <c r="R5" s="21">
        <v>51.67</v>
      </c>
      <c r="S5" s="21">
        <v>10.24</v>
      </c>
      <c r="T5" s="24">
        <v>505.71</v>
      </c>
      <c r="U5" s="22">
        <v>25.05</v>
      </c>
      <c r="V5" s="24">
        <v>30.24</v>
      </c>
      <c r="W5" s="24">
        <v>40.03</v>
      </c>
      <c r="X5" s="22">
        <v>0.01</v>
      </c>
      <c r="Y5" s="24">
        <v>17.28</v>
      </c>
      <c r="Z5" s="24">
        <v>30.24</v>
      </c>
      <c r="AA5" s="24">
        <v>8.48</v>
      </c>
      <c r="AB5" s="25">
        <v>8.74</v>
      </c>
      <c r="AC5" s="25">
        <v>28.03</v>
      </c>
      <c r="AD5" s="25">
        <v>8.74</v>
      </c>
      <c r="AE5" s="25">
        <v>28.03</v>
      </c>
      <c r="AF5" s="23">
        <v>50.0</v>
      </c>
      <c r="AG5" s="23">
        <v>10.0</v>
      </c>
      <c r="AH5" s="23">
        <v>5.0</v>
      </c>
      <c r="AI5" s="23">
        <v>35.0</v>
      </c>
      <c r="AJ5" s="23">
        <v>30.0</v>
      </c>
    </row>
    <row r="6">
      <c r="A6" s="15">
        <v>45834.0</v>
      </c>
      <c r="B6" s="15">
        <v>45841.0</v>
      </c>
      <c r="C6" s="27">
        <f>+0.56%</f>
        <v>0.0056</v>
      </c>
      <c r="D6" s="16">
        <v>1.0</v>
      </c>
      <c r="E6" s="16" t="s">
        <v>73</v>
      </c>
      <c r="F6" s="18" t="s">
        <v>74</v>
      </c>
      <c r="G6" s="16" t="s">
        <v>49</v>
      </c>
      <c r="H6" s="25">
        <v>10.0</v>
      </c>
      <c r="I6" s="19">
        <v>111.0</v>
      </c>
      <c r="J6" s="19">
        <v>183.0</v>
      </c>
      <c r="K6" s="19">
        <v>129.0</v>
      </c>
      <c r="L6" s="20">
        <v>111.0</v>
      </c>
      <c r="M6" s="19">
        <v>0.0</v>
      </c>
      <c r="N6" s="20">
        <v>110.8</v>
      </c>
      <c r="O6" s="19">
        <v>-0.18</v>
      </c>
      <c r="P6" s="21">
        <v>33.26</v>
      </c>
      <c r="Q6" s="21">
        <v>51.41</v>
      </c>
      <c r="R6" s="21">
        <v>42.29</v>
      </c>
      <c r="S6" s="21">
        <v>14.62</v>
      </c>
      <c r="T6" s="24">
        <v>265.43</v>
      </c>
      <c r="U6" s="22">
        <v>10.09</v>
      </c>
      <c r="V6" s="24">
        <v>12.2</v>
      </c>
      <c r="W6" s="24">
        <v>11.93</v>
      </c>
      <c r="X6" s="24">
        <v>0.67</v>
      </c>
      <c r="Y6" s="24">
        <v>5.11</v>
      </c>
      <c r="Z6" s="24">
        <v>12.19</v>
      </c>
      <c r="AA6" s="24">
        <v>1.13</v>
      </c>
      <c r="AB6" s="25">
        <v>5.79</v>
      </c>
      <c r="AC6" s="25">
        <v>19.18</v>
      </c>
      <c r="AD6" s="25">
        <v>4.57</v>
      </c>
      <c r="AE6" s="25">
        <v>24.27</v>
      </c>
      <c r="AF6" s="23">
        <v>68.09</v>
      </c>
      <c r="AG6" s="23">
        <v>6.81</v>
      </c>
      <c r="AH6" s="23">
        <v>13.62</v>
      </c>
      <c r="AI6" s="23">
        <v>47.66</v>
      </c>
      <c r="AJ6" s="23">
        <v>40.85</v>
      </c>
    </row>
    <row r="7">
      <c r="A7" s="15">
        <v>45833.0</v>
      </c>
      <c r="B7" s="15">
        <v>45840.0</v>
      </c>
      <c r="C7" s="16" t="s">
        <v>75</v>
      </c>
      <c r="D7" s="16">
        <v>1.0</v>
      </c>
      <c r="E7" s="16" t="s">
        <v>209</v>
      </c>
      <c r="F7" s="18" t="s">
        <v>210</v>
      </c>
      <c r="G7" s="18" t="s">
        <v>77</v>
      </c>
      <c r="H7" s="18">
        <v>10.0</v>
      </c>
      <c r="I7" s="19">
        <v>740.0</v>
      </c>
      <c r="J7" s="19">
        <v>753.0</v>
      </c>
      <c r="K7" s="19">
        <v>815.0</v>
      </c>
      <c r="L7" s="20">
        <v>835.0</v>
      </c>
      <c r="M7" s="19">
        <v>12.84</v>
      </c>
      <c r="N7" s="20">
        <v>840.95</v>
      </c>
      <c r="O7" s="19">
        <v>13.64</v>
      </c>
      <c r="P7" s="21">
        <v>58.64</v>
      </c>
      <c r="Q7" s="21">
        <v>12.44</v>
      </c>
      <c r="R7" s="21">
        <v>6.79</v>
      </c>
      <c r="S7" s="21">
        <v>1.51</v>
      </c>
      <c r="T7" s="22">
        <v>14936.5</v>
      </c>
      <c r="U7" s="22">
        <v>58.0</v>
      </c>
      <c r="V7" s="22">
        <v>14.72</v>
      </c>
      <c r="W7" s="22">
        <v>9.79</v>
      </c>
      <c r="X7" s="22">
        <v>5.85</v>
      </c>
      <c r="Y7" s="22">
        <v>13.35</v>
      </c>
      <c r="Z7" s="22">
        <v>14.7</v>
      </c>
      <c r="AA7" s="22">
        <v>3.72</v>
      </c>
      <c r="AB7" s="18">
        <v>27.0</v>
      </c>
      <c r="AC7" s="18">
        <v>27.0</v>
      </c>
      <c r="AD7" s="18">
        <v>26.29</v>
      </c>
      <c r="AE7" s="18">
        <v>28.15</v>
      </c>
      <c r="AF7" s="23">
        <v>44.92</v>
      </c>
      <c r="AG7" s="23">
        <v>8.98</v>
      </c>
      <c r="AH7" s="23">
        <v>4.49</v>
      </c>
      <c r="AI7" s="23">
        <v>31.44</v>
      </c>
      <c r="AJ7" s="23">
        <v>26.95</v>
      </c>
    </row>
    <row r="8">
      <c r="A8" s="15">
        <v>45833.0</v>
      </c>
      <c r="B8" s="15">
        <v>45840.0</v>
      </c>
      <c r="C8" s="16" t="s">
        <v>75</v>
      </c>
      <c r="D8" s="16">
        <v>1.0</v>
      </c>
      <c r="E8" s="16" t="s">
        <v>78</v>
      </c>
      <c r="F8" s="18" t="s">
        <v>79</v>
      </c>
      <c r="G8" s="16" t="s">
        <v>49</v>
      </c>
      <c r="H8" s="18">
        <v>10.0</v>
      </c>
      <c r="I8" s="19">
        <v>82.0</v>
      </c>
      <c r="J8" s="19">
        <v>143.0</v>
      </c>
      <c r="K8" s="19">
        <v>96.0</v>
      </c>
      <c r="L8" s="20">
        <v>110.0</v>
      </c>
      <c r="M8" s="19">
        <v>34.15</v>
      </c>
      <c r="N8" s="20">
        <v>97.59</v>
      </c>
      <c r="O8" s="19">
        <v>19.01</v>
      </c>
      <c r="P8" s="21">
        <v>66.36</v>
      </c>
      <c r="Q8" s="21">
        <v>35.82</v>
      </c>
      <c r="R8" s="21">
        <v>30.01</v>
      </c>
      <c r="S8" s="21">
        <v>8.56</v>
      </c>
      <c r="T8" s="22">
        <v>478.46</v>
      </c>
      <c r="U8" s="22">
        <v>12.43</v>
      </c>
      <c r="V8" s="22">
        <v>25.42</v>
      </c>
      <c r="W8" s="22">
        <v>17.66</v>
      </c>
      <c r="X8" s="22">
        <v>0.8</v>
      </c>
      <c r="Y8" s="22">
        <v>6.41</v>
      </c>
      <c r="Z8" s="22">
        <v>25.42</v>
      </c>
      <c r="AA8" s="22">
        <v>4.51</v>
      </c>
      <c r="AB8" s="18">
        <v>23.97</v>
      </c>
      <c r="AC8" s="18">
        <v>23.97</v>
      </c>
      <c r="AD8" s="18">
        <v>1.84</v>
      </c>
      <c r="AE8" s="18">
        <v>44.54</v>
      </c>
      <c r="AF8" s="23">
        <v>49.76</v>
      </c>
      <c r="AG8" s="23">
        <v>9.95</v>
      </c>
      <c r="AH8" s="23">
        <v>4.98</v>
      </c>
      <c r="AI8" s="23">
        <v>34.83</v>
      </c>
      <c r="AJ8" s="23">
        <v>29.85</v>
      </c>
    </row>
    <row r="9">
      <c r="A9" s="15">
        <v>45832.0</v>
      </c>
      <c r="B9" s="15">
        <v>45839.0</v>
      </c>
      <c r="C9" s="27">
        <f t="shared" ref="C9:C11" si="1">+0.06%</f>
        <v>0.0006</v>
      </c>
      <c r="D9" s="16">
        <v>1.0</v>
      </c>
      <c r="E9" s="16" t="s">
        <v>78</v>
      </c>
      <c r="F9" s="18" t="s">
        <v>80</v>
      </c>
      <c r="G9" s="16" t="s">
        <v>49</v>
      </c>
      <c r="H9" s="18">
        <v>10.0</v>
      </c>
      <c r="I9" s="19">
        <v>71.0</v>
      </c>
      <c r="J9" s="19">
        <v>274.0</v>
      </c>
      <c r="K9" s="19">
        <v>98.0</v>
      </c>
      <c r="L9" s="20">
        <v>90.0</v>
      </c>
      <c r="M9" s="19">
        <v>26.76</v>
      </c>
      <c r="N9" s="20">
        <v>94.72</v>
      </c>
      <c r="O9" s="19">
        <v>33.41</v>
      </c>
      <c r="P9" s="21">
        <v>82.13</v>
      </c>
      <c r="Q9" s="21">
        <v>136.8</v>
      </c>
      <c r="R9" s="21">
        <v>150.25</v>
      </c>
      <c r="S9" s="21">
        <v>53.67</v>
      </c>
      <c r="T9" s="22">
        <v>99.83</v>
      </c>
      <c r="U9" s="22">
        <v>13.44</v>
      </c>
      <c r="V9" s="22">
        <v>21.95</v>
      </c>
      <c r="W9" s="22">
        <v>23.07</v>
      </c>
      <c r="X9" s="22">
        <v>1.6</v>
      </c>
      <c r="Y9" s="22">
        <v>4.59</v>
      </c>
      <c r="Z9" s="22">
        <v>19.8</v>
      </c>
      <c r="AA9" s="22">
        <v>3.92</v>
      </c>
      <c r="AB9" s="18">
        <v>19.83</v>
      </c>
      <c r="AC9" s="18">
        <v>19.83</v>
      </c>
      <c r="AD9" s="18">
        <v>3.97</v>
      </c>
      <c r="AE9" s="18">
        <v>17.88</v>
      </c>
      <c r="AF9" s="23">
        <v>71.43</v>
      </c>
      <c r="AG9" s="23">
        <v>14.29</v>
      </c>
      <c r="AH9" s="23">
        <v>7.14</v>
      </c>
      <c r="AI9" s="23">
        <v>50.0</v>
      </c>
      <c r="AJ9" s="23">
        <v>42.86</v>
      </c>
    </row>
    <row r="10">
      <c r="A10" s="15">
        <v>45832.0</v>
      </c>
      <c r="B10" s="15">
        <v>45839.0</v>
      </c>
      <c r="C10" s="27">
        <f t="shared" si="1"/>
        <v>0.0006</v>
      </c>
      <c r="D10" s="16">
        <v>1.0</v>
      </c>
      <c r="E10" s="16" t="s">
        <v>81</v>
      </c>
      <c r="F10" s="18" t="s">
        <v>82</v>
      </c>
      <c r="G10" s="16" t="s">
        <v>49</v>
      </c>
      <c r="H10" s="18">
        <v>2.0</v>
      </c>
      <c r="I10" s="19">
        <v>400.0</v>
      </c>
      <c r="J10" s="19">
        <v>573.0</v>
      </c>
      <c r="K10" s="19">
        <v>457.0</v>
      </c>
      <c r="L10" s="20">
        <v>486.0</v>
      </c>
      <c r="M10" s="19">
        <v>21.5</v>
      </c>
      <c r="N10" s="20">
        <v>541.2</v>
      </c>
      <c r="O10" s="19">
        <v>35.3</v>
      </c>
      <c r="P10" s="21">
        <v>64.23</v>
      </c>
      <c r="Q10" s="21">
        <v>17.0</v>
      </c>
      <c r="R10" s="21">
        <v>11.62</v>
      </c>
      <c r="S10" s="21">
        <v>2.14</v>
      </c>
      <c r="T10" s="22">
        <v>333.62</v>
      </c>
      <c r="U10" s="22">
        <v>35.12</v>
      </c>
      <c r="V10" s="22">
        <v>16.88</v>
      </c>
      <c r="W10" s="22">
        <v>13.71</v>
      </c>
      <c r="X10" s="22">
        <v>0.32</v>
      </c>
      <c r="Y10" s="22">
        <v>23.9</v>
      </c>
      <c r="Z10" s="22">
        <v>24.97</v>
      </c>
      <c r="AA10" s="22">
        <v>20.93</v>
      </c>
      <c r="AB10" s="18">
        <v>62.88</v>
      </c>
      <c r="AC10" s="18">
        <v>62.88</v>
      </c>
      <c r="AD10" s="18">
        <v>5.91</v>
      </c>
      <c r="AE10" s="18">
        <v>67.69</v>
      </c>
      <c r="AF10" s="23">
        <v>71.43</v>
      </c>
      <c r="AG10" s="23">
        <v>14.29</v>
      </c>
      <c r="AH10" s="23">
        <v>7.14</v>
      </c>
      <c r="AI10" s="23">
        <v>50.0</v>
      </c>
      <c r="AJ10" s="23">
        <v>42.86</v>
      </c>
    </row>
    <row r="11">
      <c r="A11" s="15">
        <v>45832.0</v>
      </c>
      <c r="B11" s="15">
        <v>45839.0</v>
      </c>
      <c r="C11" s="27">
        <f t="shared" si="1"/>
        <v>0.0006</v>
      </c>
      <c r="D11" s="16">
        <v>1.0</v>
      </c>
      <c r="E11" s="16" t="s">
        <v>83</v>
      </c>
      <c r="F11" s="18" t="s">
        <v>84</v>
      </c>
      <c r="G11" s="18" t="s">
        <v>69</v>
      </c>
      <c r="H11" s="18">
        <v>10.0</v>
      </c>
      <c r="I11" s="19">
        <v>414.0</v>
      </c>
      <c r="J11" s="19">
        <v>1.51</v>
      </c>
      <c r="K11" s="19">
        <v>415.5</v>
      </c>
      <c r="L11" s="20">
        <v>414.0</v>
      </c>
      <c r="M11" s="19">
        <v>0.0</v>
      </c>
      <c r="N11" s="20">
        <v>433.8</v>
      </c>
      <c r="O11" s="19">
        <v>4.78</v>
      </c>
      <c r="P11" s="21">
        <v>3.12</v>
      </c>
      <c r="Q11" s="21">
        <v>1.48</v>
      </c>
      <c r="R11" s="21">
        <v>0.8</v>
      </c>
      <c r="S11" s="21">
        <v>1.43</v>
      </c>
      <c r="T11" s="22">
        <v>1579.54</v>
      </c>
      <c r="U11" s="22">
        <v>-4.04</v>
      </c>
      <c r="V11" s="22">
        <v>9.74</v>
      </c>
      <c r="W11" s="22">
        <v>15.31</v>
      </c>
      <c r="X11" s="22">
        <v>0.64</v>
      </c>
      <c r="Y11" s="22">
        <v>2.5</v>
      </c>
      <c r="Z11" s="22">
        <v>-10.15</v>
      </c>
      <c r="AA11" s="22">
        <v>5.62</v>
      </c>
      <c r="AB11" s="18">
        <v>-59.52</v>
      </c>
      <c r="AC11" s="18">
        <v>-59.52</v>
      </c>
      <c r="AD11" s="18">
        <v>0.36</v>
      </c>
      <c r="AE11" s="18">
        <v>1160.05</v>
      </c>
      <c r="AF11" s="23">
        <v>133.66</v>
      </c>
      <c r="AG11" s="23">
        <v>17.82</v>
      </c>
      <c r="AH11" s="23">
        <v>8.91</v>
      </c>
      <c r="AI11" s="23">
        <v>17.82</v>
      </c>
      <c r="AJ11" s="23">
        <v>80.2</v>
      </c>
    </row>
    <row r="12">
      <c r="A12" s="15">
        <v>45826.0</v>
      </c>
      <c r="B12" s="15">
        <v>45833.0</v>
      </c>
      <c r="C12" s="27">
        <f>+0.66%</f>
        <v>0.0066</v>
      </c>
      <c r="D12" s="16">
        <v>1.0</v>
      </c>
      <c r="E12" s="16" t="s">
        <v>78</v>
      </c>
      <c r="F12" s="18" t="s">
        <v>85</v>
      </c>
      <c r="G12" s="16" t="s">
        <v>49</v>
      </c>
      <c r="H12" s="18">
        <v>2.0</v>
      </c>
      <c r="I12" s="19">
        <v>222.0</v>
      </c>
      <c r="J12" s="19">
        <v>1.0</v>
      </c>
      <c r="K12" s="19">
        <v>222.0</v>
      </c>
      <c r="L12" s="20">
        <v>205.0</v>
      </c>
      <c r="M12" s="19">
        <v>-7.66</v>
      </c>
      <c r="N12" s="20">
        <v>174.38</v>
      </c>
      <c r="O12" s="19">
        <v>-21.45</v>
      </c>
      <c r="P12" s="21">
        <v>1.5</v>
      </c>
      <c r="Q12" s="21">
        <v>2.98</v>
      </c>
      <c r="R12" s="21">
        <v>3.61</v>
      </c>
      <c r="S12" s="21">
        <v>5.9</v>
      </c>
      <c r="T12" s="22">
        <v>152.09</v>
      </c>
      <c r="U12" s="22">
        <v>6.52</v>
      </c>
      <c r="V12" s="22">
        <v>3.18</v>
      </c>
      <c r="W12" s="22">
        <v>18.8</v>
      </c>
      <c r="X12" s="22">
        <v>1.45</v>
      </c>
      <c r="Y12" s="22">
        <v>0.27</v>
      </c>
      <c r="Z12" s="22">
        <v>-13.14</v>
      </c>
      <c r="AA12" s="22">
        <v>8.61</v>
      </c>
      <c r="AB12" s="18">
        <v>-41.89</v>
      </c>
      <c r="AC12" s="18">
        <v>-41.89</v>
      </c>
      <c r="AD12" s="18" t="s">
        <v>86</v>
      </c>
      <c r="AE12" s="18" t="s">
        <v>87</v>
      </c>
      <c r="AF12" s="23">
        <v>136.36</v>
      </c>
      <c r="AG12" s="23">
        <v>18.18</v>
      </c>
      <c r="AH12" s="23">
        <v>9.09</v>
      </c>
      <c r="AI12" s="23">
        <v>18.18</v>
      </c>
      <c r="AJ12" s="23">
        <v>81.82</v>
      </c>
    </row>
    <row r="13">
      <c r="A13" s="15">
        <v>45821.0</v>
      </c>
      <c r="B13" s="15">
        <v>45828.0</v>
      </c>
      <c r="C13" s="16" t="s">
        <v>88</v>
      </c>
      <c r="D13" s="16">
        <v>-1.0</v>
      </c>
      <c r="E13" s="16" t="s">
        <v>78</v>
      </c>
      <c r="F13" s="18" t="s">
        <v>89</v>
      </c>
      <c r="G13" s="16" t="s">
        <v>49</v>
      </c>
      <c r="H13" s="18">
        <v>1.0</v>
      </c>
      <c r="I13" s="19">
        <v>614.0</v>
      </c>
      <c r="J13" s="19">
        <v>412.0</v>
      </c>
      <c r="K13" s="19">
        <v>655.0</v>
      </c>
      <c r="L13" s="20">
        <v>634.0</v>
      </c>
      <c r="M13" s="19">
        <v>3.26</v>
      </c>
      <c r="N13" s="20">
        <v>625.35</v>
      </c>
      <c r="O13" s="19">
        <v>1.85</v>
      </c>
      <c r="P13" s="21">
        <v>88.08</v>
      </c>
      <c r="Q13" s="21">
        <v>43.78</v>
      </c>
      <c r="R13" s="21">
        <v>22.53</v>
      </c>
      <c r="S13" s="21">
        <v>3.6</v>
      </c>
      <c r="T13" s="22">
        <v>378.8</v>
      </c>
      <c r="U13" s="22">
        <v>19.79</v>
      </c>
      <c r="V13" s="22">
        <v>75.61</v>
      </c>
      <c r="W13" s="22">
        <v>81.85</v>
      </c>
      <c r="X13" s="22">
        <v>0.42</v>
      </c>
      <c r="Y13" s="22">
        <v>12.83</v>
      </c>
      <c r="Z13" s="22">
        <v>88.73</v>
      </c>
      <c r="AA13" s="22">
        <v>38.14</v>
      </c>
      <c r="AB13" s="18">
        <v>62.54</v>
      </c>
      <c r="AC13" s="18">
        <v>62.54</v>
      </c>
      <c r="AD13" s="18">
        <v>25.35</v>
      </c>
      <c r="AE13" s="18">
        <v>24.22</v>
      </c>
      <c r="AF13" s="23">
        <v>50.0</v>
      </c>
      <c r="AG13" s="23">
        <v>10.0</v>
      </c>
      <c r="AH13" s="23">
        <v>5.0</v>
      </c>
      <c r="AI13" s="23">
        <v>35.0</v>
      </c>
      <c r="AJ13" s="23">
        <v>30.0</v>
      </c>
    </row>
    <row r="14">
      <c r="A14" s="15">
        <v>45805.0</v>
      </c>
      <c r="B14" s="15">
        <v>45812.0</v>
      </c>
      <c r="C14" s="27">
        <f>+0.13%</f>
        <v>0.0013</v>
      </c>
      <c r="D14" s="16">
        <v>-1.0</v>
      </c>
      <c r="E14" s="16" t="s">
        <v>78</v>
      </c>
      <c r="F14" s="18" t="s">
        <v>90</v>
      </c>
      <c r="G14" s="16" t="s">
        <v>49</v>
      </c>
      <c r="H14" s="18">
        <v>10.0</v>
      </c>
      <c r="I14" s="19">
        <v>140.0</v>
      </c>
      <c r="J14" s="19">
        <v>203.0</v>
      </c>
      <c r="K14" s="19">
        <v>160.0</v>
      </c>
      <c r="L14" s="20">
        <v>140.0</v>
      </c>
      <c r="M14" s="19">
        <v>0.0</v>
      </c>
      <c r="N14" s="20">
        <v>147.0</v>
      </c>
      <c r="O14" s="19">
        <v>5.0</v>
      </c>
      <c r="P14" s="21">
        <v>72.97</v>
      </c>
      <c r="Q14" s="21">
        <v>135.31</v>
      </c>
      <c r="R14" s="21">
        <v>94.54</v>
      </c>
      <c r="S14" s="21">
        <v>20.89</v>
      </c>
      <c r="T14" s="22">
        <v>143.55</v>
      </c>
      <c r="U14" s="22">
        <v>14.7</v>
      </c>
      <c r="V14" s="22">
        <v>28.77</v>
      </c>
      <c r="W14" s="22">
        <v>15.92</v>
      </c>
      <c r="X14" s="22">
        <v>1.4</v>
      </c>
      <c r="Y14" s="22">
        <v>4.58</v>
      </c>
      <c r="Z14" s="22">
        <v>28.77</v>
      </c>
      <c r="AA14" s="22">
        <v>8.76</v>
      </c>
      <c r="AB14" s="18">
        <v>33.81</v>
      </c>
      <c r="AC14" s="18">
        <v>33.81</v>
      </c>
      <c r="AD14" s="18">
        <v>5.54</v>
      </c>
      <c r="AE14" s="18">
        <v>25.25</v>
      </c>
      <c r="AF14" s="23">
        <v>50.0</v>
      </c>
      <c r="AG14" s="23">
        <v>10.0</v>
      </c>
      <c r="AH14" s="23">
        <v>5.0</v>
      </c>
      <c r="AI14" s="23">
        <v>35.0</v>
      </c>
      <c r="AJ14" s="23">
        <v>30.0</v>
      </c>
    </row>
    <row r="15">
      <c r="A15" s="15">
        <v>45804.0</v>
      </c>
      <c r="B15" s="15">
        <v>45811.0</v>
      </c>
      <c r="C15" s="16" t="s">
        <v>91</v>
      </c>
      <c r="D15" s="16">
        <v>0.0</v>
      </c>
      <c r="E15" s="16" t="s">
        <v>50</v>
      </c>
      <c r="F15" s="18" t="s">
        <v>92</v>
      </c>
      <c r="G15" s="16" t="s">
        <v>49</v>
      </c>
      <c r="H15" s="18">
        <v>10.0</v>
      </c>
      <c r="I15" s="19">
        <v>105.0</v>
      </c>
      <c r="J15" s="19">
        <v>123.0</v>
      </c>
      <c r="K15" s="19">
        <v>117.0</v>
      </c>
      <c r="L15" s="20">
        <v>120.0</v>
      </c>
      <c r="M15" s="19">
        <v>14.29</v>
      </c>
      <c r="N15" s="20">
        <v>126.25</v>
      </c>
      <c r="O15" s="19">
        <v>20.24</v>
      </c>
      <c r="P15" s="21">
        <v>102.67</v>
      </c>
      <c r="Q15" s="21">
        <v>249.8</v>
      </c>
      <c r="R15" s="21">
        <v>166.78</v>
      </c>
      <c r="S15" s="21">
        <v>39.48</v>
      </c>
      <c r="T15" s="22">
        <v>107.24</v>
      </c>
      <c r="U15" s="22">
        <v>14.2</v>
      </c>
      <c r="V15" s="22">
        <v>31.41</v>
      </c>
      <c r="W15" s="22">
        <v>32.41</v>
      </c>
      <c r="X15" s="22">
        <v>0.51</v>
      </c>
      <c r="Y15" s="22">
        <v>8.85</v>
      </c>
      <c r="Z15" s="22">
        <v>32.09</v>
      </c>
      <c r="AA15" s="22">
        <v>5.34</v>
      </c>
      <c r="AB15" s="18">
        <v>19.75</v>
      </c>
      <c r="AC15" s="18">
        <v>19.75</v>
      </c>
      <c r="AD15" s="18">
        <v>5.01</v>
      </c>
      <c r="AE15" s="18">
        <v>20.97</v>
      </c>
      <c r="AF15" s="23">
        <v>71.43</v>
      </c>
      <c r="AG15" s="23">
        <v>14.29</v>
      </c>
      <c r="AH15" s="23">
        <v>7.14</v>
      </c>
      <c r="AI15" s="23">
        <v>50.0</v>
      </c>
      <c r="AJ15" s="23">
        <v>42.86</v>
      </c>
    </row>
    <row r="16">
      <c r="A16" s="15">
        <v>45803.0</v>
      </c>
      <c r="B16" s="15">
        <v>45810.0</v>
      </c>
      <c r="C16" s="16" t="s">
        <v>93</v>
      </c>
      <c r="D16" s="16">
        <v>-1.0</v>
      </c>
      <c r="E16" s="16" t="s">
        <v>94</v>
      </c>
      <c r="F16" s="18" t="s">
        <v>95</v>
      </c>
      <c r="G16" s="16" t="s">
        <v>49</v>
      </c>
      <c r="H16" s="18">
        <v>10.0</v>
      </c>
      <c r="I16" s="19">
        <v>235.0</v>
      </c>
      <c r="J16" s="19">
        <v>-11.0</v>
      </c>
      <c r="K16" s="19">
        <v>234.0</v>
      </c>
      <c r="L16" s="20">
        <v>220.0</v>
      </c>
      <c r="M16" s="19">
        <v>-6.38</v>
      </c>
      <c r="N16" s="20">
        <v>242.0</v>
      </c>
      <c r="O16" s="19">
        <v>2.98</v>
      </c>
      <c r="P16" s="21">
        <v>3.47</v>
      </c>
      <c r="Q16" s="21">
        <v>0.6</v>
      </c>
      <c r="R16" s="21">
        <v>0.56</v>
      </c>
      <c r="S16" s="21">
        <v>0.81</v>
      </c>
      <c r="T16" s="22">
        <v>2037.61</v>
      </c>
      <c r="U16" s="22">
        <v>71.0</v>
      </c>
      <c r="V16" s="22">
        <v>8.68</v>
      </c>
      <c r="W16" s="22">
        <v>8.39</v>
      </c>
      <c r="X16" s="22">
        <v>2.59</v>
      </c>
      <c r="Y16" s="22">
        <v>15.18</v>
      </c>
      <c r="Z16" s="22">
        <v>7.51</v>
      </c>
      <c r="AA16" s="22">
        <v>17.71</v>
      </c>
      <c r="AB16" s="18">
        <v>268.51</v>
      </c>
      <c r="AC16" s="18">
        <v>268.51</v>
      </c>
      <c r="AD16" s="18">
        <v>1.03</v>
      </c>
      <c r="AE16" s="18">
        <v>227.36</v>
      </c>
      <c r="AF16" s="23">
        <v>136.36</v>
      </c>
      <c r="AG16" s="23">
        <v>18.18</v>
      </c>
      <c r="AH16" s="23">
        <v>9.09</v>
      </c>
      <c r="AI16" s="23">
        <v>18.18</v>
      </c>
      <c r="AJ16" s="23">
        <v>81.82</v>
      </c>
    </row>
    <row r="17">
      <c r="A17" s="15">
        <v>45803.0</v>
      </c>
      <c r="B17" s="15">
        <v>45810.0</v>
      </c>
      <c r="C17" s="16" t="s">
        <v>93</v>
      </c>
      <c r="D17" s="16">
        <v>-1.0</v>
      </c>
      <c r="E17" s="16" t="s">
        <v>55</v>
      </c>
      <c r="F17" s="18" t="s">
        <v>96</v>
      </c>
      <c r="G17" s="16" t="s">
        <v>49</v>
      </c>
      <c r="H17" s="18">
        <v>10.0</v>
      </c>
      <c r="I17" s="19">
        <v>435.0</v>
      </c>
      <c r="J17" s="19">
        <v>21.0</v>
      </c>
      <c r="K17" s="19">
        <v>437.0</v>
      </c>
      <c r="L17" s="20">
        <v>406.0</v>
      </c>
      <c r="M17" s="19">
        <v>-6.67</v>
      </c>
      <c r="N17" s="20">
        <v>435.55</v>
      </c>
      <c r="O17" s="19">
        <v>0.13</v>
      </c>
      <c r="P17" s="21">
        <v>7.82</v>
      </c>
      <c r="Q17" s="21">
        <v>1.21</v>
      </c>
      <c r="R17" s="21">
        <v>0.82</v>
      </c>
      <c r="S17" s="21">
        <v>0.87</v>
      </c>
      <c r="T17" s="22">
        <v>3604.99</v>
      </c>
      <c r="U17" s="22">
        <v>49.78</v>
      </c>
      <c r="V17" s="22">
        <v>1.3</v>
      </c>
      <c r="W17" s="22">
        <v>7.5</v>
      </c>
      <c r="X17" s="22">
        <v>1.1</v>
      </c>
      <c r="Y17" s="22">
        <v>3.7</v>
      </c>
      <c r="Z17" s="22">
        <v>1.32</v>
      </c>
      <c r="AA17" s="22">
        <v>2.92</v>
      </c>
      <c r="AB17" s="18">
        <v>160.63</v>
      </c>
      <c r="AC17" s="18">
        <v>160.63</v>
      </c>
      <c r="AD17" s="18">
        <v>2.04</v>
      </c>
      <c r="AE17" s="18">
        <v>213.09</v>
      </c>
      <c r="AF17" s="23">
        <v>136.36</v>
      </c>
      <c r="AG17" s="23">
        <v>18.18</v>
      </c>
      <c r="AH17" s="23">
        <v>9.09</v>
      </c>
      <c r="AI17" s="23">
        <v>18.18</v>
      </c>
      <c r="AJ17" s="23">
        <v>81.82</v>
      </c>
    </row>
    <row r="18">
      <c r="A18" s="15">
        <v>45798.0</v>
      </c>
      <c r="B18" s="15">
        <v>45805.0</v>
      </c>
      <c r="C18" s="16" t="s">
        <v>97</v>
      </c>
      <c r="D18" s="16">
        <v>0.0</v>
      </c>
      <c r="E18" s="16" t="s">
        <v>98</v>
      </c>
      <c r="F18" s="18" t="s">
        <v>99</v>
      </c>
      <c r="G18" s="16" t="s">
        <v>49</v>
      </c>
      <c r="H18" s="18">
        <v>5.0</v>
      </c>
      <c r="I18" s="19">
        <v>90.0</v>
      </c>
      <c r="J18" s="19">
        <v>214.0</v>
      </c>
      <c r="K18" s="19">
        <v>111.0</v>
      </c>
      <c r="L18" s="20">
        <v>100.0</v>
      </c>
      <c r="M18" s="19">
        <v>11.11</v>
      </c>
      <c r="N18" s="20">
        <v>97.41</v>
      </c>
      <c r="O18" s="19">
        <v>8.23</v>
      </c>
      <c r="P18" s="21">
        <v>112.63</v>
      </c>
      <c r="Q18" s="21">
        <v>48.0</v>
      </c>
      <c r="R18" s="21">
        <v>25.76</v>
      </c>
      <c r="S18" s="21">
        <v>4.52</v>
      </c>
      <c r="T18" s="22">
        <v>2331.92</v>
      </c>
      <c r="U18" s="29">
        <v>13.68</v>
      </c>
      <c r="V18" s="22">
        <v>14.08</v>
      </c>
      <c r="W18" s="22">
        <v>14.83</v>
      </c>
      <c r="X18" s="22">
        <v>0.97</v>
      </c>
      <c r="Y18" s="22">
        <v>4.36</v>
      </c>
      <c r="Z18" s="22">
        <v>13.33</v>
      </c>
      <c r="AA18" s="22">
        <v>2.5</v>
      </c>
      <c r="AB18" s="18">
        <v>16.61</v>
      </c>
      <c r="AC18" s="18">
        <v>16.61</v>
      </c>
      <c r="AD18" s="18">
        <v>3.68</v>
      </c>
      <c r="AE18" s="18">
        <v>24.47</v>
      </c>
      <c r="AF18" s="23">
        <v>71.43</v>
      </c>
      <c r="AG18" s="23">
        <v>14.29</v>
      </c>
      <c r="AH18" s="23">
        <v>7.14</v>
      </c>
      <c r="AI18" s="23">
        <v>50.0</v>
      </c>
      <c r="AJ18" s="23">
        <v>42.86</v>
      </c>
    </row>
    <row r="19">
      <c r="A19" s="15">
        <v>45797.0</v>
      </c>
      <c r="B19" s="15">
        <v>45804.0</v>
      </c>
      <c r="C19" s="16" t="s">
        <v>100</v>
      </c>
      <c r="D19" s="16">
        <v>-1.0</v>
      </c>
      <c r="E19" s="16" t="s">
        <v>47</v>
      </c>
      <c r="F19" s="18" t="s">
        <v>101</v>
      </c>
      <c r="G19" s="16" t="s">
        <v>49</v>
      </c>
      <c r="H19" s="18">
        <v>10.0</v>
      </c>
      <c r="I19" s="19">
        <v>216.0</v>
      </c>
      <c r="J19" s="19">
        <v>433.0</v>
      </c>
      <c r="K19" s="19">
        <v>259.0</v>
      </c>
      <c r="L19" s="20">
        <v>243.0</v>
      </c>
      <c r="M19" s="19">
        <v>12.5</v>
      </c>
      <c r="N19" s="20">
        <v>255.15</v>
      </c>
      <c r="O19" s="19">
        <v>18.13</v>
      </c>
      <c r="P19" s="21">
        <v>85.53</v>
      </c>
      <c r="Q19" s="21">
        <v>239.74</v>
      </c>
      <c r="R19" s="21">
        <v>232.75</v>
      </c>
      <c r="S19" s="21">
        <v>200.5</v>
      </c>
      <c r="T19" s="22">
        <v>76.55</v>
      </c>
      <c r="U19" s="29">
        <v>20.0</v>
      </c>
      <c r="V19" s="22">
        <v>49.45</v>
      </c>
      <c r="W19" s="22">
        <v>27.42</v>
      </c>
      <c r="X19" s="22">
        <v>1.48</v>
      </c>
      <c r="Y19" s="22">
        <v>11.85</v>
      </c>
      <c r="Z19" s="22">
        <v>49.77</v>
      </c>
      <c r="AA19" s="22">
        <v>9.09</v>
      </c>
      <c r="AB19" s="18">
        <v>18.26</v>
      </c>
      <c r="AC19" s="18">
        <v>18.26</v>
      </c>
      <c r="AD19" s="18">
        <v>14.66</v>
      </c>
      <c r="AE19" s="18">
        <v>14.73</v>
      </c>
      <c r="AF19" s="23">
        <v>136.36</v>
      </c>
      <c r="AG19" s="23">
        <v>18.18</v>
      </c>
      <c r="AH19" s="23">
        <v>9.09</v>
      </c>
      <c r="AI19" s="23">
        <v>18.18</v>
      </c>
      <c r="AJ19" s="23">
        <v>81.82</v>
      </c>
    </row>
    <row r="20">
      <c r="A20" s="15">
        <v>45775.0</v>
      </c>
      <c r="B20" s="15">
        <v>45783.0</v>
      </c>
      <c r="C20" s="16" t="s">
        <v>102</v>
      </c>
      <c r="D20" s="16">
        <v>-1.0</v>
      </c>
      <c r="E20" s="16" t="s">
        <v>98</v>
      </c>
      <c r="F20" s="18" t="s">
        <v>103</v>
      </c>
      <c r="G20" s="16" t="s">
        <v>69</v>
      </c>
      <c r="H20" s="18">
        <v>1.0</v>
      </c>
      <c r="I20" s="19">
        <v>321.0</v>
      </c>
      <c r="J20" s="19">
        <v>121.0</v>
      </c>
      <c r="K20" s="19">
        <v>333.0</v>
      </c>
      <c r="L20" s="20">
        <v>328.0</v>
      </c>
      <c r="M20" s="19">
        <v>2.18</v>
      </c>
      <c r="N20" s="20">
        <v>302.5</v>
      </c>
      <c r="O20" s="19">
        <v>-5.76</v>
      </c>
      <c r="P20" s="21">
        <v>1.76</v>
      </c>
      <c r="Q20" s="21">
        <v>0.74</v>
      </c>
      <c r="R20" s="21">
        <v>0.6</v>
      </c>
      <c r="S20" s="21">
        <v>1.89</v>
      </c>
      <c r="T20" s="22">
        <v>108.0</v>
      </c>
      <c r="U20" s="29">
        <v>-26.0</v>
      </c>
      <c r="V20" s="22">
        <v>-156.0</v>
      </c>
      <c r="W20" s="22">
        <v>-75.0</v>
      </c>
      <c r="X20" s="22">
        <v>1.3</v>
      </c>
      <c r="Y20" s="22">
        <v>-37.0</v>
      </c>
      <c r="Z20" s="22">
        <v>-194.0</v>
      </c>
      <c r="AA20" s="22">
        <v>4.01</v>
      </c>
      <c r="AB20" s="18">
        <v>-47.0</v>
      </c>
      <c r="AC20" s="18">
        <v>-8.8</v>
      </c>
      <c r="AD20" s="18">
        <v>-32.0</v>
      </c>
      <c r="AE20" s="18">
        <v>-15.52</v>
      </c>
      <c r="AF20" s="23">
        <v>74.92</v>
      </c>
      <c r="AG20" s="23">
        <v>9.99</v>
      </c>
      <c r="AH20" s="23">
        <v>4.99</v>
      </c>
      <c r="AI20" s="23">
        <v>9.99</v>
      </c>
      <c r="AJ20" s="23">
        <v>44.95</v>
      </c>
    </row>
    <row r="21">
      <c r="A21" s="15">
        <v>45702.0</v>
      </c>
      <c r="B21" s="15">
        <v>45712.0</v>
      </c>
      <c r="C21" s="16" t="s">
        <v>100</v>
      </c>
      <c r="D21" s="16">
        <v>-1.0</v>
      </c>
      <c r="E21" s="16" t="s">
        <v>78</v>
      </c>
      <c r="F21" s="18" t="s">
        <v>104</v>
      </c>
      <c r="G21" s="16" t="s">
        <v>49</v>
      </c>
      <c r="H21" s="18">
        <v>10.0</v>
      </c>
      <c r="I21" s="19">
        <v>425.0</v>
      </c>
      <c r="J21" s="19">
        <v>51.0</v>
      </c>
      <c r="K21" s="19">
        <v>430.0</v>
      </c>
      <c r="L21" s="20">
        <v>430.0</v>
      </c>
      <c r="M21" s="19">
        <v>1.18</v>
      </c>
      <c r="N21" s="20">
        <v>387.9</v>
      </c>
      <c r="O21" s="19">
        <v>-8.73</v>
      </c>
      <c r="P21" s="21">
        <v>1.03</v>
      </c>
      <c r="Q21" s="21">
        <v>1.78</v>
      </c>
      <c r="R21" s="21">
        <v>0.79</v>
      </c>
      <c r="S21" s="21">
        <v>1.82</v>
      </c>
      <c r="T21" s="22">
        <v>238.63</v>
      </c>
      <c r="U21" s="29">
        <v>35.5</v>
      </c>
      <c r="V21" s="22">
        <v>15.6</v>
      </c>
      <c r="W21" s="22">
        <v>19.2</v>
      </c>
      <c r="X21" s="22">
        <v>0.2</v>
      </c>
      <c r="Y21" s="22">
        <v>16.74</v>
      </c>
      <c r="Z21" s="22">
        <v>29.15</v>
      </c>
      <c r="AA21" s="22">
        <v>16.11</v>
      </c>
      <c r="AB21" s="18">
        <v>55.28</v>
      </c>
      <c r="AC21" s="18">
        <v>55.28</v>
      </c>
      <c r="AD21" s="18">
        <v>12.93</v>
      </c>
      <c r="AE21" s="18">
        <v>32.86</v>
      </c>
      <c r="AF21" s="23">
        <v>75.0</v>
      </c>
      <c r="AG21" s="23">
        <v>10.0</v>
      </c>
      <c r="AH21" s="23">
        <v>5.0</v>
      </c>
      <c r="AI21" s="23">
        <v>10.0</v>
      </c>
      <c r="AJ21" s="23">
        <v>45.0</v>
      </c>
    </row>
    <row r="22">
      <c r="A22" s="15">
        <v>45700.0</v>
      </c>
      <c r="B22" s="15">
        <v>45707.0</v>
      </c>
      <c r="C22" s="27">
        <f>+0.17%</f>
        <v>0.0017</v>
      </c>
      <c r="D22" s="16">
        <v>1.0</v>
      </c>
      <c r="E22" s="16" t="s">
        <v>50</v>
      </c>
      <c r="F22" s="18" t="s">
        <v>105</v>
      </c>
      <c r="G22" s="16" t="s">
        <v>77</v>
      </c>
      <c r="H22" s="18">
        <v>1.0</v>
      </c>
      <c r="I22" s="19">
        <v>708.0</v>
      </c>
      <c r="J22" s="19">
        <v>1.0</v>
      </c>
      <c r="K22" s="19">
        <v>708.0</v>
      </c>
      <c r="L22" s="20">
        <v>745.5</v>
      </c>
      <c r="M22" s="19">
        <v>5.3</v>
      </c>
      <c r="N22" s="20">
        <v>763.85</v>
      </c>
      <c r="O22" s="19">
        <v>7.89</v>
      </c>
      <c r="P22" s="21">
        <v>9.55</v>
      </c>
      <c r="Q22" s="21">
        <v>0.24</v>
      </c>
      <c r="R22" s="21">
        <v>0.16</v>
      </c>
      <c r="S22" s="21">
        <v>0.11</v>
      </c>
      <c r="T22" s="22">
        <v>42309.0</v>
      </c>
      <c r="U22" s="29">
        <v>15.3</v>
      </c>
      <c r="V22" s="22">
        <v>23.6</v>
      </c>
      <c r="W22" s="22">
        <v>24.4</v>
      </c>
      <c r="X22" s="22">
        <v>0.1</v>
      </c>
      <c r="Y22" s="22">
        <v>9.6</v>
      </c>
      <c r="Z22" s="22">
        <v>23.6</v>
      </c>
      <c r="AA22" s="22">
        <v>10.15</v>
      </c>
      <c r="AB22" s="18">
        <v>16.41</v>
      </c>
      <c r="AC22" s="18">
        <v>37.0</v>
      </c>
      <c r="AD22" s="18">
        <v>16.41</v>
      </c>
      <c r="AE22" s="18">
        <v>41.1</v>
      </c>
      <c r="AF22" s="23">
        <v>70.28</v>
      </c>
      <c r="AG22" s="23">
        <v>14.06</v>
      </c>
      <c r="AH22" s="23">
        <v>7.03</v>
      </c>
      <c r="AI22" s="23">
        <v>49.19</v>
      </c>
      <c r="AJ22" s="23">
        <v>42.17</v>
      </c>
    </row>
    <row r="23">
      <c r="A23" s="15">
        <v>45698.0</v>
      </c>
      <c r="B23" s="15">
        <v>45705.0</v>
      </c>
      <c r="C23" s="16" t="s">
        <v>106</v>
      </c>
      <c r="D23" s="16">
        <v>-1.0</v>
      </c>
      <c r="E23" s="16" t="s">
        <v>78</v>
      </c>
      <c r="F23" s="18" t="s">
        <v>107</v>
      </c>
      <c r="G23" s="18" t="s">
        <v>69</v>
      </c>
      <c r="H23" s="18">
        <v>1.0</v>
      </c>
      <c r="I23" s="19">
        <v>629.0</v>
      </c>
      <c r="J23" s="19">
        <v>-31.0</v>
      </c>
      <c r="K23" s="19">
        <v>626.0</v>
      </c>
      <c r="L23" s="20">
        <v>576.0</v>
      </c>
      <c r="M23" s="19">
        <v>-8.43</v>
      </c>
      <c r="N23" s="20">
        <v>595.6</v>
      </c>
      <c r="O23" s="19">
        <v>-5.31</v>
      </c>
      <c r="P23" s="21">
        <v>13.04</v>
      </c>
      <c r="Q23" s="21">
        <v>7.67</v>
      </c>
      <c r="R23" s="21">
        <v>3.58</v>
      </c>
      <c r="S23" s="21">
        <v>1.94</v>
      </c>
      <c r="T23" s="22">
        <v>995.84</v>
      </c>
      <c r="U23" s="29">
        <v>15.3</v>
      </c>
      <c r="V23" s="22">
        <v>24.53</v>
      </c>
      <c r="W23" s="22">
        <v>32.82</v>
      </c>
      <c r="X23" s="22">
        <v>0.01</v>
      </c>
      <c r="Y23" s="22">
        <v>12.65</v>
      </c>
      <c r="Z23" s="22">
        <v>19.39</v>
      </c>
      <c r="AA23" s="22">
        <v>7.84</v>
      </c>
      <c r="AB23" s="18">
        <v>31.96</v>
      </c>
      <c r="AC23" s="18">
        <v>31.96</v>
      </c>
      <c r="AD23" s="18">
        <v>17.66</v>
      </c>
      <c r="AE23" s="18">
        <v>35.62</v>
      </c>
      <c r="AF23" s="23">
        <v>71.03</v>
      </c>
      <c r="AG23" s="23">
        <v>14.21</v>
      </c>
      <c r="AH23" s="23">
        <v>7.1</v>
      </c>
      <c r="AI23" s="23">
        <v>49.72</v>
      </c>
      <c r="AJ23" s="23">
        <v>42.62</v>
      </c>
    </row>
    <row r="24">
      <c r="A24" s="15">
        <v>45686.0</v>
      </c>
      <c r="B24" s="15">
        <v>45692.0</v>
      </c>
      <c r="C24" s="27">
        <f>+0.64%</f>
        <v>0.0064</v>
      </c>
      <c r="D24" s="16">
        <v>1.0</v>
      </c>
      <c r="E24" s="16" t="s">
        <v>62</v>
      </c>
      <c r="F24" s="18" t="s">
        <v>108</v>
      </c>
      <c r="G24" s="18" t="s">
        <v>69</v>
      </c>
      <c r="H24" s="18">
        <v>1.0</v>
      </c>
      <c r="I24" s="19">
        <v>402.0</v>
      </c>
      <c r="J24" s="19">
        <v>-41.0</v>
      </c>
      <c r="K24" s="19">
        <v>398.0</v>
      </c>
      <c r="L24" s="20">
        <v>402.0</v>
      </c>
      <c r="M24" s="19">
        <v>0.0</v>
      </c>
      <c r="N24" s="20">
        <v>401.65</v>
      </c>
      <c r="O24" s="19">
        <v>-0.09</v>
      </c>
      <c r="P24" s="21">
        <v>4.41</v>
      </c>
      <c r="Q24" s="21">
        <v>0.29</v>
      </c>
      <c r="R24" s="21">
        <v>0.54</v>
      </c>
      <c r="S24" s="21">
        <v>0.42</v>
      </c>
      <c r="T24" s="22">
        <v>1502.67</v>
      </c>
      <c r="U24" s="29">
        <v>29.19</v>
      </c>
      <c r="V24" s="22">
        <v>9.33</v>
      </c>
      <c r="W24" s="22">
        <v>14.61</v>
      </c>
      <c r="X24" s="22">
        <v>0.5</v>
      </c>
      <c r="Y24" s="22">
        <v>6.9</v>
      </c>
      <c r="Z24" s="22">
        <v>6.21</v>
      </c>
      <c r="AA24" s="22">
        <v>7.96</v>
      </c>
      <c r="AB24" s="18">
        <v>130.44</v>
      </c>
      <c r="AC24" s="18">
        <v>130.44</v>
      </c>
      <c r="AD24" s="18">
        <v>2.51</v>
      </c>
      <c r="AE24" s="18">
        <v>160.48</v>
      </c>
      <c r="AF24" s="23">
        <v>48.2</v>
      </c>
      <c r="AG24" s="23">
        <v>9.64</v>
      </c>
      <c r="AH24" s="23">
        <v>4.82</v>
      </c>
      <c r="AI24" s="23">
        <v>33.74</v>
      </c>
      <c r="AJ24" s="23">
        <v>28.92</v>
      </c>
    </row>
    <row r="25">
      <c r="A25" s="15">
        <v>45679.0</v>
      </c>
      <c r="B25" s="15">
        <v>45686.0</v>
      </c>
      <c r="C25" s="27">
        <f>+0.49%</f>
        <v>0.0049</v>
      </c>
      <c r="D25" s="16">
        <v>0.0</v>
      </c>
      <c r="E25" s="16" t="s">
        <v>78</v>
      </c>
      <c r="F25" s="18" t="s">
        <v>109</v>
      </c>
      <c r="G25" s="16" t="s">
        <v>49</v>
      </c>
      <c r="H25" s="18">
        <v>10.0</v>
      </c>
      <c r="I25" s="19">
        <v>294.0</v>
      </c>
      <c r="J25" s="19">
        <v>734.0</v>
      </c>
      <c r="K25" s="19">
        <v>367.0</v>
      </c>
      <c r="L25" s="20">
        <v>325.0</v>
      </c>
      <c r="M25" s="19">
        <v>10.54</v>
      </c>
      <c r="N25" s="20">
        <v>346.45</v>
      </c>
      <c r="O25" s="19">
        <v>17.84</v>
      </c>
      <c r="P25" s="21">
        <v>236.94</v>
      </c>
      <c r="Q25" s="21">
        <v>556.49</v>
      </c>
      <c r="R25" s="21">
        <v>408.23</v>
      </c>
      <c r="S25" s="21">
        <v>90.38</v>
      </c>
      <c r="T25" s="22">
        <v>188.46</v>
      </c>
      <c r="U25" s="29">
        <v>33.17</v>
      </c>
      <c r="V25" s="22">
        <v>36.36</v>
      </c>
      <c r="W25" s="22">
        <v>76.99</v>
      </c>
      <c r="X25" s="22">
        <v>0.01</v>
      </c>
      <c r="Y25" s="22">
        <v>25.03</v>
      </c>
      <c r="Z25" s="22">
        <v>36.36</v>
      </c>
      <c r="AA25" s="22">
        <v>5.01</v>
      </c>
      <c r="AB25" s="18">
        <v>9.45</v>
      </c>
      <c r="AC25" s="18">
        <v>9.45</v>
      </c>
      <c r="AD25" s="18">
        <v>18.13</v>
      </c>
      <c r="AE25" s="18">
        <v>16.22</v>
      </c>
      <c r="AF25" s="23">
        <v>71.43</v>
      </c>
      <c r="AG25" s="23">
        <v>14.29</v>
      </c>
      <c r="AH25" s="23">
        <v>7.14</v>
      </c>
      <c r="AI25" s="23">
        <v>50.0</v>
      </c>
      <c r="AJ25" s="23">
        <v>42.86</v>
      </c>
    </row>
    <row r="26">
      <c r="A26" s="15">
        <v>45673.0</v>
      </c>
      <c r="B26" s="15">
        <v>45680.0</v>
      </c>
      <c r="C26" s="27">
        <f>+0.25%</f>
        <v>0.0025</v>
      </c>
      <c r="D26" s="16">
        <v>0.0</v>
      </c>
      <c r="E26" s="16" t="s">
        <v>81</v>
      </c>
      <c r="F26" s="18" t="s">
        <v>110</v>
      </c>
      <c r="G26" s="16" t="s">
        <v>49</v>
      </c>
      <c r="H26" s="18">
        <v>10.0</v>
      </c>
      <c r="I26" s="19">
        <v>90.0</v>
      </c>
      <c r="J26" s="19">
        <v>354.0</v>
      </c>
      <c r="K26" s="19">
        <v>125.0</v>
      </c>
      <c r="L26" s="20">
        <v>120.0</v>
      </c>
      <c r="M26" s="19">
        <v>33.33</v>
      </c>
      <c r="N26" s="20">
        <v>126.0</v>
      </c>
      <c r="O26" s="19">
        <v>40.0</v>
      </c>
      <c r="P26" s="21">
        <v>172.93</v>
      </c>
      <c r="Q26" s="21">
        <v>472.89</v>
      </c>
      <c r="R26" s="21">
        <v>321.29</v>
      </c>
      <c r="S26" s="21">
        <v>96.81</v>
      </c>
      <c r="T26" s="22">
        <v>134.53</v>
      </c>
      <c r="U26" s="29">
        <v>17.5</v>
      </c>
      <c r="V26" s="22">
        <v>12.54</v>
      </c>
      <c r="W26" s="22">
        <v>13.96</v>
      </c>
      <c r="X26" s="22">
        <v>0.55</v>
      </c>
      <c r="Y26" s="22">
        <v>6.26</v>
      </c>
      <c r="Z26" s="22">
        <v>12.54</v>
      </c>
      <c r="AA26" s="22">
        <v>4.69</v>
      </c>
      <c r="AB26" s="18">
        <v>37.41</v>
      </c>
      <c r="AC26" s="18">
        <v>37.41</v>
      </c>
      <c r="AD26" s="18">
        <v>4.18</v>
      </c>
      <c r="AE26" s="18">
        <v>21.55</v>
      </c>
      <c r="AF26" s="23">
        <v>71.43</v>
      </c>
      <c r="AG26" s="23">
        <v>14.29</v>
      </c>
      <c r="AH26" s="23">
        <v>7.14</v>
      </c>
      <c r="AI26" s="23">
        <v>50.0</v>
      </c>
      <c r="AJ26" s="23">
        <v>42.86</v>
      </c>
    </row>
    <row r="27">
      <c r="A27" s="15">
        <v>45670.0</v>
      </c>
      <c r="B27" s="15">
        <v>45677.0</v>
      </c>
      <c r="C27" s="27">
        <f>+0.11%</f>
        <v>0.0011</v>
      </c>
      <c r="D27" s="16">
        <v>0.0</v>
      </c>
      <c r="E27" s="16" t="s">
        <v>62</v>
      </c>
      <c r="F27" s="18" t="s">
        <v>111</v>
      </c>
      <c r="G27" s="16" t="s">
        <v>49</v>
      </c>
      <c r="H27" s="18">
        <v>2.0</v>
      </c>
      <c r="I27" s="19">
        <v>428.0</v>
      </c>
      <c r="J27" s="19">
        <v>1454.0</v>
      </c>
      <c r="K27" s="19">
        <v>573.0</v>
      </c>
      <c r="L27" s="20">
        <v>542.0</v>
      </c>
      <c r="M27" s="19">
        <v>26.64</v>
      </c>
      <c r="N27" s="20">
        <v>550.65</v>
      </c>
      <c r="O27" s="19">
        <v>28.66</v>
      </c>
      <c r="P27" s="21">
        <v>110.38</v>
      </c>
      <c r="Q27" s="21">
        <v>167.68</v>
      </c>
      <c r="R27" s="21">
        <v>107.7</v>
      </c>
      <c r="S27" s="21">
        <v>75.1</v>
      </c>
      <c r="T27" s="22">
        <v>67.09</v>
      </c>
      <c r="U27" s="29">
        <v>17.5</v>
      </c>
      <c r="V27" s="22">
        <v>78.78</v>
      </c>
      <c r="W27" s="22">
        <v>19.97</v>
      </c>
      <c r="X27" s="22">
        <v>0.94</v>
      </c>
      <c r="Y27" s="22">
        <v>13.03</v>
      </c>
      <c r="Z27" s="22">
        <v>78.78</v>
      </c>
      <c r="AA27" s="22">
        <v>49.59</v>
      </c>
      <c r="AB27" s="18">
        <v>87.77</v>
      </c>
      <c r="AC27" s="18">
        <v>87.77</v>
      </c>
      <c r="AD27" s="18">
        <v>8.27</v>
      </c>
      <c r="AE27" s="18">
        <v>51.73</v>
      </c>
      <c r="AF27" s="23">
        <v>54.55</v>
      </c>
      <c r="AG27" s="23">
        <v>18.18</v>
      </c>
      <c r="AH27" s="23">
        <v>9.09</v>
      </c>
      <c r="AI27" s="23">
        <v>18.18</v>
      </c>
      <c r="AJ27" s="23">
        <v>81.82</v>
      </c>
    </row>
    <row r="28">
      <c r="A28" s="15">
        <v>45664.0</v>
      </c>
      <c r="B28" s="15">
        <v>45671.0</v>
      </c>
      <c r="C28" s="16" t="s">
        <v>112</v>
      </c>
      <c r="D28" s="16">
        <v>-1.0</v>
      </c>
      <c r="E28" s="16" t="s">
        <v>78</v>
      </c>
      <c r="F28" s="18" t="s">
        <v>113</v>
      </c>
      <c r="G28" s="16" t="s">
        <v>49</v>
      </c>
      <c r="H28" s="18">
        <v>10.0</v>
      </c>
      <c r="I28" s="19">
        <v>290.0</v>
      </c>
      <c r="J28" s="19">
        <v>1204.0</v>
      </c>
      <c r="K28" s="19">
        <v>410.0</v>
      </c>
      <c r="L28" s="20">
        <v>370.0</v>
      </c>
      <c r="M28" s="19">
        <v>27.59</v>
      </c>
      <c r="N28" s="20">
        <v>448.75</v>
      </c>
      <c r="O28" s="19">
        <v>54.74</v>
      </c>
      <c r="P28" s="21">
        <v>139.77</v>
      </c>
      <c r="Q28" s="21">
        <v>274.25</v>
      </c>
      <c r="R28" s="21">
        <v>255.57</v>
      </c>
      <c r="S28" s="21">
        <v>256.46</v>
      </c>
      <c r="T28" s="22">
        <v>44.11</v>
      </c>
      <c r="U28" s="29">
        <v>24.19</v>
      </c>
      <c r="V28" s="22">
        <v>33.41</v>
      </c>
      <c r="W28" s="22">
        <v>26.12</v>
      </c>
      <c r="X28" s="22">
        <v>1.86</v>
      </c>
      <c r="Y28" s="22">
        <v>9.68</v>
      </c>
      <c r="Z28" s="22">
        <v>33.41</v>
      </c>
      <c r="AA28" s="22">
        <v>19.73</v>
      </c>
      <c r="AB28" s="18">
        <v>59.13</v>
      </c>
      <c r="AC28" s="18">
        <v>59.13</v>
      </c>
      <c r="AD28" s="18">
        <v>-6.05</v>
      </c>
      <c r="AE28" s="18">
        <v>-47.91</v>
      </c>
      <c r="AF28" s="23">
        <v>136.36</v>
      </c>
      <c r="AG28" s="23">
        <v>18.18</v>
      </c>
      <c r="AH28" s="23">
        <v>9.09</v>
      </c>
      <c r="AI28" s="23">
        <v>18.18</v>
      </c>
      <c r="AJ28" s="23">
        <v>81.82</v>
      </c>
    </row>
    <row r="29">
      <c r="A29" s="15">
        <v>45663.0</v>
      </c>
      <c r="B29" s="15">
        <v>45670.0</v>
      </c>
      <c r="C29" s="16" t="s">
        <v>93</v>
      </c>
      <c r="D29" s="16">
        <v>-1.0</v>
      </c>
      <c r="E29" s="16" t="s">
        <v>81</v>
      </c>
      <c r="F29" s="18" t="s">
        <v>114</v>
      </c>
      <c r="G29" s="16" t="s">
        <v>49</v>
      </c>
      <c r="H29" s="18">
        <v>10.0</v>
      </c>
      <c r="I29" s="19">
        <v>140.0</v>
      </c>
      <c r="J29" s="19">
        <v>504.0</v>
      </c>
      <c r="K29" s="19">
        <v>190.0</v>
      </c>
      <c r="L29" s="20">
        <v>172.0</v>
      </c>
      <c r="M29" s="19">
        <v>22.86</v>
      </c>
      <c r="N29" s="20">
        <v>163.35</v>
      </c>
      <c r="O29" s="19">
        <v>16.68</v>
      </c>
      <c r="P29" s="21">
        <v>327.76</v>
      </c>
      <c r="Q29" s="21">
        <v>302.21</v>
      </c>
      <c r="R29" s="21">
        <v>221.21</v>
      </c>
      <c r="S29" s="21">
        <v>65.71</v>
      </c>
      <c r="T29" s="22">
        <v>447.8</v>
      </c>
      <c r="U29" s="29">
        <v>19.1</v>
      </c>
      <c r="V29" s="22">
        <v>20.74</v>
      </c>
      <c r="W29" s="22">
        <v>25.49</v>
      </c>
      <c r="X29" s="22">
        <v>0.32</v>
      </c>
      <c r="Y29" s="22">
        <v>10.92</v>
      </c>
      <c r="Z29" s="22">
        <v>20.74</v>
      </c>
      <c r="AA29" s="22">
        <v>5.7</v>
      </c>
      <c r="AB29" s="18">
        <v>43.04</v>
      </c>
      <c r="AC29" s="18">
        <v>43.04</v>
      </c>
      <c r="AD29" s="18">
        <v>3.64</v>
      </c>
      <c r="AE29" s="18">
        <v>38.5</v>
      </c>
      <c r="AF29" s="23">
        <v>50.0</v>
      </c>
      <c r="AG29" s="23">
        <v>10.0</v>
      </c>
      <c r="AH29" s="23">
        <v>5.0</v>
      </c>
      <c r="AI29" s="23">
        <v>35.0</v>
      </c>
      <c r="AJ29" s="23">
        <v>30.0</v>
      </c>
    </row>
    <row r="30">
      <c r="A30" s="15">
        <v>45659.0</v>
      </c>
      <c r="B30" s="15">
        <v>45664.0</v>
      </c>
      <c r="C30" s="27">
        <f>+0.58%</f>
        <v>0.0058</v>
      </c>
      <c r="D30" s="16">
        <v>1.0</v>
      </c>
      <c r="E30" s="16" t="s">
        <v>73</v>
      </c>
      <c r="F30" s="18" t="s">
        <v>115</v>
      </c>
      <c r="G30" s="16" t="s">
        <v>49</v>
      </c>
      <c r="H30" s="18">
        <v>10.0</v>
      </c>
      <c r="I30" s="19">
        <v>215.0</v>
      </c>
      <c r="J30" s="19">
        <v>764.0</v>
      </c>
      <c r="K30" s="19">
        <v>291.0</v>
      </c>
      <c r="L30" s="20">
        <v>256.0</v>
      </c>
      <c r="M30" s="19">
        <v>19.07</v>
      </c>
      <c r="N30" s="20">
        <v>278.0</v>
      </c>
      <c r="O30" s="19">
        <v>29.3</v>
      </c>
      <c r="P30" s="18">
        <v>242.4</v>
      </c>
      <c r="Q30" s="18">
        <v>548.13</v>
      </c>
      <c r="R30" s="18">
        <v>408.98</v>
      </c>
      <c r="S30" s="18">
        <v>101.79</v>
      </c>
      <c r="T30" s="22">
        <v>342.0</v>
      </c>
      <c r="U30" s="22">
        <v>16.21</v>
      </c>
      <c r="V30" s="22">
        <v>5.13</v>
      </c>
      <c r="W30" s="22">
        <v>8.96</v>
      </c>
      <c r="X30" s="22">
        <v>0.85</v>
      </c>
      <c r="Y30" s="22">
        <v>4.16</v>
      </c>
      <c r="Z30" s="22">
        <v>4.92</v>
      </c>
      <c r="AA30" s="22">
        <v>2.55</v>
      </c>
      <c r="AB30" s="18">
        <v>3.95</v>
      </c>
      <c r="AC30" s="18">
        <v>54.39</v>
      </c>
      <c r="AD30" s="18">
        <v>2.04</v>
      </c>
      <c r="AE30" s="18">
        <v>105.25</v>
      </c>
      <c r="AF30" s="30">
        <v>50.0</v>
      </c>
      <c r="AG30" s="30">
        <v>10.0</v>
      </c>
      <c r="AH30" s="30">
        <v>5.0</v>
      </c>
      <c r="AI30" s="30">
        <v>35.0</v>
      </c>
      <c r="AJ30" s="30">
        <v>30.0</v>
      </c>
    </row>
    <row r="31">
      <c r="A31" s="31">
        <v>45649.0</v>
      </c>
      <c r="B31" s="31">
        <v>45657.0</v>
      </c>
      <c r="C31" s="32">
        <v>-0.57</v>
      </c>
      <c r="D31" s="56">
        <v>-1.0</v>
      </c>
      <c r="E31" s="34" t="s">
        <v>47</v>
      </c>
      <c r="F31" s="21" t="s">
        <v>116</v>
      </c>
      <c r="G31" s="18" t="s">
        <v>69</v>
      </c>
      <c r="H31" s="21">
        <v>5.0</v>
      </c>
      <c r="I31" s="21">
        <v>785.0</v>
      </c>
      <c r="J31" s="35">
        <v>6255.0</v>
      </c>
      <c r="K31" s="35">
        <v>1410.0</v>
      </c>
      <c r="L31" s="21">
        <v>1460.0</v>
      </c>
      <c r="M31" s="35">
        <v>85.99</v>
      </c>
      <c r="N31" s="21">
        <v>1376.25</v>
      </c>
      <c r="O31" s="35">
        <v>75.32</v>
      </c>
      <c r="P31" s="21">
        <v>334.68</v>
      </c>
      <c r="Q31" s="21">
        <v>302.3</v>
      </c>
      <c r="R31" s="21">
        <v>228.05</v>
      </c>
      <c r="S31" s="21">
        <v>59.19</v>
      </c>
      <c r="T31" s="21">
        <v>390.1</v>
      </c>
      <c r="U31" s="35">
        <v>40.46</v>
      </c>
      <c r="V31" s="21">
        <v>53.53</v>
      </c>
      <c r="W31" s="21">
        <v>54.36</v>
      </c>
      <c r="X31" s="21">
        <v>0.32</v>
      </c>
      <c r="Y31" s="21">
        <v>27.85</v>
      </c>
      <c r="Z31" s="21">
        <v>53.53</v>
      </c>
      <c r="AA31" s="21">
        <v>31.77</v>
      </c>
      <c r="AB31" s="21">
        <v>12.19</v>
      </c>
      <c r="AC31" s="21">
        <v>64.37</v>
      </c>
      <c r="AD31" s="21">
        <v>15.21</v>
      </c>
      <c r="AE31" s="21">
        <v>51.61</v>
      </c>
      <c r="AF31" s="30">
        <v>49.85</v>
      </c>
      <c r="AG31" s="30">
        <v>9.97</v>
      </c>
      <c r="AH31" s="30">
        <v>4.99</v>
      </c>
      <c r="AI31" s="30">
        <v>34.9</v>
      </c>
      <c r="AJ31" s="30">
        <v>29.91</v>
      </c>
    </row>
    <row r="32">
      <c r="A32" s="31">
        <v>45646.0</v>
      </c>
      <c r="B32" s="31">
        <v>45656.0</v>
      </c>
      <c r="C32" s="32">
        <v>-0.34</v>
      </c>
      <c r="D32" s="56">
        <v>-1.0</v>
      </c>
      <c r="E32" s="34" t="s">
        <v>47</v>
      </c>
      <c r="F32" s="21" t="s">
        <v>117</v>
      </c>
      <c r="G32" s="16" t="s">
        <v>49</v>
      </c>
      <c r="H32" s="21">
        <v>10.0</v>
      </c>
      <c r="I32" s="21">
        <v>704.0</v>
      </c>
      <c r="J32" s="35">
        <v>1.0</v>
      </c>
      <c r="K32" s="35">
        <v>704.0</v>
      </c>
      <c r="L32" s="21">
        <v>651.0</v>
      </c>
      <c r="M32" s="35">
        <v>-7.53</v>
      </c>
      <c r="N32" s="21">
        <v>636.3</v>
      </c>
      <c r="O32" s="35">
        <v>-9.62</v>
      </c>
      <c r="P32" s="21">
        <v>2.33</v>
      </c>
      <c r="Q32" s="21">
        <v>0.45</v>
      </c>
      <c r="R32" s="21">
        <v>1.01</v>
      </c>
      <c r="S32" s="21">
        <v>0.75</v>
      </c>
      <c r="T32" s="21">
        <v>419.44</v>
      </c>
      <c r="U32" s="35">
        <v>8.38</v>
      </c>
      <c r="V32" s="21">
        <v>17.69</v>
      </c>
      <c r="W32" s="21">
        <v>19.35</v>
      </c>
      <c r="X32" s="21">
        <v>0.58</v>
      </c>
      <c r="Y32" s="21">
        <v>3.5</v>
      </c>
      <c r="Z32" s="21">
        <v>16.92</v>
      </c>
      <c r="AA32" s="35">
        <v>9.6</v>
      </c>
      <c r="AB32" s="21">
        <v>11.0</v>
      </c>
      <c r="AC32" s="21">
        <v>63.97</v>
      </c>
      <c r="AD32" s="21">
        <v>17.5</v>
      </c>
      <c r="AE32" s="21">
        <v>40.24</v>
      </c>
      <c r="AF32" s="30">
        <v>50.0</v>
      </c>
      <c r="AG32" s="30">
        <v>10.0</v>
      </c>
      <c r="AH32" s="30">
        <v>5.0</v>
      </c>
      <c r="AI32" s="30">
        <v>35.0</v>
      </c>
      <c r="AJ32" s="30">
        <v>30.0</v>
      </c>
    </row>
    <row r="33">
      <c r="A33" s="31">
        <v>45646.0</v>
      </c>
      <c r="B33" s="31">
        <v>45656.0</v>
      </c>
      <c r="C33" s="32">
        <v>-0.34</v>
      </c>
      <c r="D33" s="56">
        <v>-1.0</v>
      </c>
      <c r="E33" s="34" t="s">
        <v>62</v>
      </c>
      <c r="F33" s="21" t="s">
        <v>118</v>
      </c>
      <c r="G33" s="16" t="s">
        <v>49</v>
      </c>
      <c r="H33" s="21">
        <v>10.0</v>
      </c>
      <c r="I33" s="21">
        <v>391.0</v>
      </c>
      <c r="J33" s="35">
        <v>2845.0</v>
      </c>
      <c r="K33" s="35">
        <v>675.0</v>
      </c>
      <c r="L33" s="21">
        <v>600.0</v>
      </c>
      <c r="M33" s="35">
        <v>53.45</v>
      </c>
      <c r="N33" s="21">
        <v>557.8</v>
      </c>
      <c r="O33" s="35">
        <v>42.66</v>
      </c>
      <c r="P33" s="21">
        <v>97.84</v>
      </c>
      <c r="Q33" s="21">
        <v>95.25</v>
      </c>
      <c r="R33" s="21">
        <v>111.35</v>
      </c>
      <c r="S33" s="21">
        <v>93.16</v>
      </c>
      <c r="T33" s="21">
        <v>319.06</v>
      </c>
      <c r="U33" s="35">
        <v>20.7</v>
      </c>
      <c r="V33" s="21">
        <v>23.6</v>
      </c>
      <c r="W33" s="21">
        <v>11.73</v>
      </c>
      <c r="X33" s="21">
        <v>1.07</v>
      </c>
      <c r="Y33" s="21">
        <v>15.25</v>
      </c>
      <c r="Z33" s="21">
        <v>23.6</v>
      </c>
      <c r="AA33" s="21">
        <v>5.84</v>
      </c>
      <c r="AB33" s="21">
        <v>9.83</v>
      </c>
      <c r="AC33" s="21">
        <v>39.77</v>
      </c>
      <c r="AD33" s="21">
        <v>13.86</v>
      </c>
      <c r="AE33" s="21">
        <v>28.21</v>
      </c>
      <c r="AF33" s="30">
        <v>74.62</v>
      </c>
      <c r="AG33" s="30">
        <v>9.95</v>
      </c>
      <c r="AH33" s="30">
        <v>4.97</v>
      </c>
      <c r="AI33" s="30">
        <v>9.95</v>
      </c>
      <c r="AJ33" s="30">
        <v>44.77</v>
      </c>
    </row>
    <row r="34">
      <c r="A34" s="31">
        <v>45646.0</v>
      </c>
      <c r="B34" s="31">
        <v>45656.0</v>
      </c>
      <c r="C34" s="32">
        <v>-0.34</v>
      </c>
      <c r="D34" s="56">
        <v>-1.0</v>
      </c>
      <c r="E34" s="34" t="s">
        <v>55</v>
      </c>
      <c r="F34" s="21" t="s">
        <v>119</v>
      </c>
      <c r="G34" s="18" t="s">
        <v>69</v>
      </c>
      <c r="H34" s="21">
        <v>1.0</v>
      </c>
      <c r="I34" s="21">
        <v>643.0</v>
      </c>
      <c r="J34" s="35">
        <v>803.0</v>
      </c>
      <c r="K34" s="35">
        <v>723.0</v>
      </c>
      <c r="L34" s="21">
        <v>716.0</v>
      </c>
      <c r="M34" s="35">
        <v>11.35</v>
      </c>
      <c r="N34" s="21">
        <v>704.55</v>
      </c>
      <c r="O34" s="35">
        <v>9.57</v>
      </c>
      <c r="P34" s="21">
        <v>9.58</v>
      </c>
      <c r="Q34" s="21">
        <v>15.86</v>
      </c>
      <c r="R34" s="21">
        <v>12.08</v>
      </c>
      <c r="S34" s="21">
        <v>6.19</v>
      </c>
      <c r="T34" s="21">
        <v>3665.83</v>
      </c>
      <c r="U34" s="35">
        <v>60.75</v>
      </c>
      <c r="V34" s="35">
        <v>67.3</v>
      </c>
      <c r="W34" s="35">
        <v>32.6</v>
      </c>
      <c r="X34" s="35">
        <v>1.4</v>
      </c>
      <c r="Y34" s="35">
        <v>8.71</v>
      </c>
      <c r="Z34" s="21">
        <v>-1.82</v>
      </c>
      <c r="AA34" s="21">
        <v>3.66</v>
      </c>
      <c r="AB34" s="21">
        <v>-3.2</v>
      </c>
      <c r="AC34" s="21">
        <v>-201.01</v>
      </c>
      <c r="AD34" s="21">
        <v>-11.8</v>
      </c>
      <c r="AE34" s="21">
        <v>-54.48</v>
      </c>
      <c r="AF34" s="30">
        <v>74.95</v>
      </c>
      <c r="AG34" s="30">
        <v>9.99</v>
      </c>
      <c r="AH34" s="30">
        <v>5.0</v>
      </c>
      <c r="AI34" s="30">
        <v>9.99</v>
      </c>
      <c r="AJ34" s="30">
        <v>44.97</v>
      </c>
    </row>
    <row r="35">
      <c r="A35" s="31">
        <v>45645.0</v>
      </c>
      <c r="B35" s="31">
        <v>45653.0</v>
      </c>
      <c r="C35" s="32">
        <v>0.65</v>
      </c>
      <c r="D35" s="56">
        <v>-1.0</v>
      </c>
      <c r="E35" s="34" t="s">
        <v>55</v>
      </c>
      <c r="F35" s="21" t="s">
        <v>120</v>
      </c>
      <c r="G35" s="16" t="s">
        <v>49</v>
      </c>
      <c r="H35" s="21">
        <v>5.0</v>
      </c>
      <c r="I35" s="21">
        <v>701.0</v>
      </c>
      <c r="J35" s="35">
        <v>1383.0</v>
      </c>
      <c r="K35" s="35">
        <v>839.0</v>
      </c>
      <c r="L35" s="21">
        <v>826.0</v>
      </c>
      <c r="M35" s="35">
        <v>17.83</v>
      </c>
      <c r="N35" s="21">
        <v>828.45</v>
      </c>
      <c r="O35" s="35">
        <v>18.18</v>
      </c>
      <c r="P35" s="21">
        <v>17.32</v>
      </c>
      <c r="Q35" s="21">
        <v>14.09</v>
      </c>
      <c r="R35" s="21">
        <v>14.41</v>
      </c>
      <c r="S35" s="21">
        <v>5.56</v>
      </c>
      <c r="T35" s="21">
        <v>320.82</v>
      </c>
      <c r="U35" s="35">
        <v>16.3</v>
      </c>
      <c r="V35" s="21">
        <v>13.73</v>
      </c>
      <c r="W35" s="21">
        <v>14.07</v>
      </c>
      <c r="X35" s="21">
        <v>0.47</v>
      </c>
      <c r="Y35" s="21">
        <v>8.34</v>
      </c>
      <c r="Z35" s="21">
        <v>12.92</v>
      </c>
      <c r="AA35" s="21">
        <v>3.96</v>
      </c>
      <c r="AB35" s="21">
        <v>22.77</v>
      </c>
      <c r="AC35" s="21">
        <v>30.79</v>
      </c>
      <c r="AD35" s="21">
        <v>0.6</v>
      </c>
      <c r="AE35" s="21">
        <v>1171.52</v>
      </c>
      <c r="AF35" s="30">
        <v>50.0</v>
      </c>
      <c r="AG35" s="30">
        <v>10.0</v>
      </c>
      <c r="AH35" s="30">
        <v>5.0</v>
      </c>
      <c r="AI35" s="30">
        <v>35.0</v>
      </c>
      <c r="AJ35" s="30">
        <v>30.0</v>
      </c>
    </row>
    <row r="36">
      <c r="A36" s="31">
        <v>45645.0</v>
      </c>
      <c r="B36" s="31">
        <v>45653.0</v>
      </c>
      <c r="C36" s="32">
        <v>0.65</v>
      </c>
      <c r="D36" s="56">
        <v>-1.0</v>
      </c>
      <c r="E36" s="34" t="s">
        <v>47</v>
      </c>
      <c r="F36" s="21" t="s">
        <v>121</v>
      </c>
      <c r="G36" s="16" t="s">
        <v>122</v>
      </c>
      <c r="H36" s="21">
        <v>10.0</v>
      </c>
      <c r="I36" s="21">
        <v>321.0</v>
      </c>
      <c r="J36" s="35">
        <v>874.0</v>
      </c>
      <c r="K36" s="35">
        <v>408.0</v>
      </c>
      <c r="L36" s="21">
        <v>422.3</v>
      </c>
      <c r="M36" s="35">
        <v>31.56</v>
      </c>
      <c r="N36" s="21">
        <v>389.0</v>
      </c>
      <c r="O36" s="35">
        <v>21.18</v>
      </c>
      <c r="P36" s="21">
        <v>79.59</v>
      </c>
      <c r="Q36" s="21">
        <v>48.47</v>
      </c>
      <c r="R36" s="21">
        <v>36.22</v>
      </c>
      <c r="S36" s="21">
        <v>9.31</v>
      </c>
      <c r="T36" s="21">
        <v>1324.06</v>
      </c>
      <c r="U36" s="35">
        <v>7.66</v>
      </c>
      <c r="V36" s="21">
        <v>11.09</v>
      </c>
      <c r="W36" s="21">
        <v>11.8</v>
      </c>
      <c r="X36" s="21">
        <v>0.17</v>
      </c>
      <c r="Y36" s="35">
        <v>4.5</v>
      </c>
      <c r="Z36" s="21">
        <v>10.42</v>
      </c>
      <c r="AA36" s="21">
        <v>1.81</v>
      </c>
      <c r="AB36" s="21">
        <v>18.6</v>
      </c>
      <c r="AC36" s="21">
        <v>17.25</v>
      </c>
      <c r="AD36" s="21">
        <v>23.73</v>
      </c>
      <c r="AE36" s="21">
        <v>13.53</v>
      </c>
      <c r="AF36" s="30">
        <v>50.0</v>
      </c>
      <c r="AG36" s="30">
        <v>10.0</v>
      </c>
      <c r="AH36" s="30">
        <v>5.0</v>
      </c>
      <c r="AI36" s="30">
        <v>35.0</v>
      </c>
      <c r="AJ36" s="30">
        <v>30.0</v>
      </c>
    </row>
    <row r="37">
      <c r="A37" s="31">
        <v>45645.0</v>
      </c>
      <c r="B37" s="31">
        <v>45653.0</v>
      </c>
      <c r="C37" s="32">
        <v>0.65</v>
      </c>
      <c r="D37" s="56">
        <v>-1.0</v>
      </c>
      <c r="E37" s="34" t="s">
        <v>47</v>
      </c>
      <c r="F37" s="21" t="s">
        <v>123</v>
      </c>
      <c r="G37" s="35" t="s">
        <v>49</v>
      </c>
      <c r="H37" s="21">
        <v>10.0</v>
      </c>
      <c r="I37" s="21">
        <v>243.0</v>
      </c>
      <c r="J37" s="35">
        <v>2605.0</v>
      </c>
      <c r="K37" s="35">
        <v>503.0</v>
      </c>
      <c r="L37" s="21">
        <v>600.0</v>
      </c>
      <c r="M37" s="35">
        <v>146.91</v>
      </c>
      <c r="N37" s="21">
        <v>630.0</v>
      </c>
      <c r="O37" s="35">
        <v>159.26</v>
      </c>
      <c r="P37" s="21">
        <v>235.88</v>
      </c>
      <c r="Q37" s="21">
        <v>222.71</v>
      </c>
      <c r="R37" s="21">
        <v>377.72</v>
      </c>
      <c r="S37" s="21">
        <v>138.08</v>
      </c>
      <c r="T37" s="21">
        <v>131.88</v>
      </c>
      <c r="U37" s="35">
        <v>21.0</v>
      </c>
      <c r="V37" s="21">
        <v>27.76</v>
      </c>
      <c r="W37" s="21">
        <v>31.29</v>
      </c>
      <c r="X37" s="21">
        <v>0.09</v>
      </c>
      <c r="Y37" s="21">
        <v>15.27</v>
      </c>
      <c r="Z37" s="21">
        <v>27.39</v>
      </c>
      <c r="AA37" s="21">
        <v>4.5</v>
      </c>
      <c r="AB37" s="21">
        <v>15.88</v>
      </c>
      <c r="AC37" s="21">
        <v>15.3</v>
      </c>
      <c r="AD37" s="21">
        <v>0.38</v>
      </c>
      <c r="AE37" s="21">
        <v>633.97</v>
      </c>
      <c r="AF37" s="30">
        <v>49.76</v>
      </c>
      <c r="AG37" s="30">
        <v>9.95</v>
      </c>
      <c r="AH37" s="30">
        <v>4.98</v>
      </c>
      <c r="AI37" s="30">
        <v>34.83</v>
      </c>
      <c r="AJ37" s="30">
        <v>29.86</v>
      </c>
    </row>
    <row r="38">
      <c r="A38" s="31">
        <v>45645.0</v>
      </c>
      <c r="B38" s="31">
        <v>45653.0</v>
      </c>
      <c r="C38" s="32">
        <v>0.65</v>
      </c>
      <c r="D38" s="56">
        <v>-1.0</v>
      </c>
      <c r="E38" s="34" t="s">
        <v>209</v>
      </c>
      <c r="F38" s="21" t="s">
        <v>124</v>
      </c>
      <c r="G38" s="16" t="s">
        <v>69</v>
      </c>
      <c r="H38" s="21">
        <v>2.0</v>
      </c>
      <c r="I38" s="21">
        <v>283.0</v>
      </c>
      <c r="J38" s="35">
        <v>1435.0</v>
      </c>
      <c r="K38" s="35">
        <v>426.0</v>
      </c>
      <c r="L38" s="21">
        <v>393.0</v>
      </c>
      <c r="M38" s="35">
        <v>38.87</v>
      </c>
      <c r="N38" s="21">
        <v>415.1</v>
      </c>
      <c r="O38" s="35">
        <v>46.68</v>
      </c>
      <c r="P38" s="21">
        <v>166.33</v>
      </c>
      <c r="Q38" s="21">
        <v>102.21</v>
      </c>
      <c r="R38" s="21">
        <v>91.0</v>
      </c>
      <c r="S38" s="21">
        <v>26.8</v>
      </c>
      <c r="T38" s="21">
        <v>162.61</v>
      </c>
      <c r="U38" s="35">
        <v>52.0</v>
      </c>
      <c r="V38" s="21">
        <v>54.72</v>
      </c>
      <c r="W38" s="35">
        <v>38.0</v>
      </c>
      <c r="X38" s="21">
        <v>0.03</v>
      </c>
      <c r="Y38" s="21">
        <v>38.75</v>
      </c>
      <c r="Z38" s="21">
        <v>44.98</v>
      </c>
      <c r="AA38" s="21">
        <v>12.76</v>
      </c>
      <c r="AB38" s="21">
        <v>9.98</v>
      </c>
      <c r="AC38" s="21">
        <v>28.37</v>
      </c>
      <c r="AD38" s="21">
        <v>9.98</v>
      </c>
      <c r="AE38" s="21">
        <v>28.37</v>
      </c>
      <c r="AF38" s="23">
        <v>49.88</v>
      </c>
      <c r="AG38" s="23">
        <v>9.98</v>
      </c>
      <c r="AH38" s="23">
        <v>4.99</v>
      </c>
      <c r="AI38" s="23">
        <v>34.92</v>
      </c>
      <c r="AJ38" s="23">
        <v>29.93</v>
      </c>
    </row>
    <row r="39">
      <c r="A39" s="31">
        <v>45645.0</v>
      </c>
      <c r="B39" s="31">
        <v>45653.0</v>
      </c>
      <c r="C39" s="32">
        <v>0.65</v>
      </c>
      <c r="D39" s="56">
        <v>-1.0</v>
      </c>
      <c r="E39" s="34" t="s">
        <v>55</v>
      </c>
      <c r="F39" s="21" t="s">
        <v>125</v>
      </c>
      <c r="G39" s="35" t="s">
        <v>49</v>
      </c>
      <c r="H39" s="21">
        <v>2.0</v>
      </c>
      <c r="I39" s="21">
        <v>432.0</v>
      </c>
      <c r="J39" s="35">
        <v>1654.0</v>
      </c>
      <c r="K39" s="35">
        <v>597.0</v>
      </c>
      <c r="L39" s="21">
        <v>590.0</v>
      </c>
      <c r="M39" s="35">
        <v>36.57</v>
      </c>
      <c r="N39" s="21">
        <v>553.55</v>
      </c>
      <c r="O39" s="35">
        <v>28.14</v>
      </c>
      <c r="P39" s="21">
        <v>197.41</v>
      </c>
      <c r="Q39" s="21">
        <v>79.8</v>
      </c>
      <c r="R39" s="21">
        <v>75.34</v>
      </c>
      <c r="S39" s="21">
        <v>22.62</v>
      </c>
      <c r="T39" s="21">
        <v>1140.65</v>
      </c>
      <c r="U39" s="35">
        <v>11.7</v>
      </c>
      <c r="V39" s="21">
        <v>24.41</v>
      </c>
      <c r="W39" s="21">
        <v>24.33</v>
      </c>
      <c r="X39" s="21">
        <v>0.56</v>
      </c>
      <c r="Y39" s="21">
        <v>5.65</v>
      </c>
      <c r="Z39" s="21">
        <v>21.68</v>
      </c>
      <c r="AA39" s="21">
        <v>4.7</v>
      </c>
      <c r="AB39" s="21">
        <v>18.66</v>
      </c>
      <c r="AC39" s="21">
        <v>23.15</v>
      </c>
      <c r="AD39" s="21">
        <v>15.42</v>
      </c>
      <c r="AE39" s="21">
        <v>28.02</v>
      </c>
      <c r="AF39" s="23">
        <v>48.87</v>
      </c>
      <c r="AG39" s="23">
        <v>9.77</v>
      </c>
      <c r="AH39" s="23">
        <v>4.89</v>
      </c>
      <c r="AI39" s="23">
        <v>34.21</v>
      </c>
      <c r="AJ39" s="23">
        <v>29.32</v>
      </c>
    </row>
    <row r="40">
      <c r="A40" s="31">
        <v>45639.0</v>
      </c>
      <c r="B40" s="31">
        <v>45646.0</v>
      </c>
      <c r="C40" s="32">
        <v>-0.45</v>
      </c>
      <c r="D40" s="56">
        <v>0.0</v>
      </c>
      <c r="E40" s="34" t="s">
        <v>55</v>
      </c>
      <c r="F40" s="21" t="s">
        <v>126</v>
      </c>
      <c r="G40" s="35" t="s">
        <v>49</v>
      </c>
      <c r="H40" s="21">
        <v>2.0</v>
      </c>
      <c r="I40" s="21">
        <v>417.0</v>
      </c>
      <c r="J40" s="35">
        <v>1594.0</v>
      </c>
      <c r="K40" s="35">
        <v>576.0</v>
      </c>
      <c r="L40" s="21">
        <v>504.85</v>
      </c>
      <c r="M40" s="35">
        <v>21.07</v>
      </c>
      <c r="N40" s="21">
        <v>471.15</v>
      </c>
      <c r="O40" s="35">
        <v>12.99</v>
      </c>
      <c r="P40" s="21">
        <v>48.11</v>
      </c>
      <c r="Q40" s="21">
        <v>29.78</v>
      </c>
      <c r="R40" s="21">
        <v>18.7</v>
      </c>
      <c r="S40" s="21">
        <v>11.77</v>
      </c>
      <c r="T40" s="21">
        <v>643.41</v>
      </c>
      <c r="U40" s="35">
        <v>70.0</v>
      </c>
      <c r="V40" s="21">
        <v>76.58</v>
      </c>
      <c r="W40" s="21">
        <v>80.96</v>
      </c>
      <c r="X40" s="35">
        <v>0.0</v>
      </c>
      <c r="Y40" s="35">
        <v>40.0</v>
      </c>
      <c r="Z40" s="21">
        <v>76.58</v>
      </c>
      <c r="AA40" s="35">
        <v>3.7</v>
      </c>
      <c r="AB40" s="35">
        <v>8.22</v>
      </c>
      <c r="AC40" s="21">
        <v>50.98</v>
      </c>
      <c r="AD40" s="35">
        <v>5.11</v>
      </c>
      <c r="AE40" s="21">
        <v>82.9</v>
      </c>
      <c r="AF40" s="23">
        <v>74.96</v>
      </c>
      <c r="AG40" s="23">
        <v>9.99</v>
      </c>
      <c r="AH40" s="23">
        <v>5.0</v>
      </c>
      <c r="AI40" s="23">
        <v>9.99</v>
      </c>
      <c r="AJ40" s="23">
        <v>44.98</v>
      </c>
    </row>
    <row r="41">
      <c r="A41" s="31">
        <v>45638.0</v>
      </c>
      <c r="B41" s="31">
        <v>45645.0</v>
      </c>
      <c r="C41" s="32">
        <v>-1.07</v>
      </c>
      <c r="D41" s="56">
        <v>0.0</v>
      </c>
      <c r="E41" s="34" t="s">
        <v>62</v>
      </c>
      <c r="F41" s="21" t="s">
        <v>127</v>
      </c>
      <c r="G41" s="35" t="s">
        <v>49</v>
      </c>
      <c r="H41" s="21">
        <v>1.0</v>
      </c>
      <c r="I41" s="21">
        <v>1329.0</v>
      </c>
      <c r="J41" s="35">
        <v>4214.0</v>
      </c>
      <c r="K41" s="35">
        <v>1750.0</v>
      </c>
      <c r="L41" s="21">
        <v>1856.0</v>
      </c>
      <c r="M41" s="35">
        <v>39.65</v>
      </c>
      <c r="N41" s="21">
        <v>1887.5</v>
      </c>
      <c r="O41" s="35">
        <v>42.02</v>
      </c>
      <c r="P41" s="21">
        <v>80.64</v>
      </c>
      <c r="Q41" s="21">
        <v>24.99</v>
      </c>
      <c r="R41" s="21">
        <v>19.77</v>
      </c>
      <c r="S41" s="21">
        <v>14.55</v>
      </c>
      <c r="T41" s="21">
        <v>1377.11</v>
      </c>
      <c r="U41" s="35">
        <v>28.62</v>
      </c>
      <c r="V41" s="21">
        <v>32.0</v>
      </c>
      <c r="W41" s="21">
        <v>31.56</v>
      </c>
      <c r="X41" s="21">
        <v>-0.06</v>
      </c>
      <c r="Y41" s="21">
        <v>20.38</v>
      </c>
      <c r="Z41" s="21">
        <v>32.0</v>
      </c>
      <c r="AA41" s="21">
        <v>19.07</v>
      </c>
      <c r="AB41" s="21">
        <v>21.59</v>
      </c>
      <c r="AC41" s="21">
        <v>61.55</v>
      </c>
      <c r="AD41" s="21">
        <v>24.31</v>
      </c>
      <c r="AE41" s="21">
        <v>54.66</v>
      </c>
      <c r="AF41" s="23">
        <v>74.74</v>
      </c>
      <c r="AG41" s="23">
        <v>9.97</v>
      </c>
      <c r="AH41" s="23">
        <v>4.98</v>
      </c>
      <c r="AI41" s="23">
        <v>9.97</v>
      </c>
      <c r="AJ41" s="23">
        <v>44.84</v>
      </c>
    </row>
    <row r="42">
      <c r="A42" s="31">
        <v>45637.0</v>
      </c>
      <c r="B42" s="31">
        <v>45644.0</v>
      </c>
      <c r="C42" s="32">
        <v>-0.28</v>
      </c>
      <c r="D42" s="56">
        <v>0.0</v>
      </c>
      <c r="E42" s="34" t="s">
        <v>50</v>
      </c>
      <c r="F42" s="21" t="s">
        <v>128</v>
      </c>
      <c r="G42" s="35" t="s">
        <v>49</v>
      </c>
      <c r="H42" s="21">
        <v>2.0</v>
      </c>
      <c r="I42" s="21">
        <v>279.0</v>
      </c>
      <c r="J42" s="35">
        <v>1605.0</v>
      </c>
      <c r="K42" s="35">
        <v>439.0</v>
      </c>
      <c r="L42" s="21">
        <v>440.0</v>
      </c>
      <c r="M42" s="35">
        <v>57.71</v>
      </c>
      <c r="N42" s="21">
        <v>530.3</v>
      </c>
      <c r="O42" s="35">
        <v>90.07</v>
      </c>
      <c r="P42" s="21">
        <v>125.82</v>
      </c>
      <c r="Q42" s="21">
        <v>109.7</v>
      </c>
      <c r="R42" s="21">
        <v>124.71</v>
      </c>
      <c r="S42" s="21">
        <v>141.78</v>
      </c>
      <c r="T42" s="21">
        <v>162.59</v>
      </c>
      <c r="U42" s="35">
        <v>4.25</v>
      </c>
      <c r="V42" s="35">
        <v>8.66</v>
      </c>
      <c r="W42" s="35">
        <v>-4.8</v>
      </c>
      <c r="X42" s="21">
        <v>0.73</v>
      </c>
      <c r="Y42" s="35">
        <v>1.6</v>
      </c>
      <c r="Z42" s="21">
        <v>8.66</v>
      </c>
      <c r="AA42" s="21">
        <v>9.81</v>
      </c>
      <c r="AB42" s="21">
        <v>2.46</v>
      </c>
      <c r="AC42" s="21">
        <v>113.32</v>
      </c>
      <c r="AD42" s="21">
        <v>-3.22</v>
      </c>
      <c r="AE42" s="21">
        <v>-86.75</v>
      </c>
      <c r="AF42" s="23">
        <v>75.0</v>
      </c>
      <c r="AG42" s="23">
        <v>10.0</v>
      </c>
      <c r="AH42" s="23">
        <v>5.0</v>
      </c>
      <c r="AI42" s="23">
        <v>10.0</v>
      </c>
      <c r="AJ42" s="23">
        <v>45.0</v>
      </c>
    </row>
    <row r="43">
      <c r="A43" s="31">
        <v>45637.0</v>
      </c>
      <c r="B43" s="31">
        <v>45644.0</v>
      </c>
      <c r="C43" s="32">
        <v>-0.28</v>
      </c>
      <c r="D43" s="56">
        <v>0.0</v>
      </c>
      <c r="E43" s="34" t="s">
        <v>62</v>
      </c>
      <c r="F43" s="21" t="s">
        <v>129</v>
      </c>
      <c r="G43" s="35" t="s">
        <v>69</v>
      </c>
      <c r="H43" s="21">
        <v>1.0</v>
      </c>
      <c r="I43" s="21">
        <v>549.0</v>
      </c>
      <c r="J43" s="35">
        <v>723.0</v>
      </c>
      <c r="K43" s="35">
        <v>621.0</v>
      </c>
      <c r="L43" s="21">
        <v>650.0</v>
      </c>
      <c r="M43" s="35">
        <v>18.4</v>
      </c>
      <c r="N43" s="21">
        <v>765.3</v>
      </c>
      <c r="O43" s="35">
        <v>39.4</v>
      </c>
      <c r="P43" s="21">
        <v>29.78</v>
      </c>
      <c r="Q43" s="21">
        <v>6.1</v>
      </c>
      <c r="R43" s="21">
        <v>2.78</v>
      </c>
      <c r="S43" s="21">
        <v>1.39</v>
      </c>
      <c r="T43" s="21">
        <v>1044.75</v>
      </c>
      <c r="U43" s="35">
        <v>20.48</v>
      </c>
      <c r="V43" s="21">
        <v>11.79</v>
      </c>
      <c r="W43" s="21">
        <v>15.96</v>
      </c>
      <c r="X43" s="35">
        <v>0.75</v>
      </c>
      <c r="Y43" s="21">
        <v>5.65</v>
      </c>
      <c r="Z43" s="21">
        <v>8.13</v>
      </c>
      <c r="AA43" s="21">
        <v>10.18</v>
      </c>
      <c r="AB43" s="21">
        <v>4.34</v>
      </c>
      <c r="AC43" s="21">
        <v>126.42</v>
      </c>
      <c r="AD43" s="21">
        <v>2.69</v>
      </c>
      <c r="AE43" s="21">
        <v>203.82</v>
      </c>
      <c r="AF43" s="23">
        <v>50.0</v>
      </c>
      <c r="AG43" s="23">
        <v>10.0</v>
      </c>
      <c r="AH43" s="23">
        <v>5.0</v>
      </c>
      <c r="AI43" s="23">
        <v>35.0</v>
      </c>
      <c r="AJ43" s="23">
        <v>30.0</v>
      </c>
    </row>
    <row r="44">
      <c r="A44" s="31">
        <v>45637.0</v>
      </c>
      <c r="B44" s="31">
        <v>45644.0</v>
      </c>
      <c r="C44" s="32">
        <v>-0.28</v>
      </c>
      <c r="D44" s="56">
        <v>0.0</v>
      </c>
      <c r="E44" s="34" t="s">
        <v>55</v>
      </c>
      <c r="F44" s="21" t="s">
        <v>130</v>
      </c>
      <c r="G44" s="35" t="s">
        <v>69</v>
      </c>
      <c r="H44" s="21">
        <v>10.0</v>
      </c>
      <c r="I44" s="21">
        <v>78.0</v>
      </c>
      <c r="J44" s="35">
        <v>224.0</v>
      </c>
      <c r="K44" s="35">
        <v>100.0</v>
      </c>
      <c r="L44" s="21">
        <v>104.0</v>
      </c>
      <c r="M44" s="35">
        <v>33.33</v>
      </c>
      <c r="N44" s="21">
        <v>111.95</v>
      </c>
      <c r="O44" s="35">
        <v>43.53</v>
      </c>
      <c r="P44" s="21">
        <v>85.11</v>
      </c>
      <c r="Q44" s="21">
        <v>17.34</v>
      </c>
      <c r="R44" s="21">
        <v>10.37</v>
      </c>
      <c r="S44" s="21">
        <v>2.43</v>
      </c>
      <c r="T44" s="21">
        <v>5923.74</v>
      </c>
      <c r="U44" s="35">
        <v>14.0</v>
      </c>
      <c r="V44" s="35">
        <v>9.0</v>
      </c>
      <c r="W44" s="21">
        <v>68.76</v>
      </c>
      <c r="X44" s="35">
        <v>0.19</v>
      </c>
      <c r="Y44" s="21">
        <v>5.18</v>
      </c>
      <c r="Z44" s="21">
        <v>8.18</v>
      </c>
      <c r="AA44" s="21">
        <v>6.23</v>
      </c>
      <c r="AB44" s="21">
        <v>1.02</v>
      </c>
      <c r="AC44" s="21">
        <v>76.13</v>
      </c>
      <c r="AD44" s="21">
        <v>1.13</v>
      </c>
      <c r="AE44" s="21">
        <v>69.19</v>
      </c>
      <c r="AF44" s="23">
        <v>50.0</v>
      </c>
      <c r="AG44" s="23">
        <v>10.0</v>
      </c>
      <c r="AH44" s="23">
        <v>5.0</v>
      </c>
      <c r="AI44" s="23">
        <v>35.0</v>
      </c>
      <c r="AJ44" s="23">
        <v>30.0</v>
      </c>
    </row>
    <row r="45">
      <c r="A45" s="31">
        <v>45625.0</v>
      </c>
      <c r="B45" s="31">
        <v>45632.0</v>
      </c>
      <c r="C45" s="32">
        <v>-0.03</v>
      </c>
      <c r="D45" s="56">
        <v>1.0</v>
      </c>
      <c r="E45" s="34" t="s">
        <v>62</v>
      </c>
      <c r="F45" s="21" t="s">
        <v>131</v>
      </c>
      <c r="G45" s="35" t="s">
        <v>49</v>
      </c>
      <c r="H45" s="21">
        <v>2.0</v>
      </c>
      <c r="I45" s="21">
        <v>352.0</v>
      </c>
      <c r="J45" s="35">
        <v>131.0</v>
      </c>
      <c r="K45" s="35">
        <v>454.0</v>
      </c>
      <c r="L45" s="21">
        <v>438.0</v>
      </c>
      <c r="M45" s="35">
        <v>-0.68</v>
      </c>
      <c r="N45" s="21">
        <v>441.0</v>
      </c>
      <c r="O45" s="35">
        <v>0.0</v>
      </c>
      <c r="P45" s="21">
        <v>2.76</v>
      </c>
      <c r="Q45" s="21">
        <v>0.56</v>
      </c>
      <c r="R45" s="21">
        <v>1.68</v>
      </c>
      <c r="S45" s="21">
        <v>1.76</v>
      </c>
      <c r="T45" s="21">
        <v>233.84</v>
      </c>
      <c r="U45" s="35">
        <v>33.65</v>
      </c>
      <c r="V45" s="21">
        <v>-11.16</v>
      </c>
      <c r="W45" s="21">
        <v>-2.35</v>
      </c>
      <c r="X45" s="21">
        <v>3.01</v>
      </c>
      <c r="Y45" s="21">
        <v>-4.97</v>
      </c>
      <c r="Z45" s="21">
        <v>-11.16</v>
      </c>
      <c r="AA45" s="21">
        <v>6.31</v>
      </c>
      <c r="AB45" s="21">
        <v>2.93</v>
      </c>
      <c r="AC45" s="21">
        <v>120.04</v>
      </c>
      <c r="AD45" s="21">
        <v>-20.4</v>
      </c>
      <c r="AE45" s="21">
        <v>-17.25</v>
      </c>
      <c r="AF45" s="23">
        <v>50.0</v>
      </c>
      <c r="AG45" s="23">
        <v>10.0</v>
      </c>
      <c r="AH45" s="23">
        <v>5.0</v>
      </c>
      <c r="AI45" s="23">
        <v>35.0</v>
      </c>
      <c r="AJ45" s="23">
        <v>30.0</v>
      </c>
    </row>
    <row r="46">
      <c r="A46" s="31">
        <v>45618.0</v>
      </c>
      <c r="B46" s="31">
        <v>45625.0</v>
      </c>
      <c r="C46" s="32">
        <v>0.37</v>
      </c>
      <c r="D46" s="56">
        <v>0.0</v>
      </c>
      <c r="E46" s="34" t="s">
        <v>55</v>
      </c>
      <c r="F46" s="21" t="s">
        <v>132</v>
      </c>
      <c r="G46" s="35" t="s">
        <v>49</v>
      </c>
      <c r="H46" s="21">
        <v>10.0</v>
      </c>
      <c r="I46" s="21">
        <v>203.0</v>
      </c>
      <c r="J46" s="35">
        <v>574.0</v>
      </c>
      <c r="K46" s="35">
        <v>205.0</v>
      </c>
      <c r="L46" s="21">
        <v>220.0</v>
      </c>
      <c r="M46" s="35">
        <v>48.65</v>
      </c>
      <c r="N46" s="21">
        <v>207.07</v>
      </c>
      <c r="O46" s="35">
        <v>39.91</v>
      </c>
      <c r="P46" s="21">
        <v>13.91</v>
      </c>
      <c r="Q46" s="21">
        <v>77.86</v>
      </c>
      <c r="R46" s="21">
        <v>91.69</v>
      </c>
      <c r="S46" s="21">
        <v>39.79</v>
      </c>
      <c r="T46" s="21">
        <v>155.81</v>
      </c>
      <c r="U46" s="35">
        <v>23.2</v>
      </c>
      <c r="V46" s="21">
        <v>8.48</v>
      </c>
      <c r="W46" s="21">
        <v>8.97</v>
      </c>
      <c r="X46" s="21">
        <v>0.91</v>
      </c>
      <c r="Y46" s="21">
        <v>13.52</v>
      </c>
      <c r="Z46" s="21">
        <v>9.57</v>
      </c>
      <c r="AA46" s="21">
        <v>4.68</v>
      </c>
      <c r="AB46" s="21">
        <v>16.84</v>
      </c>
      <c r="AC46" s="21">
        <v>12.06</v>
      </c>
      <c r="AD46" s="21">
        <v>12.2</v>
      </c>
      <c r="AE46" s="21">
        <v>16.63</v>
      </c>
      <c r="AF46" s="23">
        <v>49.89</v>
      </c>
      <c r="AG46" s="23">
        <v>9.98</v>
      </c>
      <c r="AH46" s="23">
        <v>4.99</v>
      </c>
      <c r="AI46" s="23">
        <v>34.92</v>
      </c>
      <c r="AJ46" s="23">
        <v>29.93</v>
      </c>
    </row>
    <row r="47">
      <c r="A47" s="31">
        <v>45615.0</v>
      </c>
      <c r="B47" s="31">
        <v>45623.0</v>
      </c>
      <c r="C47" s="32">
        <v>0.02</v>
      </c>
      <c r="D47" s="56">
        <v>1.0</v>
      </c>
      <c r="E47" s="34" t="s">
        <v>94</v>
      </c>
      <c r="F47" s="21" t="s">
        <v>133</v>
      </c>
      <c r="G47" s="35" t="s">
        <v>49</v>
      </c>
      <c r="H47" s="21">
        <v>10.0</v>
      </c>
      <c r="I47" s="21">
        <v>1503.0</v>
      </c>
      <c r="J47" s="35">
        <v>11.0</v>
      </c>
      <c r="K47" s="35">
        <v>109.0</v>
      </c>
      <c r="L47" s="21">
        <v>111.5</v>
      </c>
      <c r="M47" s="35">
        <v>3.24</v>
      </c>
      <c r="N47" s="21">
        <v>122.1</v>
      </c>
      <c r="O47" s="35">
        <v>13.06</v>
      </c>
      <c r="P47" s="21">
        <v>215.03</v>
      </c>
      <c r="Q47" s="21">
        <v>71.32</v>
      </c>
      <c r="R47" s="21">
        <v>53.1</v>
      </c>
      <c r="S47" s="21">
        <v>11.27</v>
      </c>
      <c r="T47" s="21">
        <v>4471.71</v>
      </c>
      <c r="U47" s="35">
        <v>88.9</v>
      </c>
      <c r="V47" s="21">
        <v>8.79</v>
      </c>
      <c r="W47" s="21">
        <v>9.45</v>
      </c>
      <c r="X47" s="21">
        <v>0.06</v>
      </c>
      <c r="Y47" s="21">
        <v>11.47</v>
      </c>
      <c r="Z47" s="21">
        <v>8.81</v>
      </c>
      <c r="AA47" s="21">
        <v>8.84</v>
      </c>
      <c r="AB47" s="21">
        <v>48.69</v>
      </c>
      <c r="AC47" s="21">
        <v>30.87</v>
      </c>
      <c r="AD47" s="21">
        <v>56.16</v>
      </c>
      <c r="AE47" s="21">
        <v>26.76</v>
      </c>
      <c r="AF47" s="23">
        <v>65.94</v>
      </c>
      <c r="AG47" s="23">
        <v>8.79</v>
      </c>
      <c r="AH47" s="23">
        <v>4.4</v>
      </c>
      <c r="AI47" s="23">
        <v>8.79</v>
      </c>
      <c r="AJ47" s="23">
        <v>39.56</v>
      </c>
    </row>
    <row r="48">
      <c r="A48" s="31">
        <v>45609.0</v>
      </c>
      <c r="B48" s="31">
        <v>45618.0</v>
      </c>
      <c r="C48" s="32">
        <v>0.63</v>
      </c>
      <c r="D48" s="56">
        <v>-1.0</v>
      </c>
      <c r="E48" s="34" t="s">
        <v>55</v>
      </c>
      <c r="F48" s="21" t="s">
        <v>134</v>
      </c>
      <c r="G48" s="35" t="s">
        <v>49</v>
      </c>
      <c r="H48" s="21">
        <v>1.0</v>
      </c>
      <c r="I48" s="21">
        <v>1960.0</v>
      </c>
      <c r="J48" s="35">
        <v>1.0</v>
      </c>
      <c r="K48" s="35">
        <v>273.0</v>
      </c>
      <c r="L48" s="21">
        <v>280.9</v>
      </c>
      <c r="M48" s="35">
        <v>2.89</v>
      </c>
      <c r="N48" s="21">
        <v>260.2</v>
      </c>
      <c r="O48" s="35">
        <v>-4.69</v>
      </c>
      <c r="P48" s="21">
        <v>6.97</v>
      </c>
      <c r="Q48" s="21">
        <v>0.58</v>
      </c>
      <c r="R48" s="21">
        <v>0.65</v>
      </c>
      <c r="S48" s="21">
        <v>0.5</v>
      </c>
      <c r="T48" s="21">
        <v>12148.71</v>
      </c>
      <c r="U48" s="35">
        <v>53.4</v>
      </c>
      <c r="V48" s="35">
        <v>0.0</v>
      </c>
      <c r="W48" s="21">
        <v>13.69</v>
      </c>
      <c r="X48" s="35">
        <v>0.56</v>
      </c>
      <c r="Y48" s="35">
        <v>-56.0</v>
      </c>
      <c r="Z48" s="21">
        <v>12.26</v>
      </c>
      <c r="AA48" s="21">
        <v>14.93</v>
      </c>
      <c r="AB48" s="21">
        <v>74.58</v>
      </c>
      <c r="AC48" s="21">
        <v>26.28</v>
      </c>
      <c r="AD48" s="21">
        <v>73.33</v>
      </c>
      <c r="AE48" s="21">
        <v>26.73</v>
      </c>
      <c r="AF48" s="23">
        <v>74.95</v>
      </c>
      <c r="AG48" s="23">
        <v>9.99</v>
      </c>
      <c r="AH48" s="23">
        <v>5.0</v>
      </c>
      <c r="AI48" s="23">
        <v>9.99</v>
      </c>
      <c r="AJ48" s="23">
        <v>44.97</v>
      </c>
    </row>
    <row r="49">
      <c r="A49" s="31">
        <v>45603.0</v>
      </c>
      <c r="B49" s="31">
        <v>45610.0</v>
      </c>
      <c r="C49" s="32">
        <v>0.16</v>
      </c>
      <c r="D49" s="56">
        <v>-1.0</v>
      </c>
      <c r="E49" s="34" t="s">
        <v>209</v>
      </c>
      <c r="F49" s="21" t="s">
        <v>135</v>
      </c>
      <c r="G49" s="35" t="s">
        <v>69</v>
      </c>
      <c r="H49" s="21">
        <v>10.0</v>
      </c>
      <c r="I49" s="21">
        <v>95.0</v>
      </c>
      <c r="J49" s="35">
        <v>11.0</v>
      </c>
      <c r="K49" s="35">
        <v>75.0</v>
      </c>
      <c r="L49" s="21">
        <v>78.14</v>
      </c>
      <c r="M49" s="35">
        <v>5.59</v>
      </c>
      <c r="N49" s="21">
        <v>74.0</v>
      </c>
      <c r="O49" s="35">
        <v>0.0</v>
      </c>
      <c r="P49" s="21">
        <v>1.24</v>
      </c>
      <c r="Q49" s="21">
        <v>7.93</v>
      </c>
      <c r="R49" s="21">
        <v>11.23</v>
      </c>
      <c r="S49" s="21">
        <v>10.81</v>
      </c>
      <c r="T49" s="21">
        <v>122.51</v>
      </c>
      <c r="U49" s="35">
        <v>4.7</v>
      </c>
      <c r="V49" s="21">
        <v>36.14</v>
      </c>
      <c r="W49" s="21">
        <v>46.69</v>
      </c>
      <c r="X49" s="35">
        <v>0.12</v>
      </c>
      <c r="Y49" s="21">
        <v>23.63</v>
      </c>
      <c r="Z49" s="21">
        <v>30.62</v>
      </c>
      <c r="AA49" s="21">
        <v>5.97</v>
      </c>
      <c r="AB49" s="21">
        <v>4.87</v>
      </c>
      <c r="AC49" s="21">
        <v>19.49</v>
      </c>
      <c r="AD49" s="21">
        <v>4.52</v>
      </c>
      <c r="AE49" s="21">
        <v>21.03</v>
      </c>
      <c r="AF49" s="23">
        <v>75.0</v>
      </c>
      <c r="AG49" s="23">
        <v>10.0</v>
      </c>
      <c r="AH49" s="23">
        <v>5.0</v>
      </c>
      <c r="AI49" s="23">
        <v>10.0</v>
      </c>
      <c r="AJ49" s="23">
        <v>45.0</v>
      </c>
    </row>
    <row r="50">
      <c r="A50" s="31">
        <v>45602.0</v>
      </c>
      <c r="B50" s="31">
        <v>45609.0</v>
      </c>
      <c r="C50" s="32">
        <v>-0.24</v>
      </c>
      <c r="D50" s="56">
        <v>-1.0</v>
      </c>
      <c r="E50" s="34" t="s">
        <v>94</v>
      </c>
      <c r="F50" s="21" t="s">
        <v>136</v>
      </c>
      <c r="G50" s="35" t="s">
        <v>49</v>
      </c>
      <c r="H50" s="21">
        <v>2.0</v>
      </c>
      <c r="I50" s="21">
        <v>168.0</v>
      </c>
      <c r="J50" s="35">
        <v>-41.0</v>
      </c>
      <c r="K50" s="35">
        <v>285.0</v>
      </c>
      <c r="L50" s="21">
        <v>251.0</v>
      </c>
      <c r="M50" s="35">
        <v>-13.15</v>
      </c>
      <c r="N50" s="21">
        <v>253.5</v>
      </c>
      <c r="O50" s="35">
        <v>-12.28</v>
      </c>
      <c r="P50" s="21">
        <v>95.74</v>
      </c>
      <c r="Q50" s="21">
        <v>203.34</v>
      </c>
      <c r="R50" s="21">
        <v>216.13</v>
      </c>
      <c r="S50" s="21">
        <v>85.61</v>
      </c>
      <c r="T50" s="21">
        <v>190.7</v>
      </c>
      <c r="U50" s="35">
        <v>82.6</v>
      </c>
      <c r="V50" s="21">
        <v>18.52</v>
      </c>
      <c r="W50" s="21">
        <v>20.63</v>
      </c>
      <c r="X50" s="21">
        <v>0.18</v>
      </c>
      <c r="Y50" s="21">
        <v>10.79</v>
      </c>
      <c r="Z50" s="21">
        <v>18.52</v>
      </c>
      <c r="AA50" s="21">
        <v>2.47</v>
      </c>
      <c r="AB50" s="21">
        <v>10.99</v>
      </c>
      <c r="AC50" s="21">
        <v>15.28</v>
      </c>
      <c r="AD50" s="21">
        <v>8.23</v>
      </c>
      <c r="AE50" s="21">
        <v>20.41</v>
      </c>
      <c r="AF50" s="23">
        <v>74.71</v>
      </c>
      <c r="AG50" s="23">
        <v>9.96</v>
      </c>
      <c r="AH50" s="23">
        <v>4.98</v>
      </c>
      <c r="AI50" s="23">
        <v>9.96</v>
      </c>
      <c r="AJ50" s="23">
        <v>44.83</v>
      </c>
    </row>
    <row r="51">
      <c r="A51" s="31">
        <v>45602.0</v>
      </c>
      <c r="B51" s="31">
        <v>45609.0</v>
      </c>
      <c r="C51" s="32">
        <v>-0.24</v>
      </c>
      <c r="D51" s="56">
        <v>-1.0</v>
      </c>
      <c r="E51" s="34" t="s">
        <v>55</v>
      </c>
      <c r="F51" s="21" t="s">
        <v>137</v>
      </c>
      <c r="G51" s="35" t="s">
        <v>77</v>
      </c>
      <c r="H51" s="21">
        <v>1.0</v>
      </c>
      <c r="I51" s="21">
        <v>220.0</v>
      </c>
      <c r="J51" s="35">
        <v>1.0</v>
      </c>
      <c r="K51" s="35">
        <v>390.0</v>
      </c>
      <c r="L51" s="21">
        <v>420.0</v>
      </c>
      <c r="M51" s="35">
        <v>7.69</v>
      </c>
      <c r="N51" s="21">
        <v>456.0</v>
      </c>
      <c r="O51" s="35">
        <v>16.92</v>
      </c>
      <c r="P51" s="21">
        <v>253.04</v>
      </c>
      <c r="Q51" s="21">
        <v>445.31</v>
      </c>
      <c r="R51" s="21">
        <v>401.01</v>
      </c>
      <c r="S51" s="21">
        <v>96.74</v>
      </c>
      <c r="T51" s="21">
        <v>131.65</v>
      </c>
      <c r="U51" s="35">
        <v>-16.0</v>
      </c>
      <c r="V51" s="21">
        <v>40.86</v>
      </c>
      <c r="W51" s="21">
        <v>31.21</v>
      </c>
      <c r="X51" s="21">
        <v>0.45</v>
      </c>
      <c r="Y51" s="21">
        <v>12.67</v>
      </c>
      <c r="Z51" s="21">
        <v>29.68</v>
      </c>
      <c r="AA51" s="35">
        <v>0.0</v>
      </c>
      <c r="AB51" s="21">
        <v>8.88</v>
      </c>
      <c r="AC51" s="21">
        <v>24.78</v>
      </c>
      <c r="AD51" s="21">
        <v>6.56</v>
      </c>
      <c r="AE51" s="21">
        <v>33.52</v>
      </c>
      <c r="AF51" s="23">
        <v>74.81</v>
      </c>
      <c r="AG51" s="23">
        <v>9.97</v>
      </c>
      <c r="AH51" s="23">
        <v>4.99</v>
      </c>
      <c r="AI51" s="23">
        <v>9.97</v>
      </c>
      <c r="AJ51" s="23">
        <v>44.88</v>
      </c>
    </row>
    <row r="52">
      <c r="A52" s="31">
        <v>45601.0</v>
      </c>
      <c r="B52" s="31">
        <v>45608.0</v>
      </c>
      <c r="C52" s="32">
        <v>0.35</v>
      </c>
      <c r="D52" s="56">
        <v>-1.0</v>
      </c>
      <c r="E52" s="34" t="s">
        <v>62</v>
      </c>
      <c r="F52" s="21" t="s">
        <v>138</v>
      </c>
      <c r="G52" s="35" t="s">
        <v>49</v>
      </c>
      <c r="H52" s="21">
        <v>10.0</v>
      </c>
      <c r="I52" s="21">
        <v>120.0</v>
      </c>
      <c r="J52" s="35">
        <v>0.301</v>
      </c>
      <c r="K52" s="35">
        <v>30.3</v>
      </c>
      <c r="L52" s="21">
        <v>31.06</v>
      </c>
      <c r="M52" s="35">
        <v>3.53</v>
      </c>
      <c r="N52" s="21">
        <v>29.36</v>
      </c>
      <c r="O52" s="35">
        <v>-2.13</v>
      </c>
      <c r="P52" s="21">
        <v>148.55</v>
      </c>
      <c r="Q52" s="21">
        <v>546.56</v>
      </c>
      <c r="R52" s="21">
        <v>441.73</v>
      </c>
      <c r="S52" s="21">
        <v>143.95</v>
      </c>
      <c r="T52" s="21">
        <v>200.61</v>
      </c>
      <c r="U52" s="37">
        <v>23.48</v>
      </c>
      <c r="V52" s="21">
        <v>21.36</v>
      </c>
      <c r="W52" s="21">
        <v>19.39</v>
      </c>
      <c r="X52" s="21">
        <v>3.75</v>
      </c>
      <c r="Y52" s="37">
        <v>4.8</v>
      </c>
      <c r="Z52" s="21">
        <v>15.66</v>
      </c>
      <c r="AA52" s="21">
        <v>2.25</v>
      </c>
      <c r="AB52" s="21">
        <v>8.34</v>
      </c>
      <c r="AC52" s="21">
        <v>14.39</v>
      </c>
      <c r="AD52" s="21">
        <v>6.25</v>
      </c>
      <c r="AE52" s="21">
        <v>19.19</v>
      </c>
      <c r="AF52" s="23">
        <v>74.8</v>
      </c>
      <c r="AG52" s="23">
        <v>9.97</v>
      </c>
      <c r="AH52" s="23">
        <v>4.99</v>
      </c>
      <c r="AI52" s="23">
        <v>9.97</v>
      </c>
      <c r="AJ52" s="23">
        <v>44.88</v>
      </c>
    </row>
    <row r="53">
      <c r="A53" s="31">
        <v>45590.0</v>
      </c>
      <c r="B53" s="31">
        <v>45600.0</v>
      </c>
      <c r="C53" s="39">
        <v>0.21</v>
      </c>
      <c r="D53" s="39">
        <v>-1.0</v>
      </c>
      <c r="E53" s="34" t="s">
        <v>78</v>
      </c>
      <c r="F53" s="21" t="s">
        <v>139</v>
      </c>
      <c r="G53" s="35" t="s">
        <v>69</v>
      </c>
      <c r="H53" s="21">
        <v>10.0</v>
      </c>
      <c r="I53" s="21">
        <v>263.0</v>
      </c>
      <c r="J53" s="35">
        <v>151.0</v>
      </c>
      <c r="K53" s="35">
        <v>478.0</v>
      </c>
      <c r="L53" s="21">
        <v>426.0</v>
      </c>
      <c r="M53" s="35">
        <v>-7.99</v>
      </c>
      <c r="N53" s="21">
        <v>474.55</v>
      </c>
      <c r="O53" s="35">
        <v>2.49</v>
      </c>
      <c r="P53" s="21">
        <v>242.73</v>
      </c>
      <c r="Q53" s="21">
        <v>160.48</v>
      </c>
      <c r="R53" s="21">
        <v>121.79</v>
      </c>
      <c r="S53" s="21">
        <v>32.01</v>
      </c>
      <c r="T53" s="35">
        <v>3662.0</v>
      </c>
      <c r="U53" s="35">
        <v>10.87</v>
      </c>
      <c r="V53" s="35">
        <v>13.0</v>
      </c>
      <c r="W53" s="35">
        <v>20.0</v>
      </c>
      <c r="X53" s="21">
        <v>3.9</v>
      </c>
      <c r="Y53" s="35">
        <v>3.25</v>
      </c>
      <c r="Z53" s="21">
        <v>13.32</v>
      </c>
      <c r="AA53" s="21">
        <v>1.49</v>
      </c>
      <c r="AB53" s="21">
        <v>22.32</v>
      </c>
      <c r="AC53" s="21">
        <v>11.78</v>
      </c>
      <c r="AD53" s="21">
        <v>19.69</v>
      </c>
      <c r="AE53" s="21">
        <v>13.36</v>
      </c>
      <c r="AF53" s="23">
        <v>49.75</v>
      </c>
      <c r="AG53" s="23">
        <v>9.95</v>
      </c>
      <c r="AH53" s="23">
        <v>4.97</v>
      </c>
      <c r="AI53" s="23">
        <v>34.82</v>
      </c>
      <c r="AJ53" s="23">
        <v>29.85</v>
      </c>
    </row>
    <row r="54">
      <c r="A54" s="31">
        <v>45588.0</v>
      </c>
      <c r="B54" s="31">
        <v>45595.0</v>
      </c>
      <c r="C54" s="32">
        <v>-0.23</v>
      </c>
      <c r="D54" s="56">
        <v>-1.0</v>
      </c>
      <c r="E54" s="34" t="s">
        <v>81</v>
      </c>
      <c r="F54" s="21" t="s">
        <v>140</v>
      </c>
      <c r="G54" s="35" t="s">
        <v>69</v>
      </c>
      <c r="H54" s="21">
        <v>10.0</v>
      </c>
      <c r="I54" s="21">
        <v>128.0</v>
      </c>
      <c r="J54" s="35">
        <v>51.0</v>
      </c>
      <c r="K54" s="35">
        <v>357.0</v>
      </c>
      <c r="L54" s="21">
        <v>308.0</v>
      </c>
      <c r="M54" s="35">
        <v>-12.5</v>
      </c>
      <c r="N54" s="21">
        <v>343.2</v>
      </c>
      <c r="O54" s="35">
        <v>-2.5</v>
      </c>
      <c r="P54" s="21">
        <v>172.6</v>
      </c>
      <c r="Q54" s="21">
        <v>169.95</v>
      </c>
      <c r="R54" s="21">
        <v>176.76</v>
      </c>
      <c r="S54" s="21">
        <v>53.78</v>
      </c>
      <c r="T54" s="21">
        <v>323.4</v>
      </c>
      <c r="U54" s="35">
        <v>8.77</v>
      </c>
      <c r="V54" s="21">
        <v>46.9</v>
      </c>
      <c r="W54" s="21">
        <v>47.34</v>
      </c>
      <c r="X54" s="21">
        <v>0.21</v>
      </c>
      <c r="Y54" s="21">
        <v>19.35</v>
      </c>
      <c r="Z54" s="21">
        <v>46.9</v>
      </c>
      <c r="AA54" s="21">
        <v>6.02</v>
      </c>
      <c r="AB54" s="21">
        <v>7.99</v>
      </c>
      <c r="AC54" s="21">
        <v>16.01</v>
      </c>
      <c r="AD54" s="21">
        <v>6.61</v>
      </c>
      <c r="AE54" s="21">
        <v>19.35</v>
      </c>
      <c r="AF54" s="23">
        <v>50.0</v>
      </c>
      <c r="AG54" s="23">
        <v>10.0</v>
      </c>
      <c r="AH54" s="23">
        <v>5.0</v>
      </c>
      <c r="AI54" s="23">
        <v>35.0</v>
      </c>
      <c r="AJ54" s="23">
        <v>30.0</v>
      </c>
    </row>
    <row r="55">
      <c r="A55" s="31">
        <v>45586.0</v>
      </c>
      <c r="B55" s="31">
        <v>45593.0</v>
      </c>
      <c r="C55" s="32">
        <v>0.31</v>
      </c>
      <c r="D55" s="56">
        <v>-1.0</v>
      </c>
      <c r="E55" s="34" t="s">
        <v>78</v>
      </c>
      <c r="F55" s="21" t="s">
        <v>141</v>
      </c>
      <c r="G55" s="35" t="s">
        <v>49</v>
      </c>
      <c r="H55" s="21">
        <v>10.0</v>
      </c>
      <c r="I55" s="21">
        <v>172.0</v>
      </c>
      <c r="J55" s="35">
        <v>323.0</v>
      </c>
      <c r="K55" s="35">
        <v>235.0</v>
      </c>
      <c r="L55" s="21">
        <v>200.0</v>
      </c>
      <c r="M55" s="35">
        <v>-1.48</v>
      </c>
      <c r="N55" s="21">
        <v>161.95</v>
      </c>
      <c r="O55" s="35">
        <v>-20.22</v>
      </c>
      <c r="P55" s="21">
        <v>28.81</v>
      </c>
      <c r="Q55" s="21">
        <v>41.65</v>
      </c>
      <c r="R55" s="21">
        <v>56.73</v>
      </c>
      <c r="S55" s="21">
        <v>26.92</v>
      </c>
      <c r="T55" s="21">
        <v>398.36</v>
      </c>
      <c r="U55" s="35">
        <v>22.98</v>
      </c>
      <c r="V55" s="21">
        <v>22.41</v>
      </c>
      <c r="W55" s="21">
        <v>29.23</v>
      </c>
      <c r="X55" s="21">
        <v>0.67</v>
      </c>
      <c r="Y55" s="35">
        <v>11.81</v>
      </c>
      <c r="Z55" s="21">
        <v>20.17</v>
      </c>
      <c r="AA55" s="21">
        <v>3.4</v>
      </c>
      <c r="AB55" s="21">
        <v>10.21</v>
      </c>
      <c r="AC55" s="21">
        <v>16.85</v>
      </c>
      <c r="AD55" s="21">
        <v>7.88</v>
      </c>
      <c r="AE55" s="21">
        <v>21.83</v>
      </c>
      <c r="AF55" s="23">
        <v>50.0</v>
      </c>
      <c r="AG55" s="23">
        <v>10.0</v>
      </c>
      <c r="AH55" s="23">
        <v>5.0</v>
      </c>
      <c r="AI55" s="23">
        <v>35.0</v>
      </c>
      <c r="AJ55" s="23">
        <v>30.0</v>
      </c>
    </row>
    <row r="56">
      <c r="A56" s="31">
        <v>45586.0</v>
      </c>
      <c r="B56" s="31">
        <v>45593.0</v>
      </c>
      <c r="C56" s="32">
        <v>0.31</v>
      </c>
      <c r="D56" s="56">
        <v>-1.0</v>
      </c>
      <c r="E56" s="34" t="s">
        <v>94</v>
      </c>
      <c r="F56" s="21" t="s">
        <v>142</v>
      </c>
      <c r="G56" s="35" t="s">
        <v>69</v>
      </c>
      <c r="H56" s="21">
        <v>10.0</v>
      </c>
      <c r="I56" s="21">
        <v>480.0</v>
      </c>
      <c r="J56" s="35">
        <v>12955.0</v>
      </c>
      <c r="K56" s="35">
        <v>2798.0</v>
      </c>
      <c r="L56" s="21">
        <v>2500.0</v>
      </c>
      <c r="M56" s="35">
        <v>66.33</v>
      </c>
      <c r="N56" s="21">
        <v>2338.9</v>
      </c>
      <c r="O56" s="35">
        <v>55.62</v>
      </c>
      <c r="P56" s="21">
        <v>136.85</v>
      </c>
      <c r="Q56" s="21">
        <v>59.11</v>
      </c>
      <c r="R56" s="21">
        <v>50.03</v>
      </c>
      <c r="S56" s="21">
        <v>16.58</v>
      </c>
      <c r="T56" s="21">
        <v>534.38</v>
      </c>
      <c r="U56" s="35">
        <v>15.56</v>
      </c>
      <c r="V56" s="21">
        <v>28.88</v>
      </c>
      <c r="W56" s="21">
        <v>27.31</v>
      </c>
      <c r="X56" s="21">
        <v>0.74</v>
      </c>
      <c r="Y56" s="21">
        <v>2.53</v>
      </c>
      <c r="Z56" s="21">
        <v>28.88</v>
      </c>
      <c r="AA56" s="21">
        <v>10.6</v>
      </c>
      <c r="AB56" s="21">
        <v>13.08</v>
      </c>
      <c r="AC56" s="21">
        <v>36.7</v>
      </c>
      <c r="AD56" s="21">
        <v>11.37</v>
      </c>
      <c r="AE56" s="21">
        <v>42.2</v>
      </c>
      <c r="AF56" s="23">
        <v>49.25</v>
      </c>
      <c r="AG56" s="23">
        <v>9.85</v>
      </c>
      <c r="AH56" s="23">
        <v>4.92</v>
      </c>
      <c r="AI56" s="23">
        <v>34.47</v>
      </c>
      <c r="AJ56" s="23">
        <v>29.55</v>
      </c>
    </row>
    <row r="57">
      <c r="A57" s="31">
        <v>45580.0</v>
      </c>
      <c r="B57" s="31">
        <v>45587.0</v>
      </c>
      <c r="C57" s="32">
        <v>0.56</v>
      </c>
      <c r="D57" s="56">
        <v>-1.0</v>
      </c>
      <c r="E57" s="34" t="s">
        <v>98</v>
      </c>
      <c r="F57" s="21" t="s">
        <v>143</v>
      </c>
      <c r="G57" s="35" t="s">
        <v>77</v>
      </c>
      <c r="H57" s="21">
        <v>10.0</v>
      </c>
      <c r="I57" s="21">
        <v>240.0</v>
      </c>
      <c r="J57" s="35">
        <v>621.0</v>
      </c>
      <c r="K57" s="35">
        <v>2022.0</v>
      </c>
      <c r="L57" s="21">
        <v>1934.0</v>
      </c>
      <c r="M57" s="35">
        <v>-1.33</v>
      </c>
      <c r="N57" s="21">
        <v>1820.4</v>
      </c>
      <c r="O57" s="35">
        <v>-7.12</v>
      </c>
      <c r="P57" s="21">
        <v>24.55</v>
      </c>
      <c r="Q57" s="21">
        <v>23.21</v>
      </c>
      <c r="R57" s="21">
        <v>23.77</v>
      </c>
      <c r="S57" s="21">
        <v>11.26</v>
      </c>
      <c r="T57" s="21">
        <v>146.81</v>
      </c>
      <c r="U57" s="35">
        <v>13.0</v>
      </c>
      <c r="V57" s="21">
        <v>30.57</v>
      </c>
      <c r="W57" s="21">
        <v>28.15</v>
      </c>
      <c r="X57" s="21">
        <v>0.8</v>
      </c>
      <c r="Y57" s="21">
        <v>7.22</v>
      </c>
      <c r="Z57" s="21">
        <v>30.57</v>
      </c>
      <c r="AA57" s="21">
        <v>8.84</v>
      </c>
      <c r="AB57" s="21">
        <v>8.3</v>
      </c>
      <c r="AC57" s="21">
        <v>28.93</v>
      </c>
      <c r="AD57" s="21">
        <v>6.96</v>
      </c>
      <c r="AE57" s="21">
        <v>34.5</v>
      </c>
      <c r="AF57" s="23">
        <v>49.73</v>
      </c>
      <c r="AG57" s="23">
        <v>9.95</v>
      </c>
      <c r="AH57" s="23">
        <v>4.97</v>
      </c>
      <c r="AI57" s="23">
        <v>34.81</v>
      </c>
      <c r="AJ57" s="23">
        <v>29.84</v>
      </c>
    </row>
    <row r="58">
      <c r="A58" s="31">
        <v>45573.0</v>
      </c>
      <c r="B58" s="31">
        <v>45580.0</v>
      </c>
      <c r="C58" s="32">
        <v>-0.24</v>
      </c>
      <c r="D58" s="56">
        <v>-1.0</v>
      </c>
      <c r="E58" s="34" t="s">
        <v>78</v>
      </c>
      <c r="F58" s="21" t="s">
        <v>144</v>
      </c>
      <c r="G58" s="35" t="s">
        <v>49</v>
      </c>
      <c r="H58" s="21">
        <v>5.0</v>
      </c>
      <c r="I58" s="21">
        <v>226.0</v>
      </c>
      <c r="J58" s="35">
        <v>1.0</v>
      </c>
      <c r="K58" s="35">
        <v>95.0</v>
      </c>
      <c r="L58" s="21">
        <v>105.0</v>
      </c>
      <c r="M58" s="35">
        <v>10.53</v>
      </c>
      <c r="N58" s="21">
        <v>106.83</v>
      </c>
      <c r="O58" s="35">
        <v>12.45</v>
      </c>
      <c r="P58" s="21">
        <v>26.72</v>
      </c>
      <c r="Q58" s="21">
        <v>26.39</v>
      </c>
      <c r="R58" s="21">
        <v>33.63</v>
      </c>
      <c r="S58" s="21">
        <v>22.45</v>
      </c>
      <c r="T58" s="21">
        <v>100.53</v>
      </c>
      <c r="U58" s="35">
        <v>32.0</v>
      </c>
      <c r="V58" s="21">
        <v>25.87</v>
      </c>
      <c r="W58" s="21">
        <v>36.08</v>
      </c>
      <c r="X58" s="21">
        <v>0.78</v>
      </c>
      <c r="Y58" s="21">
        <v>11.45</v>
      </c>
      <c r="Z58" s="21">
        <v>25.87</v>
      </c>
      <c r="AA58" s="21">
        <v>6.14</v>
      </c>
      <c r="AB58" s="21">
        <v>8.48</v>
      </c>
      <c r="AC58" s="21">
        <v>26.64</v>
      </c>
      <c r="AD58" s="21">
        <v>6.58</v>
      </c>
      <c r="AE58" s="21">
        <v>34.33</v>
      </c>
      <c r="AF58" s="23">
        <v>50.0</v>
      </c>
      <c r="AG58" s="23">
        <v>10.0</v>
      </c>
      <c r="AH58" s="23">
        <v>5.0</v>
      </c>
      <c r="AI58" s="23">
        <v>35.0</v>
      </c>
      <c r="AJ58" s="23">
        <v>30.0</v>
      </c>
    </row>
    <row r="59">
      <c r="A59" s="31">
        <v>45561.0</v>
      </c>
      <c r="B59" s="31">
        <v>45569.0</v>
      </c>
      <c r="C59" s="32">
        <v>0.1</v>
      </c>
      <c r="D59" s="56">
        <v>0.0</v>
      </c>
      <c r="E59" s="34" t="s">
        <v>78</v>
      </c>
      <c r="F59" s="21" t="s">
        <v>145</v>
      </c>
      <c r="G59" s="35" t="s">
        <v>49</v>
      </c>
      <c r="H59" s="21">
        <v>10.0</v>
      </c>
      <c r="I59" s="21">
        <v>70.0</v>
      </c>
      <c r="J59" s="35">
        <v>584.0</v>
      </c>
      <c r="K59" s="35">
        <v>226.0</v>
      </c>
      <c r="L59" s="21">
        <v>193.5</v>
      </c>
      <c r="M59" s="35">
        <v>15.18</v>
      </c>
      <c r="N59" s="21">
        <v>203.17</v>
      </c>
      <c r="O59" s="35">
        <v>20.93</v>
      </c>
      <c r="P59" s="21">
        <v>222.05</v>
      </c>
      <c r="Q59" s="21">
        <v>50.53</v>
      </c>
      <c r="R59" s="21">
        <v>30.88</v>
      </c>
      <c r="S59" s="21">
        <v>7.41</v>
      </c>
      <c r="T59" s="21">
        <v>14719.91</v>
      </c>
      <c r="U59" s="35">
        <v>17.04</v>
      </c>
      <c r="V59" s="35">
        <v>18.52</v>
      </c>
      <c r="W59" s="35">
        <v>20.6</v>
      </c>
      <c r="X59" s="21">
        <v>5.7</v>
      </c>
      <c r="Y59" s="35">
        <v>10.79</v>
      </c>
      <c r="Z59" s="21">
        <v>3.6</v>
      </c>
      <c r="AA59" s="21">
        <v>3.72</v>
      </c>
      <c r="AB59" s="21">
        <v>2.21</v>
      </c>
      <c r="AC59" s="21">
        <v>31.62</v>
      </c>
      <c r="AD59" s="21">
        <v>2.32</v>
      </c>
      <c r="AE59" s="21">
        <v>30.2</v>
      </c>
      <c r="AF59" s="23">
        <v>49.73</v>
      </c>
      <c r="AG59" s="23">
        <v>9.95</v>
      </c>
      <c r="AH59" s="23">
        <v>4.97</v>
      </c>
      <c r="AI59" s="23">
        <v>34.81</v>
      </c>
      <c r="AJ59" s="23">
        <v>29.84</v>
      </c>
    </row>
    <row r="60">
      <c r="A60" s="31">
        <v>45560.0</v>
      </c>
      <c r="B60" s="31">
        <v>45568.0</v>
      </c>
      <c r="C60" s="32">
        <v>-0.97</v>
      </c>
      <c r="D60" s="56">
        <v>0.0</v>
      </c>
      <c r="E60" s="34" t="s">
        <v>47</v>
      </c>
      <c r="F60" s="21" t="s">
        <v>146</v>
      </c>
      <c r="G60" s="35" t="s">
        <v>49</v>
      </c>
      <c r="H60" s="21">
        <v>10.0</v>
      </c>
      <c r="I60" s="21">
        <v>83.0</v>
      </c>
      <c r="J60" s="35">
        <v>2355.0</v>
      </c>
      <c r="K60" s="35">
        <v>455.0</v>
      </c>
      <c r="L60" s="21">
        <v>480.0</v>
      </c>
      <c r="M60" s="35">
        <v>118.18</v>
      </c>
      <c r="N60" s="21">
        <v>478.79</v>
      </c>
      <c r="O60" s="35">
        <v>117.63</v>
      </c>
      <c r="P60" s="21">
        <v>150.87</v>
      </c>
      <c r="Q60" s="21">
        <v>225.47</v>
      </c>
      <c r="R60" s="21">
        <v>179.41</v>
      </c>
      <c r="S60" s="21">
        <v>73.22</v>
      </c>
      <c r="T60" s="21">
        <v>173.07</v>
      </c>
      <c r="U60" s="35">
        <v>18.96</v>
      </c>
      <c r="V60" s="21">
        <v>20.84</v>
      </c>
      <c r="W60" s="21">
        <v>16.29</v>
      </c>
      <c r="X60" s="21">
        <v>1.41</v>
      </c>
      <c r="Y60" s="21">
        <v>6.53</v>
      </c>
      <c r="Z60" s="21">
        <v>20.84</v>
      </c>
      <c r="AA60" s="21">
        <v>3.01</v>
      </c>
      <c r="AB60" s="21">
        <v>5.4</v>
      </c>
      <c r="AC60" s="21">
        <v>15.37</v>
      </c>
      <c r="AD60" s="21">
        <v>4.42</v>
      </c>
      <c r="AE60" s="21">
        <v>18.77</v>
      </c>
      <c r="AF60" s="23">
        <v>19.99</v>
      </c>
      <c r="AG60" s="23">
        <v>10.24</v>
      </c>
      <c r="AH60" s="23">
        <v>5.12</v>
      </c>
      <c r="AI60" s="23">
        <v>35.37</v>
      </c>
      <c r="AJ60" s="23">
        <v>29.27</v>
      </c>
    </row>
    <row r="61">
      <c r="A61" s="31">
        <v>45558.0</v>
      </c>
      <c r="B61" s="31">
        <v>45565.0</v>
      </c>
      <c r="C61" s="32">
        <v>-0.8</v>
      </c>
      <c r="D61" s="56">
        <v>1.0</v>
      </c>
      <c r="E61" s="34" t="s">
        <v>209</v>
      </c>
      <c r="F61" s="35" t="s">
        <v>211</v>
      </c>
      <c r="G61" s="35" t="s">
        <v>49</v>
      </c>
      <c r="H61" s="21">
        <v>10.0</v>
      </c>
      <c r="I61" s="21">
        <v>529.0</v>
      </c>
      <c r="J61" s="35">
        <v>334.0</v>
      </c>
      <c r="K61" s="35">
        <v>153.0</v>
      </c>
      <c r="L61" s="21">
        <v>145.0</v>
      </c>
      <c r="M61" s="35">
        <v>20.83</v>
      </c>
      <c r="N61" s="21">
        <v>157.45</v>
      </c>
      <c r="O61" s="35">
        <v>31.21</v>
      </c>
      <c r="P61" s="21">
        <v>232.54</v>
      </c>
      <c r="Q61" s="21">
        <v>439.67</v>
      </c>
      <c r="R61" s="21">
        <v>364.54</v>
      </c>
      <c r="S61" s="21">
        <v>91.95</v>
      </c>
      <c r="T61" s="21">
        <v>104.45</v>
      </c>
      <c r="U61" s="35">
        <v>11.0</v>
      </c>
      <c r="V61" s="21">
        <v>23.59</v>
      </c>
      <c r="W61" s="21">
        <v>19.91</v>
      </c>
      <c r="X61" s="21">
        <v>0.53</v>
      </c>
      <c r="Y61" s="21">
        <v>11.89</v>
      </c>
      <c r="Z61" s="21">
        <v>21.38</v>
      </c>
      <c r="AA61" s="21">
        <v>5.12</v>
      </c>
      <c r="AB61" s="21">
        <v>22.09</v>
      </c>
      <c r="AC61" s="21">
        <v>23.95</v>
      </c>
      <c r="AD61" s="21">
        <v>17.63</v>
      </c>
      <c r="AE61" s="21">
        <v>30.01</v>
      </c>
      <c r="AF61" s="23">
        <v>50.0</v>
      </c>
      <c r="AG61" s="23">
        <v>10.0</v>
      </c>
      <c r="AH61" s="23">
        <v>5.0</v>
      </c>
      <c r="AI61" s="23">
        <v>35.0</v>
      </c>
      <c r="AJ61" s="23">
        <v>30.0</v>
      </c>
    </row>
    <row r="62">
      <c r="A62" s="31">
        <v>45551.0</v>
      </c>
      <c r="B62" s="31">
        <v>45559.0</v>
      </c>
      <c r="C62" s="32">
        <v>0.12</v>
      </c>
      <c r="D62" s="56">
        <v>1.0</v>
      </c>
      <c r="E62" s="34" t="s">
        <v>209</v>
      </c>
      <c r="F62" s="21" t="s">
        <v>148</v>
      </c>
      <c r="G62" s="35" t="s">
        <v>49</v>
      </c>
      <c r="H62" s="21">
        <v>10.0</v>
      </c>
      <c r="I62" s="21">
        <v>389.0</v>
      </c>
      <c r="J62" s="35">
        <v>1314.0</v>
      </c>
      <c r="K62" s="35">
        <v>394.0</v>
      </c>
      <c r="L62" s="21">
        <v>350.0</v>
      </c>
      <c r="M62" s="35">
        <v>33.08</v>
      </c>
      <c r="N62" s="21">
        <v>323.6</v>
      </c>
      <c r="O62" s="35">
        <v>23.04</v>
      </c>
      <c r="P62" s="21">
        <v>81.83</v>
      </c>
      <c r="Q62" s="21">
        <v>69.27</v>
      </c>
      <c r="R62" s="21">
        <v>39.68</v>
      </c>
      <c r="S62" s="21">
        <v>9.07</v>
      </c>
      <c r="T62" s="21">
        <v>212.56</v>
      </c>
      <c r="U62" s="35">
        <v>61.0</v>
      </c>
      <c r="V62" s="21">
        <v>10.74</v>
      </c>
      <c r="W62" s="21">
        <v>18.39</v>
      </c>
      <c r="X62" s="21">
        <v>0.76</v>
      </c>
      <c r="Y62" s="21">
        <v>2.23</v>
      </c>
      <c r="Z62" s="21">
        <v>10.32</v>
      </c>
      <c r="AA62" s="21">
        <v>12.78</v>
      </c>
      <c r="AB62" s="21">
        <v>3.1</v>
      </c>
      <c r="AC62" s="21">
        <v>125.54</v>
      </c>
      <c r="AD62" s="21">
        <v>2.94</v>
      </c>
      <c r="AE62" s="21">
        <v>132.28</v>
      </c>
      <c r="AF62" s="23">
        <v>49.0</v>
      </c>
      <c r="AG62" s="23">
        <v>9.8</v>
      </c>
      <c r="AH62" s="23">
        <v>4.9</v>
      </c>
      <c r="AI62" s="23">
        <v>34.3</v>
      </c>
      <c r="AJ62" s="23">
        <v>29.4</v>
      </c>
    </row>
    <row r="63">
      <c r="A63" s="31">
        <v>45551.0</v>
      </c>
      <c r="B63" s="31">
        <v>45559.0</v>
      </c>
      <c r="C63" s="32">
        <v>0.12</v>
      </c>
      <c r="D63" s="56">
        <v>1.0</v>
      </c>
      <c r="E63" s="34" t="s">
        <v>83</v>
      </c>
      <c r="F63" s="21" t="s">
        <v>149</v>
      </c>
      <c r="G63" s="35" t="s">
        <v>49</v>
      </c>
      <c r="H63" s="21">
        <v>10.0</v>
      </c>
      <c r="I63" s="21">
        <v>334.0</v>
      </c>
      <c r="J63" s="35">
        <v>634.0</v>
      </c>
      <c r="K63" s="35">
        <v>191.0</v>
      </c>
      <c r="L63" s="21">
        <v>175.0</v>
      </c>
      <c r="M63" s="35">
        <v>36.72</v>
      </c>
      <c r="N63" s="21">
        <v>165.86</v>
      </c>
      <c r="O63" s="35">
        <v>29.58</v>
      </c>
      <c r="P63" s="21">
        <v>136.85</v>
      </c>
      <c r="Q63" s="21">
        <v>74.66</v>
      </c>
      <c r="R63" s="21">
        <v>64.19</v>
      </c>
      <c r="S63" s="21">
        <v>19.66</v>
      </c>
      <c r="T63" s="21">
        <v>177.41</v>
      </c>
      <c r="U63" s="35">
        <v>26.7</v>
      </c>
      <c r="V63" s="21">
        <v>42.75</v>
      </c>
      <c r="W63" s="21">
        <v>42.88</v>
      </c>
      <c r="X63" s="21">
        <v>0.12</v>
      </c>
      <c r="Y63" s="21">
        <v>11.0</v>
      </c>
      <c r="Z63" s="21">
        <v>42.75</v>
      </c>
      <c r="AA63" s="21">
        <v>11.3</v>
      </c>
      <c r="AB63" s="21">
        <v>10.42</v>
      </c>
      <c r="AC63" s="21">
        <v>32.05</v>
      </c>
      <c r="AD63" s="21">
        <v>10.42</v>
      </c>
      <c r="AE63" s="21">
        <v>32.05</v>
      </c>
      <c r="AF63" s="23">
        <v>49.75</v>
      </c>
      <c r="AG63" s="23">
        <v>9.95</v>
      </c>
      <c r="AH63" s="23">
        <v>4.97</v>
      </c>
      <c r="AI63" s="23">
        <v>34.82</v>
      </c>
      <c r="AJ63" s="23">
        <v>29.85</v>
      </c>
    </row>
    <row r="64">
      <c r="A64" s="31">
        <v>45548.0</v>
      </c>
      <c r="B64" s="31">
        <v>45559.0</v>
      </c>
      <c r="C64" s="32">
        <v>0.12</v>
      </c>
      <c r="D64" s="56">
        <v>1.0</v>
      </c>
      <c r="E64" s="34" t="s">
        <v>55</v>
      </c>
      <c r="F64" s="21" t="s">
        <v>150</v>
      </c>
      <c r="G64" s="35" t="s">
        <v>49</v>
      </c>
      <c r="H64" s="21">
        <v>5.0</v>
      </c>
      <c r="I64" s="21">
        <v>450.0</v>
      </c>
      <c r="J64" s="35">
        <v>162.0</v>
      </c>
      <c r="K64" s="35">
        <v>188.0</v>
      </c>
      <c r="L64" s="21">
        <v>171.0</v>
      </c>
      <c r="M64" s="35">
        <v>-0.58</v>
      </c>
      <c r="N64" s="21">
        <v>159.45</v>
      </c>
      <c r="O64" s="35">
        <v>-7.3</v>
      </c>
      <c r="P64" s="21">
        <v>212.42</v>
      </c>
      <c r="Q64" s="21">
        <v>58.0</v>
      </c>
      <c r="R64" s="21">
        <v>36.96</v>
      </c>
      <c r="S64" s="21">
        <v>7.44</v>
      </c>
      <c r="T64" s="21">
        <v>26.96</v>
      </c>
      <c r="U64" s="35">
        <v>9.0</v>
      </c>
      <c r="V64" s="21">
        <v>43.73</v>
      </c>
      <c r="W64" s="21">
        <v>25.65</v>
      </c>
      <c r="X64" s="21">
        <v>1.86</v>
      </c>
      <c r="Y64" s="21">
        <v>7.3</v>
      </c>
      <c r="Z64" s="21">
        <v>37.46</v>
      </c>
      <c r="AA64" s="21">
        <v>30.76</v>
      </c>
      <c r="AB64" s="21">
        <v>5.48</v>
      </c>
      <c r="AC64" s="21">
        <v>82.09</v>
      </c>
      <c r="AD64" s="21">
        <v>17.58</v>
      </c>
      <c r="AE64" s="21">
        <v>25.59</v>
      </c>
      <c r="AF64" s="23">
        <v>50.0</v>
      </c>
      <c r="AG64" s="23">
        <v>10.0</v>
      </c>
      <c r="AH64" s="23">
        <v>5.0</v>
      </c>
      <c r="AI64" s="23">
        <v>35.0</v>
      </c>
      <c r="AJ64" s="23">
        <v>30.0</v>
      </c>
    </row>
    <row r="65">
      <c r="A65" s="31">
        <v>45545.0</v>
      </c>
      <c r="B65" s="31">
        <v>45552.0</v>
      </c>
      <c r="C65" s="32">
        <v>-0.07</v>
      </c>
      <c r="D65" s="56">
        <v>1.0</v>
      </c>
      <c r="E65" s="34" t="s">
        <v>71</v>
      </c>
      <c r="F65" s="21" t="s">
        <v>151</v>
      </c>
      <c r="G65" s="35" t="s">
        <v>69</v>
      </c>
      <c r="H65" s="21">
        <v>10.0</v>
      </c>
      <c r="I65" s="21">
        <v>206.0</v>
      </c>
      <c r="J65" s="35">
        <v>303.505</v>
      </c>
      <c r="K65" s="35">
        <v>783.5</v>
      </c>
      <c r="L65" s="21">
        <v>830.0</v>
      </c>
      <c r="M65" s="35">
        <v>72.92</v>
      </c>
      <c r="N65" s="21">
        <v>793.3</v>
      </c>
      <c r="O65" s="35">
        <v>65.27</v>
      </c>
      <c r="P65" s="21">
        <v>188.79</v>
      </c>
      <c r="Q65" s="21">
        <v>343.45</v>
      </c>
      <c r="R65" s="21">
        <v>243.2</v>
      </c>
      <c r="S65" s="21">
        <v>68.93</v>
      </c>
      <c r="T65" s="21">
        <v>175.31</v>
      </c>
      <c r="U65" s="35">
        <v>4.54</v>
      </c>
      <c r="V65" s="21">
        <v>27.26</v>
      </c>
      <c r="W65" s="21">
        <v>28.42</v>
      </c>
      <c r="X65" s="35">
        <v>74.0</v>
      </c>
      <c r="Y65" s="21">
        <v>6.87</v>
      </c>
      <c r="Z65" s="21">
        <v>23.64</v>
      </c>
      <c r="AA65" s="21">
        <v>4.21</v>
      </c>
      <c r="AB65" s="21">
        <v>11.57</v>
      </c>
      <c r="AC65" s="21">
        <v>17.8</v>
      </c>
      <c r="AD65" s="21">
        <v>9.95</v>
      </c>
      <c r="AE65" s="21">
        <v>20.7</v>
      </c>
      <c r="AF65" s="23">
        <v>50.0</v>
      </c>
      <c r="AG65" s="23">
        <v>10.0</v>
      </c>
      <c r="AH65" s="23">
        <v>5.0</v>
      </c>
      <c r="AI65" s="23">
        <v>35.0</v>
      </c>
      <c r="AJ65" s="23">
        <v>30.0</v>
      </c>
    </row>
    <row r="66">
      <c r="A66" s="31">
        <v>45544.0</v>
      </c>
      <c r="B66" s="31">
        <v>45551.0</v>
      </c>
      <c r="C66" s="32">
        <v>0.31</v>
      </c>
      <c r="D66" s="56">
        <v>1.0</v>
      </c>
      <c r="E66" s="34" t="s">
        <v>55</v>
      </c>
      <c r="F66" s="21" t="s">
        <v>152</v>
      </c>
      <c r="G66" s="35" t="s">
        <v>49</v>
      </c>
      <c r="H66" s="21">
        <v>5.0</v>
      </c>
      <c r="I66" s="21">
        <v>900.0</v>
      </c>
      <c r="J66" s="35">
        <v>24.503</v>
      </c>
      <c r="K66" s="35">
        <v>264.5</v>
      </c>
      <c r="L66" s="21">
        <v>240.0</v>
      </c>
      <c r="M66" s="35">
        <v>0.0</v>
      </c>
      <c r="N66" s="21">
        <v>259.81</v>
      </c>
      <c r="O66" s="35">
        <v>8.25</v>
      </c>
      <c r="P66" s="21">
        <v>197.29</v>
      </c>
      <c r="Q66" s="21">
        <v>148.31</v>
      </c>
      <c r="R66" s="21">
        <v>96.11</v>
      </c>
      <c r="S66" s="21">
        <v>19.46</v>
      </c>
      <c r="T66" s="21">
        <v>262.65</v>
      </c>
      <c r="U66" s="35">
        <v>13.0</v>
      </c>
      <c r="V66" s="21">
        <v>19.4</v>
      </c>
      <c r="W66" s="21">
        <v>25.79</v>
      </c>
      <c r="X66" s="21">
        <v>-0.11</v>
      </c>
      <c r="Y66" s="35">
        <v>7.22</v>
      </c>
      <c r="Z66" s="21">
        <v>22.26</v>
      </c>
      <c r="AA66" s="35">
        <v>2.7</v>
      </c>
      <c r="AB66" s="21">
        <v>59.84</v>
      </c>
      <c r="AC66" s="21">
        <v>15.04</v>
      </c>
      <c r="AD66" s="21">
        <v>51.85</v>
      </c>
      <c r="AE66" s="21">
        <v>17.36</v>
      </c>
      <c r="AF66" s="23">
        <v>50.0</v>
      </c>
      <c r="AG66" s="23">
        <v>10.0</v>
      </c>
      <c r="AH66" s="23">
        <v>5.0</v>
      </c>
      <c r="AI66" s="23">
        <v>35.0</v>
      </c>
      <c r="AJ66" s="23">
        <v>30.0</v>
      </c>
    </row>
    <row r="67">
      <c r="A67" s="31">
        <v>45544.0</v>
      </c>
      <c r="B67" s="31">
        <v>45551.0</v>
      </c>
      <c r="C67" s="32">
        <v>0.31</v>
      </c>
      <c r="D67" s="56">
        <v>1.0</v>
      </c>
      <c r="E67" s="34" t="s">
        <v>98</v>
      </c>
      <c r="F67" s="21" t="s">
        <v>153</v>
      </c>
      <c r="G67" s="35" t="s">
        <v>49</v>
      </c>
      <c r="H67" s="21">
        <v>5.0</v>
      </c>
      <c r="I67" s="21">
        <v>160.0</v>
      </c>
      <c r="J67" s="35">
        <v>303.0</v>
      </c>
      <c r="K67" s="35">
        <v>256.0</v>
      </c>
      <c r="L67" s="21">
        <v>228.0</v>
      </c>
      <c r="M67" s="35">
        <v>0.88</v>
      </c>
      <c r="N67" s="21">
        <v>239.4</v>
      </c>
      <c r="O67" s="35">
        <v>5.93</v>
      </c>
      <c r="P67" s="21">
        <v>64.12</v>
      </c>
      <c r="Q67" s="21">
        <v>389.28</v>
      </c>
      <c r="R67" s="21">
        <v>296.85</v>
      </c>
      <c r="S67" s="21">
        <v>61.59</v>
      </c>
      <c r="T67" s="21">
        <v>64.91</v>
      </c>
      <c r="U67" s="35">
        <v>20.41</v>
      </c>
      <c r="V67" s="21">
        <v>58.88</v>
      </c>
      <c r="W67" s="21">
        <v>64.46</v>
      </c>
      <c r="X67" s="21">
        <v>0.67</v>
      </c>
      <c r="Y67" s="21">
        <v>4.83</v>
      </c>
      <c r="Z67" s="21">
        <v>45.49</v>
      </c>
      <c r="AA67" s="21">
        <v>8.16</v>
      </c>
      <c r="AB67" s="21">
        <v>8.92</v>
      </c>
      <c r="AC67" s="21">
        <v>17.94</v>
      </c>
      <c r="AD67" s="21">
        <v>7.46</v>
      </c>
      <c r="AE67" s="21">
        <v>21.46</v>
      </c>
      <c r="AF67" s="23">
        <v>50.0</v>
      </c>
      <c r="AG67" s="23">
        <v>10.0</v>
      </c>
      <c r="AH67" s="23">
        <v>5.0</v>
      </c>
      <c r="AI67" s="23">
        <v>35.0</v>
      </c>
      <c r="AJ67" s="23">
        <v>30.0</v>
      </c>
    </row>
    <row r="68">
      <c r="A68" s="31">
        <v>45544.0</v>
      </c>
      <c r="B68" s="31">
        <v>45551.0</v>
      </c>
      <c r="C68" s="32">
        <v>0.31</v>
      </c>
      <c r="D68" s="56">
        <v>1.0</v>
      </c>
      <c r="E68" s="34" t="s">
        <v>209</v>
      </c>
      <c r="F68" s="35" t="s">
        <v>212</v>
      </c>
      <c r="G68" s="35" t="s">
        <v>69</v>
      </c>
      <c r="H68" s="21">
        <v>10.0</v>
      </c>
      <c r="I68" s="21">
        <v>108.0</v>
      </c>
      <c r="J68" s="35">
        <v>725.0</v>
      </c>
      <c r="K68" s="35">
        <v>142.0</v>
      </c>
      <c r="L68" s="21">
        <v>150.0</v>
      </c>
      <c r="M68" s="35">
        <v>114.29</v>
      </c>
      <c r="N68" s="21">
        <v>165.0</v>
      </c>
      <c r="O68" s="35">
        <v>135.71</v>
      </c>
      <c r="P68" s="21">
        <v>138.75</v>
      </c>
      <c r="Q68" s="21">
        <v>266.49</v>
      </c>
      <c r="R68" s="21">
        <v>224.38</v>
      </c>
      <c r="S68" s="21">
        <v>130.99</v>
      </c>
      <c r="T68" s="21">
        <v>68.91</v>
      </c>
      <c r="U68" s="35">
        <v>22.6</v>
      </c>
      <c r="V68" s="21">
        <v>17.36</v>
      </c>
      <c r="W68" s="21">
        <v>25.93</v>
      </c>
      <c r="X68" s="35">
        <v>5.65</v>
      </c>
      <c r="Y68" s="35">
        <v>22.6</v>
      </c>
      <c r="Z68" s="21">
        <v>18.98</v>
      </c>
      <c r="AA68" s="21">
        <v>15.81</v>
      </c>
      <c r="AB68" s="21">
        <v>1.28</v>
      </c>
      <c r="AC68" s="21">
        <v>84.59</v>
      </c>
      <c r="AD68" s="21">
        <v>1.28</v>
      </c>
      <c r="AE68" s="21">
        <v>84.59</v>
      </c>
      <c r="AF68" s="23">
        <v>44.66</v>
      </c>
      <c r="AG68" s="23">
        <v>8.93</v>
      </c>
      <c r="AH68" s="23">
        <v>4.47</v>
      </c>
      <c r="AI68" s="23">
        <v>31.27</v>
      </c>
      <c r="AJ68" s="23">
        <v>26.8</v>
      </c>
    </row>
    <row r="69">
      <c r="A69" s="31">
        <v>45540.0</v>
      </c>
      <c r="B69" s="31">
        <v>45547.0</v>
      </c>
      <c r="C69" s="32">
        <v>0.18</v>
      </c>
      <c r="D69" s="56">
        <v>1.0</v>
      </c>
      <c r="E69" s="34" t="s">
        <v>47</v>
      </c>
      <c r="F69" s="21" t="s">
        <v>155</v>
      </c>
      <c r="G69" s="35" t="s">
        <v>49</v>
      </c>
      <c r="H69" s="21">
        <v>10.0</v>
      </c>
      <c r="I69" s="21">
        <v>465.0</v>
      </c>
      <c r="J69" s="35">
        <v>274.0</v>
      </c>
      <c r="K69" s="35">
        <v>110.0</v>
      </c>
      <c r="L69" s="21">
        <v>90.0</v>
      </c>
      <c r="M69" s="35">
        <v>8.43</v>
      </c>
      <c r="N69" s="21">
        <v>97.54</v>
      </c>
      <c r="O69" s="35">
        <v>17.52</v>
      </c>
      <c r="P69" s="21">
        <v>19.3</v>
      </c>
      <c r="Q69" s="21">
        <v>5.32</v>
      </c>
      <c r="R69" s="21">
        <v>3.39</v>
      </c>
      <c r="S69" s="21">
        <v>2.31</v>
      </c>
      <c r="T69" s="21">
        <v>3170.74</v>
      </c>
      <c r="U69" s="35">
        <v>11.5</v>
      </c>
      <c r="V69" s="35">
        <v>20.8</v>
      </c>
      <c r="W69" s="35">
        <v>16.3</v>
      </c>
      <c r="X69" s="35">
        <v>1.4</v>
      </c>
      <c r="Y69" s="35">
        <v>6.7</v>
      </c>
      <c r="Z69" s="21">
        <v>-8.65</v>
      </c>
      <c r="AA69" s="21">
        <v>6.49</v>
      </c>
      <c r="AB69" s="21">
        <v>-6.65</v>
      </c>
      <c r="AC69" s="21">
        <v>-69.91</v>
      </c>
      <c r="AD69" s="21">
        <v>-6.19</v>
      </c>
      <c r="AE69" s="21">
        <v>-75.09</v>
      </c>
      <c r="AF69" s="23">
        <v>50.0</v>
      </c>
      <c r="AG69" s="23">
        <v>10.0</v>
      </c>
      <c r="AH69" s="23">
        <v>5.0</v>
      </c>
      <c r="AI69" s="23">
        <v>35.0</v>
      </c>
      <c r="AJ69" s="23">
        <v>30.0</v>
      </c>
    </row>
    <row r="70">
      <c r="A70" s="31">
        <v>45537.0</v>
      </c>
      <c r="B70" s="31">
        <v>45544.0</v>
      </c>
      <c r="C70" s="32">
        <v>-0.14</v>
      </c>
      <c r="D70" s="56">
        <v>0.0</v>
      </c>
      <c r="E70" s="34" t="s">
        <v>47</v>
      </c>
      <c r="F70" s="21" t="s">
        <v>156</v>
      </c>
      <c r="G70" s="35" t="s">
        <v>49</v>
      </c>
      <c r="H70" s="21">
        <v>10.0</v>
      </c>
      <c r="I70" s="21">
        <v>76.0</v>
      </c>
      <c r="J70" s="35">
        <v>2454.0</v>
      </c>
      <c r="K70" s="35">
        <v>774.0</v>
      </c>
      <c r="L70" s="21">
        <v>721.1</v>
      </c>
      <c r="M70" s="35">
        <v>36.31</v>
      </c>
      <c r="N70" s="21">
        <v>787.05</v>
      </c>
      <c r="O70" s="35">
        <v>48.78</v>
      </c>
      <c r="P70" s="21">
        <v>5.53</v>
      </c>
      <c r="Q70" s="21">
        <v>2.75</v>
      </c>
      <c r="R70" s="21">
        <v>2.03</v>
      </c>
      <c r="S70" s="21">
        <v>4.05</v>
      </c>
      <c r="T70" s="21">
        <v>2019.34</v>
      </c>
      <c r="U70" s="35">
        <v>19.9</v>
      </c>
      <c r="V70" s="35">
        <v>23.3</v>
      </c>
      <c r="W70" s="35">
        <v>21.2</v>
      </c>
      <c r="X70" s="35">
        <v>0.53</v>
      </c>
      <c r="Y70" s="35">
        <v>11.0</v>
      </c>
      <c r="Z70" s="21">
        <v>-78.46</v>
      </c>
      <c r="AA70" s="21">
        <v>13.72</v>
      </c>
      <c r="AB70" s="21">
        <v>-4.3</v>
      </c>
      <c r="AC70" s="21">
        <v>-17.69</v>
      </c>
      <c r="AD70" s="21">
        <v>-3.59</v>
      </c>
      <c r="AE70" s="21">
        <v>-21.16</v>
      </c>
      <c r="AF70" s="23">
        <v>49.91</v>
      </c>
      <c r="AG70" s="23">
        <v>9.98</v>
      </c>
      <c r="AH70" s="23">
        <v>4.99</v>
      </c>
      <c r="AI70" s="23">
        <v>34.94</v>
      </c>
      <c r="AJ70" s="23">
        <v>29.95</v>
      </c>
    </row>
    <row r="71">
      <c r="A71" s="40">
        <v>45538.0</v>
      </c>
      <c r="B71" s="31">
        <v>45541.0</v>
      </c>
      <c r="C71" s="32">
        <v>-0.67</v>
      </c>
      <c r="D71" s="56">
        <v>1.0</v>
      </c>
      <c r="E71" s="34" t="s">
        <v>55</v>
      </c>
      <c r="F71" s="21" t="s">
        <v>157</v>
      </c>
      <c r="G71" s="35" t="s">
        <v>49</v>
      </c>
      <c r="H71" s="21">
        <v>5.0</v>
      </c>
      <c r="I71" s="21">
        <v>401.0</v>
      </c>
      <c r="J71" s="35">
        <v>332.0</v>
      </c>
      <c r="K71" s="35">
        <v>422.0</v>
      </c>
      <c r="L71" s="21">
        <v>389.0</v>
      </c>
      <c r="M71" s="35">
        <v>0.0</v>
      </c>
      <c r="N71" s="21">
        <v>400.0</v>
      </c>
      <c r="O71" s="35">
        <v>2.83</v>
      </c>
      <c r="P71" s="21">
        <v>31.26</v>
      </c>
      <c r="Q71" s="21">
        <v>16.28</v>
      </c>
      <c r="R71" s="21">
        <v>11.92</v>
      </c>
      <c r="S71" s="21">
        <v>3.82</v>
      </c>
      <c r="T71" s="21">
        <v>906.41</v>
      </c>
      <c r="U71" s="35">
        <v>14.6</v>
      </c>
      <c r="V71" s="21">
        <v>33.57</v>
      </c>
      <c r="W71" s="21">
        <v>31.98</v>
      </c>
      <c r="X71" s="21">
        <v>1.17</v>
      </c>
      <c r="Y71" s="21">
        <v>10.05</v>
      </c>
      <c r="Z71" s="21">
        <v>33.57</v>
      </c>
      <c r="AA71" s="21">
        <v>6.95</v>
      </c>
      <c r="AB71" s="21">
        <v>19.4</v>
      </c>
      <c r="AC71" s="21">
        <v>20.67</v>
      </c>
      <c r="AD71" s="21">
        <v>17.5</v>
      </c>
      <c r="AE71" s="21">
        <v>22.91</v>
      </c>
      <c r="AF71" s="23">
        <v>49.93</v>
      </c>
      <c r="AG71" s="23">
        <v>9.99</v>
      </c>
      <c r="AH71" s="23">
        <v>4.99</v>
      </c>
      <c r="AI71" s="23">
        <v>34.95</v>
      </c>
      <c r="AJ71" s="23">
        <v>29.96</v>
      </c>
    </row>
    <row r="72">
      <c r="A72" s="31">
        <v>45532.0</v>
      </c>
      <c r="B72" s="31">
        <v>45539.0</v>
      </c>
      <c r="C72" s="32">
        <v>-0.59</v>
      </c>
      <c r="D72" s="56">
        <v>1.0</v>
      </c>
      <c r="E72" s="34" t="s">
        <v>55</v>
      </c>
      <c r="F72" s="21" t="s">
        <v>158</v>
      </c>
      <c r="G72" s="35" t="s">
        <v>49</v>
      </c>
      <c r="H72" s="21">
        <v>2.0</v>
      </c>
      <c r="I72" s="21">
        <v>679.0</v>
      </c>
      <c r="J72" s="35">
        <v>1264.0</v>
      </c>
      <c r="K72" s="35">
        <v>460.0</v>
      </c>
      <c r="L72" s="21">
        <v>390.0</v>
      </c>
      <c r="M72" s="35">
        <v>16.77</v>
      </c>
      <c r="N72" s="21">
        <v>443.15</v>
      </c>
      <c r="O72" s="35">
        <v>32.68</v>
      </c>
      <c r="P72" s="21">
        <v>90.09</v>
      </c>
      <c r="Q72" s="21">
        <v>47.43</v>
      </c>
      <c r="R72" s="21">
        <v>31.45</v>
      </c>
      <c r="S72" s="21">
        <v>20.8</v>
      </c>
      <c r="T72" s="21">
        <v>709.5</v>
      </c>
      <c r="U72" s="35">
        <v>16.23</v>
      </c>
      <c r="V72" s="21">
        <v>0.11</v>
      </c>
      <c r="W72" s="21">
        <v>3.37</v>
      </c>
      <c r="X72" s="21">
        <v>0.69</v>
      </c>
      <c r="Y72" s="21">
        <v>0.02</v>
      </c>
      <c r="Z72" s="21">
        <v>-0.57</v>
      </c>
      <c r="AA72" s="21">
        <v>13.69</v>
      </c>
      <c r="AB72" s="35">
        <v>10.42</v>
      </c>
      <c r="AC72" s="21">
        <v>29.79</v>
      </c>
      <c r="AD72" s="35">
        <v>6.93</v>
      </c>
      <c r="AE72" s="35">
        <v>25.0</v>
      </c>
      <c r="AF72" s="23">
        <v>50.0</v>
      </c>
      <c r="AG72" s="23">
        <v>10.0</v>
      </c>
      <c r="AH72" s="23">
        <v>5.0</v>
      </c>
      <c r="AI72" s="23">
        <v>35.0</v>
      </c>
      <c r="AJ72" s="23">
        <v>30.0</v>
      </c>
    </row>
    <row r="73">
      <c r="A73" s="31">
        <v>45531.0</v>
      </c>
      <c r="B73" s="31">
        <v>45538.0</v>
      </c>
      <c r="C73" s="32">
        <v>-0.08</v>
      </c>
      <c r="D73" s="56">
        <v>1.0</v>
      </c>
      <c r="E73" s="34" t="s">
        <v>94</v>
      </c>
      <c r="F73" s="21" t="s">
        <v>159</v>
      </c>
      <c r="G73" s="35" t="s">
        <v>49</v>
      </c>
      <c r="H73" s="21">
        <v>1.0</v>
      </c>
      <c r="I73" s="21">
        <v>256.0</v>
      </c>
      <c r="J73" s="35">
        <v>4875.0</v>
      </c>
      <c r="K73" s="35">
        <v>937.0</v>
      </c>
      <c r="L73" s="21">
        <v>990.0</v>
      </c>
      <c r="M73" s="35">
        <v>120.0</v>
      </c>
      <c r="N73" s="21">
        <v>839.9</v>
      </c>
      <c r="O73" s="35">
        <v>86.64</v>
      </c>
      <c r="P73" s="21">
        <v>153.86</v>
      </c>
      <c r="Q73" s="21">
        <v>55.27</v>
      </c>
      <c r="R73" s="21">
        <v>52.11</v>
      </c>
      <c r="S73" s="21">
        <v>14.37</v>
      </c>
      <c r="T73" s="21">
        <v>422.37</v>
      </c>
      <c r="U73" s="35">
        <v>16.07</v>
      </c>
      <c r="V73" s="21">
        <v>21.19</v>
      </c>
      <c r="W73" s="21">
        <v>18.46</v>
      </c>
      <c r="X73" s="21">
        <v>1.48</v>
      </c>
      <c r="Y73" s="21">
        <v>3.19</v>
      </c>
      <c r="Z73" s="21">
        <v>18.27</v>
      </c>
      <c r="AA73" s="21">
        <v>7.72</v>
      </c>
      <c r="AB73" s="21">
        <v>6.18</v>
      </c>
      <c r="AC73" s="21">
        <v>41.41</v>
      </c>
      <c r="AD73" s="21">
        <v>5.03</v>
      </c>
      <c r="AE73" s="21">
        <v>50.86</v>
      </c>
      <c r="AF73" s="23">
        <v>49.81</v>
      </c>
      <c r="AG73" s="23">
        <v>9.96</v>
      </c>
      <c r="AH73" s="23">
        <v>4.98</v>
      </c>
      <c r="AI73" s="23">
        <v>34.87</v>
      </c>
      <c r="AJ73" s="23">
        <v>29.89</v>
      </c>
    </row>
    <row r="74">
      <c r="A74" s="31">
        <v>45525.0</v>
      </c>
      <c r="B74" s="31">
        <v>45532.0</v>
      </c>
      <c r="C74" s="32">
        <v>0.11</v>
      </c>
      <c r="D74" s="56">
        <v>1.0</v>
      </c>
      <c r="E74" s="34" t="s">
        <v>50</v>
      </c>
      <c r="F74" s="21" t="s">
        <v>160</v>
      </c>
      <c r="G74" s="35" t="s">
        <v>49</v>
      </c>
      <c r="H74" s="21">
        <v>10.0</v>
      </c>
      <c r="I74" s="21">
        <v>95.0</v>
      </c>
      <c r="J74" s="35">
        <v>954.0</v>
      </c>
      <c r="K74" s="35">
        <v>301.0</v>
      </c>
      <c r="L74" s="21">
        <v>288.0</v>
      </c>
      <c r="M74" s="35">
        <v>39.81</v>
      </c>
      <c r="N74" s="21">
        <v>304.45</v>
      </c>
      <c r="O74" s="35">
        <v>47.79</v>
      </c>
      <c r="P74" s="21">
        <v>145.68</v>
      </c>
      <c r="Q74" s="21">
        <v>149.44</v>
      </c>
      <c r="R74" s="21">
        <v>110.61</v>
      </c>
      <c r="S74" s="21">
        <v>24.23</v>
      </c>
      <c r="T74" s="21">
        <v>215.91</v>
      </c>
      <c r="U74" s="35">
        <v>9.3</v>
      </c>
      <c r="V74" s="21">
        <v>30.92</v>
      </c>
      <c r="W74" s="21">
        <v>24.43</v>
      </c>
      <c r="X74" s="21">
        <v>0.5</v>
      </c>
      <c r="Y74" s="21">
        <v>6.17</v>
      </c>
      <c r="Z74" s="21">
        <v>30.92</v>
      </c>
      <c r="AA74" s="21">
        <v>6.18</v>
      </c>
      <c r="AB74" s="21">
        <v>4.75</v>
      </c>
      <c r="AC74" s="21">
        <v>19.98</v>
      </c>
      <c r="AD74" s="21">
        <v>3.66</v>
      </c>
      <c r="AE74" s="21">
        <v>25.93</v>
      </c>
      <c r="AF74" s="23">
        <v>50.0</v>
      </c>
      <c r="AG74" s="23">
        <v>10.0</v>
      </c>
      <c r="AH74" s="23">
        <v>5.0</v>
      </c>
      <c r="AI74" s="23">
        <v>35.0</v>
      </c>
      <c r="AJ74" s="23">
        <v>30.0</v>
      </c>
    </row>
    <row r="75">
      <c r="A75" s="31">
        <v>45523.0</v>
      </c>
      <c r="B75" s="31">
        <v>45530.0</v>
      </c>
      <c r="C75" s="32">
        <v>0.58</v>
      </c>
      <c r="D75" s="56">
        <v>1.0</v>
      </c>
      <c r="E75" s="34" t="s">
        <v>55</v>
      </c>
      <c r="F75" s="21" t="s">
        <v>161</v>
      </c>
      <c r="G75" s="35" t="s">
        <v>49</v>
      </c>
      <c r="H75" s="21">
        <v>10.0</v>
      </c>
      <c r="I75" s="21">
        <v>1008.0</v>
      </c>
      <c r="J75" s="35">
        <v>3364.0</v>
      </c>
      <c r="K75" s="35">
        <v>1236.0</v>
      </c>
      <c r="L75" s="21">
        <v>1299.0</v>
      </c>
      <c r="M75" s="35">
        <v>44.33</v>
      </c>
      <c r="N75" s="21">
        <v>1196.45</v>
      </c>
      <c r="O75" s="35">
        <v>32.94</v>
      </c>
      <c r="P75" s="21">
        <v>191.24</v>
      </c>
      <c r="Q75" s="21">
        <v>54.9</v>
      </c>
      <c r="R75" s="21">
        <v>38.16</v>
      </c>
      <c r="S75" s="21">
        <v>7.36</v>
      </c>
      <c r="T75" s="21">
        <v>2952.28</v>
      </c>
      <c r="U75" s="35">
        <v>9.65</v>
      </c>
      <c r="V75" s="21">
        <v>16.9</v>
      </c>
      <c r="W75" s="21">
        <v>19.37</v>
      </c>
      <c r="X75" s="21">
        <v>0.67</v>
      </c>
      <c r="Y75" s="35">
        <v>6.67</v>
      </c>
      <c r="Z75" s="21">
        <v>16.87</v>
      </c>
      <c r="AA75" s="21">
        <v>6.18</v>
      </c>
      <c r="AB75" s="21">
        <v>29.17</v>
      </c>
      <c r="AC75" s="21">
        <v>34.55</v>
      </c>
      <c r="AD75" s="21">
        <v>27.95</v>
      </c>
      <c r="AE75" s="21">
        <v>36.07</v>
      </c>
      <c r="AF75" s="23">
        <v>49.82</v>
      </c>
      <c r="AG75" s="23">
        <v>9.96</v>
      </c>
      <c r="AH75" s="23">
        <v>4.98</v>
      </c>
      <c r="AI75" s="23">
        <v>34.87</v>
      </c>
      <c r="AJ75" s="23">
        <v>29.89</v>
      </c>
    </row>
    <row r="76">
      <c r="A76" s="31">
        <v>45516.0</v>
      </c>
      <c r="B76" s="31">
        <v>45524.0</v>
      </c>
      <c r="C76" s="32">
        <v>0.5</v>
      </c>
      <c r="D76" s="56">
        <v>1.0</v>
      </c>
      <c r="E76" s="34" t="s">
        <v>55</v>
      </c>
      <c r="F76" s="21" t="s">
        <v>162</v>
      </c>
      <c r="G76" s="35" t="s">
        <v>49</v>
      </c>
      <c r="H76" s="21">
        <v>10.0</v>
      </c>
      <c r="I76" s="21">
        <v>207.0</v>
      </c>
      <c r="J76" s="35">
        <v>404.0</v>
      </c>
      <c r="K76" s="35">
        <v>200.0</v>
      </c>
      <c r="L76" s="21">
        <v>194.0</v>
      </c>
      <c r="M76" s="35">
        <v>21.25</v>
      </c>
      <c r="N76" s="21">
        <v>209.95</v>
      </c>
      <c r="O76" s="35">
        <v>31.22</v>
      </c>
      <c r="P76" s="21">
        <v>173.99</v>
      </c>
      <c r="Q76" s="21">
        <v>217.5</v>
      </c>
      <c r="R76" s="21">
        <v>229.99</v>
      </c>
      <c r="S76" s="21">
        <v>58.31</v>
      </c>
      <c r="T76" s="21">
        <v>187.5</v>
      </c>
      <c r="U76" s="35">
        <v>6.73</v>
      </c>
      <c r="V76" s="21">
        <v>23.78</v>
      </c>
      <c r="W76" s="21">
        <v>25.34</v>
      </c>
      <c r="X76" s="21">
        <v>0.27</v>
      </c>
      <c r="Y76" s="21">
        <v>3.61</v>
      </c>
      <c r="Z76" s="21">
        <v>23.78</v>
      </c>
      <c r="AA76" s="21">
        <v>2.73</v>
      </c>
      <c r="AB76" s="21">
        <v>21.84</v>
      </c>
      <c r="AC76" s="21">
        <v>9.48</v>
      </c>
      <c r="AD76" s="21">
        <v>18.02</v>
      </c>
      <c r="AE76" s="21">
        <v>11.49</v>
      </c>
      <c r="AF76" s="23">
        <v>50.0</v>
      </c>
      <c r="AG76" s="23">
        <v>10.0</v>
      </c>
      <c r="AH76" s="23">
        <v>5.0</v>
      </c>
      <c r="AI76" s="23">
        <v>35.0</v>
      </c>
      <c r="AJ76" s="41"/>
    </row>
    <row r="77">
      <c r="A77" s="31">
        <v>45510.0</v>
      </c>
      <c r="B77" s="31">
        <v>45517.0</v>
      </c>
      <c r="C77" s="32">
        <v>-0.1</v>
      </c>
      <c r="D77" s="56">
        <v>0.0</v>
      </c>
      <c r="E77" s="34" t="s">
        <v>50</v>
      </c>
      <c r="F77" s="21" t="s">
        <v>163</v>
      </c>
      <c r="G77" s="35" t="s">
        <v>49</v>
      </c>
      <c r="H77" s="21">
        <v>1.0</v>
      </c>
      <c r="I77" s="21">
        <v>281.0</v>
      </c>
      <c r="J77" s="35">
        <v>695.0</v>
      </c>
      <c r="K77" s="35">
        <v>177.0</v>
      </c>
      <c r="L77" s="21">
        <v>235.0</v>
      </c>
      <c r="M77" s="35">
        <v>117.59</v>
      </c>
      <c r="N77" s="21">
        <v>210.08</v>
      </c>
      <c r="O77" s="35">
        <v>94.52</v>
      </c>
      <c r="P77" s="21">
        <v>53.01</v>
      </c>
      <c r="Q77" s="21">
        <v>39.76</v>
      </c>
      <c r="R77" s="21">
        <v>22.75</v>
      </c>
      <c r="S77" s="21">
        <v>4.73</v>
      </c>
      <c r="T77" s="21">
        <v>409.26</v>
      </c>
      <c r="U77" s="35">
        <v>13.9</v>
      </c>
      <c r="V77" s="21">
        <v>1.03</v>
      </c>
      <c r="W77" s="21">
        <v>24.35</v>
      </c>
      <c r="X77" s="21">
        <v>1.88</v>
      </c>
      <c r="Y77" s="21">
        <v>0.17</v>
      </c>
      <c r="Z77" s="21">
        <v>1.03</v>
      </c>
      <c r="AA77" s="21">
        <v>16.77</v>
      </c>
      <c r="AB77" s="21">
        <v>0.07</v>
      </c>
      <c r="AC77" s="21">
        <v>4284.57</v>
      </c>
      <c r="AD77" s="21">
        <v>0.2</v>
      </c>
      <c r="AE77" s="21">
        <v>1393.87</v>
      </c>
      <c r="AF77" s="23">
        <v>75.0</v>
      </c>
      <c r="AG77" s="23">
        <v>10.0</v>
      </c>
      <c r="AH77" s="23">
        <v>5.0</v>
      </c>
      <c r="AI77" s="23">
        <v>10.0</v>
      </c>
      <c r="AJ77" s="23">
        <v>45.0</v>
      </c>
    </row>
    <row r="78">
      <c r="A78" s="31">
        <v>45510.0</v>
      </c>
      <c r="B78" s="31">
        <v>45517.0</v>
      </c>
      <c r="C78" s="32">
        <v>-0.1</v>
      </c>
      <c r="D78" s="56">
        <v>0.0</v>
      </c>
      <c r="E78" s="34" t="s">
        <v>50</v>
      </c>
      <c r="F78" s="21" t="s">
        <v>164</v>
      </c>
      <c r="G78" s="35" t="s">
        <v>49</v>
      </c>
      <c r="H78" s="21">
        <v>2.0</v>
      </c>
      <c r="I78" s="21">
        <v>369.0</v>
      </c>
      <c r="J78" s="35">
        <v>873.0</v>
      </c>
      <c r="K78" s="35">
        <v>552.0</v>
      </c>
      <c r="L78" s="21">
        <v>651.0</v>
      </c>
      <c r="M78" s="35">
        <v>40.0</v>
      </c>
      <c r="N78" s="21">
        <v>679.1</v>
      </c>
      <c r="O78" s="35">
        <v>46.04</v>
      </c>
      <c r="P78" s="21">
        <v>215.62</v>
      </c>
      <c r="Q78" s="21">
        <v>136.75</v>
      </c>
      <c r="R78" s="21">
        <v>90.76</v>
      </c>
      <c r="S78" s="21">
        <v>19.08</v>
      </c>
      <c r="T78" s="21">
        <v>237.21</v>
      </c>
      <c r="U78" s="35">
        <v>17.5</v>
      </c>
      <c r="V78" s="21">
        <v>7.92</v>
      </c>
      <c r="W78" s="21">
        <v>8.63</v>
      </c>
      <c r="X78" s="21">
        <v>0.86</v>
      </c>
      <c r="Y78" s="21">
        <v>5.97</v>
      </c>
      <c r="Z78" s="21">
        <v>8.34</v>
      </c>
      <c r="AA78" s="21">
        <v>8.03</v>
      </c>
      <c r="AB78" s="21">
        <v>6.78</v>
      </c>
      <c r="AC78" s="21">
        <v>54.43</v>
      </c>
      <c r="AD78" s="21">
        <v>4.37</v>
      </c>
      <c r="AE78" s="21">
        <v>84.4</v>
      </c>
      <c r="AF78" s="23">
        <v>74.94</v>
      </c>
      <c r="AG78" s="23">
        <v>9.99</v>
      </c>
      <c r="AH78" s="23">
        <v>5.0</v>
      </c>
      <c r="AI78" s="23">
        <v>9.99</v>
      </c>
      <c r="AJ78" s="23">
        <v>44.96</v>
      </c>
    </row>
    <row r="79">
      <c r="A79" s="31">
        <v>45506.0</v>
      </c>
      <c r="B79" s="31">
        <v>45513.0</v>
      </c>
      <c r="C79" s="32">
        <v>1.14</v>
      </c>
      <c r="D79" s="56">
        <v>0.0</v>
      </c>
      <c r="E79" s="34" t="s">
        <v>98</v>
      </c>
      <c r="F79" s="21" t="s">
        <v>165</v>
      </c>
      <c r="G79" s="35" t="s">
        <v>69</v>
      </c>
      <c r="H79" s="21">
        <v>10.0</v>
      </c>
      <c r="I79" s="21">
        <v>203.0</v>
      </c>
      <c r="J79" s="35">
        <v>-31.0</v>
      </c>
      <c r="K79" s="35">
        <v>73.0</v>
      </c>
      <c r="L79" s="21">
        <v>76.0</v>
      </c>
      <c r="M79" s="35">
        <v>0.0</v>
      </c>
      <c r="N79" s="21">
        <v>91.2</v>
      </c>
      <c r="O79" s="35">
        <v>20.0</v>
      </c>
      <c r="P79" s="21">
        <v>206.54</v>
      </c>
      <c r="Q79" s="21">
        <v>165.71</v>
      </c>
      <c r="R79" s="21">
        <v>116.73</v>
      </c>
      <c r="S79" s="21">
        <v>23.66</v>
      </c>
      <c r="T79" s="21">
        <v>428.19</v>
      </c>
      <c r="U79" s="35">
        <v>-43.0</v>
      </c>
      <c r="V79" s="35">
        <v>-89.8</v>
      </c>
      <c r="W79" s="35">
        <v>-43.0</v>
      </c>
      <c r="X79" s="21">
        <v>0.85</v>
      </c>
      <c r="Y79" s="35">
        <v>-52.9</v>
      </c>
      <c r="Z79" s="35">
        <v>-78.0</v>
      </c>
      <c r="AA79" s="21">
        <v>2.46</v>
      </c>
      <c r="AB79" s="21">
        <v>2.45</v>
      </c>
      <c r="AC79" s="21">
        <v>83.0</v>
      </c>
      <c r="AD79" s="21">
        <v>2.77</v>
      </c>
      <c r="AE79" s="21">
        <v>73.33</v>
      </c>
      <c r="AF79" s="23">
        <v>74.93</v>
      </c>
      <c r="AG79" s="23">
        <v>9.99</v>
      </c>
      <c r="AH79" s="23">
        <v>5.0</v>
      </c>
      <c r="AI79" s="23">
        <v>9.99</v>
      </c>
      <c r="AJ79" s="23">
        <v>44.96</v>
      </c>
    </row>
    <row r="80">
      <c r="A80" s="31">
        <v>45505.0</v>
      </c>
      <c r="B80" s="31">
        <v>45512.0</v>
      </c>
      <c r="C80" s="32">
        <v>-0.46</v>
      </c>
      <c r="D80" s="56">
        <v>-1.0</v>
      </c>
      <c r="E80" s="34" t="s">
        <v>78</v>
      </c>
      <c r="F80" s="21" t="s">
        <v>166</v>
      </c>
      <c r="G80" s="35" t="s">
        <v>49</v>
      </c>
      <c r="H80" s="21">
        <v>5.0</v>
      </c>
      <c r="I80" s="21">
        <v>120.0</v>
      </c>
      <c r="J80" s="35">
        <v>17.501</v>
      </c>
      <c r="K80" s="35">
        <v>418.5</v>
      </c>
      <c r="L80" s="21">
        <v>419.0</v>
      </c>
      <c r="M80" s="35">
        <v>4.49</v>
      </c>
      <c r="N80" s="21">
        <v>386.75</v>
      </c>
      <c r="O80" s="35">
        <v>-3.55</v>
      </c>
      <c r="P80" s="21">
        <v>28.12</v>
      </c>
      <c r="Q80" s="21">
        <v>121.56</v>
      </c>
      <c r="R80" s="21">
        <v>146.83</v>
      </c>
      <c r="S80" s="21">
        <v>44.58</v>
      </c>
      <c r="T80" s="21">
        <v>217.01</v>
      </c>
      <c r="U80" s="35">
        <v>14.0</v>
      </c>
      <c r="V80" s="35">
        <v>28.2</v>
      </c>
      <c r="W80" s="35">
        <v>27.3</v>
      </c>
      <c r="X80" s="35">
        <v>1.18</v>
      </c>
      <c r="Y80" s="21">
        <v>22.93</v>
      </c>
      <c r="Z80" s="21">
        <v>5.81</v>
      </c>
      <c r="AA80" s="35">
        <v>2.49</v>
      </c>
      <c r="AB80" s="35">
        <v>21.9</v>
      </c>
      <c r="AC80" s="35">
        <v>20.7</v>
      </c>
      <c r="AD80" s="35">
        <v>21.9</v>
      </c>
      <c r="AE80" s="35">
        <v>20.7</v>
      </c>
      <c r="AF80" s="23">
        <v>49.91</v>
      </c>
      <c r="AG80" s="23">
        <v>9.98</v>
      </c>
      <c r="AH80" s="23">
        <v>4.99</v>
      </c>
      <c r="AI80" s="23">
        <v>34.94</v>
      </c>
      <c r="AJ80" s="23">
        <v>29.95</v>
      </c>
    </row>
    <row r="81">
      <c r="A81" s="40">
        <v>45505.0</v>
      </c>
      <c r="B81" s="31">
        <v>45510.0</v>
      </c>
      <c r="C81" s="32">
        <v>1.22</v>
      </c>
      <c r="D81" s="56">
        <v>0.0</v>
      </c>
      <c r="E81" s="34" t="s">
        <v>62</v>
      </c>
      <c r="F81" s="21" t="s">
        <v>167</v>
      </c>
      <c r="G81" s="34" t="s">
        <v>69</v>
      </c>
      <c r="H81" s="21">
        <v>2.0</v>
      </c>
      <c r="I81" s="21">
        <v>93.0</v>
      </c>
      <c r="J81" s="35">
        <v>432.0</v>
      </c>
      <c r="K81" s="35">
        <v>722.0</v>
      </c>
      <c r="L81" s="21">
        <v>725.0</v>
      </c>
      <c r="M81" s="35">
        <v>6.77</v>
      </c>
      <c r="N81" s="21">
        <v>796.35</v>
      </c>
      <c r="O81" s="35">
        <v>17.28</v>
      </c>
      <c r="P81" s="21">
        <v>106.73</v>
      </c>
      <c r="Q81" s="21">
        <v>117.4</v>
      </c>
      <c r="R81" s="21">
        <v>95.95</v>
      </c>
      <c r="S81" s="21">
        <v>53.95</v>
      </c>
      <c r="T81" s="21">
        <v>437.13</v>
      </c>
      <c r="U81" s="35">
        <v>10.38</v>
      </c>
      <c r="V81" s="35">
        <v>13.52</v>
      </c>
      <c r="W81" s="35">
        <v>24.0</v>
      </c>
      <c r="X81" s="35">
        <v>0.75</v>
      </c>
      <c r="Y81" s="35">
        <v>2.64</v>
      </c>
      <c r="Z81" s="21">
        <v>15.26</v>
      </c>
      <c r="AA81" s="21">
        <v>8.14</v>
      </c>
      <c r="AB81" s="21">
        <v>0.62</v>
      </c>
      <c r="AC81" s="21">
        <v>148.87</v>
      </c>
      <c r="AD81" s="21">
        <v>2.26</v>
      </c>
      <c r="AE81" s="21">
        <v>41.12</v>
      </c>
      <c r="AF81" s="23">
        <v>74.33</v>
      </c>
      <c r="AG81" s="23">
        <v>9.91</v>
      </c>
      <c r="AH81" s="23">
        <v>4.96</v>
      </c>
      <c r="AI81" s="23">
        <v>9.91</v>
      </c>
      <c r="AJ81" s="23">
        <v>44.6</v>
      </c>
    </row>
    <row r="82">
      <c r="A82" s="31">
        <v>45476.0</v>
      </c>
      <c r="B82" s="31">
        <v>45483.0</v>
      </c>
      <c r="C82" s="32">
        <v>-0.24</v>
      </c>
      <c r="D82" s="56">
        <v>1.0</v>
      </c>
      <c r="E82" s="34" t="s">
        <v>81</v>
      </c>
      <c r="F82" s="21" t="s">
        <v>168</v>
      </c>
      <c r="G82" s="34" t="s">
        <v>69</v>
      </c>
      <c r="H82" s="21">
        <v>5.0</v>
      </c>
      <c r="I82" s="37">
        <v>256.0</v>
      </c>
      <c r="J82" s="35">
        <v>704.0</v>
      </c>
      <c r="K82" s="35">
        <v>326.0</v>
      </c>
      <c r="L82" s="21">
        <v>356.0</v>
      </c>
      <c r="M82" s="35">
        <v>39.06</v>
      </c>
      <c r="N82" s="21">
        <v>350.35</v>
      </c>
      <c r="O82" s="35">
        <v>36.86</v>
      </c>
      <c r="P82" s="42">
        <v>153.86</v>
      </c>
      <c r="Q82" s="42">
        <v>55.27</v>
      </c>
      <c r="R82" s="42">
        <v>52.11</v>
      </c>
      <c r="S82" s="42">
        <v>14.37</v>
      </c>
      <c r="T82" s="42">
        <v>422.37</v>
      </c>
      <c r="U82" s="42">
        <v>6.05</v>
      </c>
      <c r="V82" s="42">
        <v>21.19</v>
      </c>
      <c r="W82" s="42">
        <v>18.46</v>
      </c>
      <c r="X82" s="42">
        <v>1.48</v>
      </c>
      <c r="Y82" s="42">
        <v>3.19</v>
      </c>
      <c r="Z82" s="42">
        <v>18.27</v>
      </c>
      <c r="AA82" s="42">
        <v>7.72</v>
      </c>
      <c r="AB82" s="42">
        <v>6.18</v>
      </c>
      <c r="AC82" s="42">
        <v>41.41</v>
      </c>
      <c r="AD82" s="42">
        <v>5.03</v>
      </c>
      <c r="AE82" s="42">
        <v>50.86</v>
      </c>
      <c r="AF82" s="23">
        <v>50.0</v>
      </c>
      <c r="AG82" s="23">
        <v>10.0</v>
      </c>
      <c r="AH82" s="23">
        <v>5.0</v>
      </c>
      <c r="AI82" s="23">
        <v>35.0</v>
      </c>
      <c r="AJ82" s="23">
        <v>30.0</v>
      </c>
    </row>
    <row r="83">
      <c r="A83" s="31">
        <v>45492.0</v>
      </c>
      <c r="B83" s="31">
        <v>45499.0</v>
      </c>
      <c r="C83" s="32">
        <v>0.67</v>
      </c>
      <c r="D83" s="56">
        <v>1.0</v>
      </c>
      <c r="E83" s="34" t="s">
        <v>47</v>
      </c>
      <c r="F83" s="21" t="s">
        <v>169</v>
      </c>
      <c r="G83" s="35" t="s">
        <v>49</v>
      </c>
      <c r="H83" s="21">
        <v>2.0</v>
      </c>
      <c r="I83" s="35">
        <v>95.0</v>
      </c>
      <c r="J83" s="35">
        <v>254.0</v>
      </c>
      <c r="K83" s="35">
        <v>120.0</v>
      </c>
      <c r="L83" s="21">
        <v>109.0</v>
      </c>
      <c r="M83" s="35">
        <v>14.74</v>
      </c>
      <c r="N83" s="21">
        <v>115.09</v>
      </c>
      <c r="O83" s="35">
        <v>21.15</v>
      </c>
      <c r="P83" s="35">
        <v>145.0</v>
      </c>
      <c r="Q83" s="35">
        <v>149.0</v>
      </c>
      <c r="R83" s="35">
        <v>110.0</v>
      </c>
      <c r="S83" s="35">
        <v>24.23</v>
      </c>
      <c r="T83" s="35">
        <v>215.91</v>
      </c>
      <c r="U83" s="35">
        <v>6.01</v>
      </c>
      <c r="V83" s="35">
        <v>30.92</v>
      </c>
      <c r="W83" s="35">
        <v>24.43</v>
      </c>
      <c r="X83" s="35">
        <v>0.5</v>
      </c>
      <c r="Y83" s="35">
        <v>6.17</v>
      </c>
      <c r="Z83" s="35">
        <v>30.92</v>
      </c>
      <c r="AA83" s="35">
        <v>6.18</v>
      </c>
      <c r="AB83" s="35">
        <v>4.75</v>
      </c>
      <c r="AC83" s="35">
        <v>19.98</v>
      </c>
      <c r="AD83" s="35">
        <v>3.66</v>
      </c>
      <c r="AE83" s="35">
        <v>25.93</v>
      </c>
      <c r="AF83" s="23">
        <v>50.0</v>
      </c>
      <c r="AG83" s="23">
        <v>10.0</v>
      </c>
      <c r="AH83" s="23">
        <v>5.0</v>
      </c>
      <c r="AI83" s="23">
        <v>35.0</v>
      </c>
      <c r="AJ83" s="23">
        <v>30.0</v>
      </c>
    </row>
    <row r="84">
      <c r="A84" s="31">
        <v>45476.0</v>
      </c>
      <c r="B84" s="31">
        <v>45483.0</v>
      </c>
      <c r="C84" s="32">
        <v>-0.24</v>
      </c>
      <c r="D84" s="56">
        <v>1.0</v>
      </c>
      <c r="E84" s="34" t="s">
        <v>62</v>
      </c>
      <c r="F84" s="21" t="s">
        <v>170</v>
      </c>
      <c r="G84" s="34" t="s">
        <v>69</v>
      </c>
      <c r="H84" s="21">
        <v>10.0</v>
      </c>
      <c r="I84" s="43">
        <v>1008.0</v>
      </c>
      <c r="J84" s="35">
        <v>3004.0</v>
      </c>
      <c r="K84" s="35">
        <v>1308.0</v>
      </c>
      <c r="L84" s="21">
        <v>1325.05</v>
      </c>
      <c r="M84" s="35">
        <v>31.45</v>
      </c>
      <c r="N84" s="21">
        <v>1359.15</v>
      </c>
      <c r="O84" s="35">
        <v>34.84</v>
      </c>
      <c r="P84" s="42">
        <v>191.24</v>
      </c>
      <c r="Q84" s="42">
        <v>54.9</v>
      </c>
      <c r="R84" s="42">
        <v>38.16</v>
      </c>
      <c r="S84" s="42">
        <v>7.36</v>
      </c>
      <c r="T84" s="42">
        <v>2952.28</v>
      </c>
      <c r="U84" s="42">
        <v>12.4</v>
      </c>
      <c r="V84" s="42">
        <v>16.9</v>
      </c>
      <c r="W84" s="42">
        <v>19.37</v>
      </c>
      <c r="X84" s="42">
        <v>0.67</v>
      </c>
      <c r="Y84" s="42">
        <v>8.9</v>
      </c>
      <c r="Z84" s="42">
        <v>16.87</v>
      </c>
      <c r="AA84" s="42">
        <v>6.18</v>
      </c>
      <c r="AB84" s="42">
        <v>29.17</v>
      </c>
      <c r="AC84" s="42">
        <v>34.55</v>
      </c>
      <c r="AD84" s="42">
        <v>27.95</v>
      </c>
      <c r="AE84" s="42">
        <v>36.07</v>
      </c>
      <c r="AF84" s="23">
        <v>49.72</v>
      </c>
      <c r="AG84" s="23">
        <v>9.94</v>
      </c>
      <c r="AH84" s="23">
        <v>4.97</v>
      </c>
      <c r="AI84" s="23">
        <v>34.8</v>
      </c>
      <c r="AJ84" s="23">
        <v>29.83</v>
      </c>
    </row>
    <row r="85">
      <c r="A85" s="31">
        <v>45469.0</v>
      </c>
      <c r="B85" s="31">
        <v>45476.0</v>
      </c>
      <c r="C85" s="32">
        <v>0.66</v>
      </c>
      <c r="D85" s="56">
        <v>1.0</v>
      </c>
      <c r="E85" s="34" t="s">
        <v>81</v>
      </c>
      <c r="F85" s="21" t="s">
        <v>171</v>
      </c>
      <c r="G85" s="34" t="s">
        <v>49</v>
      </c>
      <c r="H85" s="44">
        <v>10.0</v>
      </c>
      <c r="I85" s="43">
        <v>207.0</v>
      </c>
      <c r="J85" s="35">
        <v>504.0</v>
      </c>
      <c r="K85" s="35">
        <v>257.0</v>
      </c>
      <c r="L85" s="21">
        <v>240.0</v>
      </c>
      <c r="M85" s="35">
        <v>15.94</v>
      </c>
      <c r="N85" s="21">
        <v>252.0</v>
      </c>
      <c r="O85" s="35">
        <v>21.74</v>
      </c>
      <c r="P85" s="42">
        <v>173.99</v>
      </c>
      <c r="Q85" s="42">
        <v>217.5</v>
      </c>
      <c r="R85" s="42">
        <v>229.99</v>
      </c>
      <c r="S85" s="42">
        <v>58.31</v>
      </c>
      <c r="T85" s="42">
        <v>187.5</v>
      </c>
      <c r="U85" s="42">
        <v>15.77</v>
      </c>
      <c r="V85" s="42">
        <v>23.78</v>
      </c>
      <c r="W85" s="42">
        <v>25.34</v>
      </c>
      <c r="X85" s="42">
        <v>0.27</v>
      </c>
      <c r="Y85" s="42">
        <v>3.61</v>
      </c>
      <c r="Z85" s="42">
        <v>23.78</v>
      </c>
      <c r="AA85" s="42">
        <v>2.73</v>
      </c>
      <c r="AB85" s="42">
        <v>21.84</v>
      </c>
      <c r="AC85" s="42">
        <v>9.48</v>
      </c>
      <c r="AD85" s="42">
        <v>18.02</v>
      </c>
      <c r="AE85" s="42">
        <v>11.49</v>
      </c>
      <c r="AF85" s="23">
        <v>50.0</v>
      </c>
      <c r="AG85" s="23">
        <v>10.0</v>
      </c>
      <c r="AH85" s="23">
        <v>5.0</v>
      </c>
      <c r="AI85" s="23">
        <v>35.0</v>
      </c>
      <c r="AJ85" s="23">
        <v>30.0</v>
      </c>
    </row>
    <row r="86">
      <c r="A86" s="31">
        <v>45468.0</v>
      </c>
      <c r="B86" s="31">
        <v>45475.0</v>
      </c>
      <c r="C86" s="32">
        <v>0.01</v>
      </c>
      <c r="D86" s="56">
        <v>1.0</v>
      </c>
      <c r="E86" s="34" t="s">
        <v>71</v>
      </c>
      <c r="F86" s="21" t="s">
        <v>172</v>
      </c>
      <c r="G86" s="34" t="s">
        <v>69</v>
      </c>
      <c r="H86" s="21">
        <v>2.0</v>
      </c>
      <c r="I86" s="43">
        <v>281.0</v>
      </c>
      <c r="J86" s="35">
        <v>594.0</v>
      </c>
      <c r="K86" s="35">
        <v>340.0</v>
      </c>
      <c r="L86" s="21">
        <v>320.0</v>
      </c>
      <c r="M86" s="35">
        <v>13.88</v>
      </c>
      <c r="N86" s="21">
        <v>317.9</v>
      </c>
      <c r="O86" s="35">
        <v>13.13</v>
      </c>
      <c r="P86" s="42">
        <v>53.01</v>
      </c>
      <c r="Q86" s="42">
        <v>39.76</v>
      </c>
      <c r="R86" s="42">
        <v>22.75</v>
      </c>
      <c r="S86" s="42">
        <v>4.73</v>
      </c>
      <c r="T86" s="42">
        <v>409.26</v>
      </c>
      <c r="U86" s="42">
        <v>2.3</v>
      </c>
      <c r="V86" s="42">
        <v>1.03</v>
      </c>
      <c r="W86" s="42">
        <v>24.35</v>
      </c>
      <c r="X86" s="42">
        <v>1.88</v>
      </c>
      <c r="Y86" s="42">
        <v>0.17</v>
      </c>
      <c r="Z86" s="42">
        <v>1.03</v>
      </c>
      <c r="AA86" s="42">
        <v>16.77</v>
      </c>
      <c r="AB86" s="42">
        <v>0.07</v>
      </c>
      <c r="AC86" s="42">
        <v>4284.57</v>
      </c>
      <c r="AD86" s="42">
        <v>0.2</v>
      </c>
      <c r="AE86" s="42">
        <v>1393.87</v>
      </c>
      <c r="AF86" s="23">
        <v>49.89</v>
      </c>
      <c r="AG86" s="23">
        <v>9.98</v>
      </c>
      <c r="AH86" s="23">
        <v>4.99</v>
      </c>
      <c r="AI86" s="23">
        <v>34.92</v>
      </c>
      <c r="AJ86" s="23">
        <v>29.93</v>
      </c>
    </row>
    <row r="87">
      <c r="A87" s="31">
        <v>45464.0</v>
      </c>
      <c r="B87" s="31">
        <v>45471.0</v>
      </c>
      <c r="C87" s="32">
        <v>0.43</v>
      </c>
      <c r="D87" s="56">
        <v>1.0</v>
      </c>
      <c r="E87" s="34" t="s">
        <v>47</v>
      </c>
      <c r="F87" s="21" t="s">
        <v>173</v>
      </c>
      <c r="G87" s="34" t="s">
        <v>49</v>
      </c>
      <c r="H87" s="44">
        <v>2.0</v>
      </c>
      <c r="I87" s="43">
        <v>369.0</v>
      </c>
      <c r="J87" s="35">
        <v>1734.0</v>
      </c>
      <c r="K87" s="35">
        <v>542.0</v>
      </c>
      <c r="L87" s="21">
        <v>494.95</v>
      </c>
      <c r="M87" s="35">
        <v>34.13</v>
      </c>
      <c r="N87" s="21">
        <v>474.75</v>
      </c>
      <c r="O87" s="35">
        <v>28.66</v>
      </c>
      <c r="P87" s="42">
        <v>215.62</v>
      </c>
      <c r="Q87" s="42">
        <v>136.75</v>
      </c>
      <c r="R87" s="42">
        <v>90.76</v>
      </c>
      <c r="S87" s="42">
        <v>19.08</v>
      </c>
      <c r="T87" s="42">
        <v>237.21</v>
      </c>
      <c r="U87" s="42">
        <v>19.34</v>
      </c>
      <c r="V87" s="42">
        <v>7.92</v>
      </c>
      <c r="W87" s="42">
        <v>8.63</v>
      </c>
      <c r="X87" s="42">
        <v>0.86</v>
      </c>
      <c r="Y87" s="42">
        <v>5.97</v>
      </c>
      <c r="Z87" s="42">
        <v>8.34</v>
      </c>
      <c r="AA87" s="42">
        <v>8.03</v>
      </c>
      <c r="AB87" s="42">
        <v>6.78</v>
      </c>
      <c r="AC87" s="42">
        <v>54.43</v>
      </c>
      <c r="AD87" s="42">
        <v>4.37</v>
      </c>
      <c r="AE87" s="42">
        <v>84.4</v>
      </c>
      <c r="AF87" s="23">
        <v>50.0</v>
      </c>
      <c r="AG87" s="23">
        <v>10.0</v>
      </c>
      <c r="AH87" s="23">
        <v>5.0</v>
      </c>
      <c r="AI87" s="23">
        <v>35.0</v>
      </c>
      <c r="AJ87" s="23">
        <v>30.0</v>
      </c>
    </row>
    <row r="88">
      <c r="A88" s="31">
        <v>45462.0</v>
      </c>
      <c r="B88" s="31">
        <v>45469.0</v>
      </c>
      <c r="C88" s="32">
        <v>-0.08</v>
      </c>
      <c r="D88" s="56">
        <v>1.0</v>
      </c>
      <c r="E88" s="34" t="s">
        <v>47</v>
      </c>
      <c r="F88" s="21" t="s">
        <v>174</v>
      </c>
      <c r="G88" s="34" t="s">
        <v>49</v>
      </c>
      <c r="H88" s="44">
        <v>10.0</v>
      </c>
      <c r="I88" s="43">
        <v>203.0</v>
      </c>
      <c r="J88" s="35">
        <v>904.0</v>
      </c>
      <c r="K88" s="35">
        <v>293.0</v>
      </c>
      <c r="L88" s="21">
        <v>339.0</v>
      </c>
      <c r="M88" s="35">
        <v>67.0</v>
      </c>
      <c r="N88" s="21">
        <v>335.32</v>
      </c>
      <c r="O88" s="35">
        <v>65.18</v>
      </c>
      <c r="P88" s="42">
        <v>206.54</v>
      </c>
      <c r="Q88" s="42">
        <v>165.71</v>
      </c>
      <c r="R88" s="42">
        <v>116.73</v>
      </c>
      <c r="S88" s="42">
        <v>23.66</v>
      </c>
      <c r="T88" s="42">
        <v>428.19</v>
      </c>
      <c r="U88" s="42">
        <v>11.62</v>
      </c>
      <c r="V88" s="42">
        <v>3.06</v>
      </c>
      <c r="W88" s="42">
        <v>3.91</v>
      </c>
      <c r="X88" s="42">
        <v>0.85</v>
      </c>
      <c r="Y88" s="42">
        <v>2.63</v>
      </c>
      <c r="Z88" s="42">
        <v>3.35</v>
      </c>
      <c r="AA88" s="42">
        <v>2.46</v>
      </c>
      <c r="AB88" s="42">
        <v>2.45</v>
      </c>
      <c r="AC88" s="42">
        <v>83.0</v>
      </c>
      <c r="AD88" s="42">
        <v>2.77</v>
      </c>
      <c r="AE88" s="42">
        <v>73.33</v>
      </c>
      <c r="AF88" s="23">
        <v>49.87</v>
      </c>
      <c r="AG88" s="23">
        <v>9.97</v>
      </c>
      <c r="AH88" s="23">
        <v>4.99</v>
      </c>
      <c r="AI88" s="23">
        <v>34.91</v>
      </c>
      <c r="AJ88" s="23">
        <v>29.92</v>
      </c>
    </row>
    <row r="89">
      <c r="A89" s="31">
        <v>45462.0</v>
      </c>
      <c r="B89" s="31">
        <v>45469.0</v>
      </c>
      <c r="C89" s="32">
        <v>-0.08</v>
      </c>
      <c r="D89" s="56">
        <v>1.0</v>
      </c>
      <c r="E89" s="34" t="s">
        <v>209</v>
      </c>
      <c r="F89" s="21" t="s">
        <v>175</v>
      </c>
      <c r="G89" s="34" t="s">
        <v>49</v>
      </c>
      <c r="H89" s="44">
        <v>10.0</v>
      </c>
      <c r="I89" s="43">
        <v>120.0</v>
      </c>
      <c r="J89" s="35">
        <v>163.0</v>
      </c>
      <c r="K89" s="35">
        <v>136.0</v>
      </c>
      <c r="L89" s="21">
        <v>127.0</v>
      </c>
      <c r="M89" s="35">
        <v>5.83</v>
      </c>
      <c r="N89" s="21">
        <v>133.35</v>
      </c>
      <c r="O89" s="35">
        <v>11.13</v>
      </c>
      <c r="P89" s="42">
        <v>28.12</v>
      </c>
      <c r="Q89" s="42">
        <v>121.56</v>
      </c>
      <c r="R89" s="42">
        <v>146.83</v>
      </c>
      <c r="S89" s="42">
        <v>44.58</v>
      </c>
      <c r="T89" s="42">
        <v>217.01</v>
      </c>
      <c r="U89" s="42">
        <v>69.45</v>
      </c>
      <c r="V89" s="42">
        <v>5.64</v>
      </c>
      <c r="W89" s="42">
        <v>4.05</v>
      </c>
      <c r="X89" s="42">
        <v>2.49</v>
      </c>
      <c r="Y89" s="42">
        <v>22.93</v>
      </c>
      <c r="Z89" s="42">
        <v>5.81</v>
      </c>
      <c r="AA89" s="42">
        <v>1.4</v>
      </c>
      <c r="AB89" s="42">
        <v>3.87</v>
      </c>
      <c r="AC89" s="42">
        <v>20.0</v>
      </c>
      <c r="AD89" s="42">
        <v>5.85</v>
      </c>
      <c r="AE89" s="42">
        <v>20.0</v>
      </c>
      <c r="AF89" s="23">
        <v>47.5</v>
      </c>
      <c r="AG89" s="23">
        <v>9.5</v>
      </c>
      <c r="AH89" s="23">
        <v>4.75</v>
      </c>
      <c r="AI89" s="23">
        <v>33.25</v>
      </c>
      <c r="AJ89" s="23">
        <v>28.5</v>
      </c>
    </row>
    <row r="90">
      <c r="A90" s="31">
        <v>45453.0</v>
      </c>
      <c r="B90" s="31">
        <v>45461.0</v>
      </c>
      <c r="C90" s="32">
        <v>0.45</v>
      </c>
      <c r="D90" s="56">
        <v>1.0</v>
      </c>
      <c r="E90" s="34" t="s">
        <v>50</v>
      </c>
      <c r="F90" s="21" t="s">
        <v>176</v>
      </c>
      <c r="G90" s="34" t="s">
        <v>49</v>
      </c>
      <c r="H90" s="21">
        <v>1.0</v>
      </c>
      <c r="I90" s="42">
        <v>93.0</v>
      </c>
      <c r="J90" s="35">
        <v>30.504</v>
      </c>
      <c r="K90" s="35">
        <v>123.5</v>
      </c>
      <c r="L90" s="21">
        <v>138.1</v>
      </c>
      <c r="M90" s="35">
        <v>48.49</v>
      </c>
      <c r="N90" s="21">
        <v>165.72</v>
      </c>
      <c r="O90" s="35">
        <v>78.19</v>
      </c>
      <c r="P90" s="42">
        <v>106.73</v>
      </c>
      <c r="Q90" s="42">
        <v>117.4</v>
      </c>
      <c r="R90" s="42">
        <v>95.95</v>
      </c>
      <c r="S90" s="42">
        <v>53.95</v>
      </c>
      <c r="T90" s="42">
        <v>437.13</v>
      </c>
      <c r="U90" s="42">
        <v>8.99</v>
      </c>
      <c r="V90" s="42">
        <v>6.26</v>
      </c>
      <c r="W90" s="42">
        <v>8.0</v>
      </c>
      <c r="X90" s="42">
        <v>0.15</v>
      </c>
      <c r="Y90" s="42">
        <v>4.52</v>
      </c>
      <c r="Z90" s="42">
        <v>15.26</v>
      </c>
      <c r="AA90" s="42">
        <v>8.14</v>
      </c>
      <c r="AB90" s="42">
        <v>0.62</v>
      </c>
      <c r="AC90" s="42">
        <v>148.87</v>
      </c>
      <c r="AD90" s="42">
        <v>2.26</v>
      </c>
      <c r="AE90" s="42">
        <v>41.12</v>
      </c>
      <c r="AF90" s="23">
        <v>75.0</v>
      </c>
      <c r="AG90" s="23">
        <v>10.0</v>
      </c>
      <c r="AH90" s="23">
        <v>5.0</v>
      </c>
      <c r="AI90" s="23">
        <v>10.0</v>
      </c>
      <c r="AJ90" s="23">
        <v>45.0</v>
      </c>
    </row>
    <row r="91">
      <c r="A91" s="31">
        <v>45446.0</v>
      </c>
      <c r="B91" s="31">
        <v>45453.0</v>
      </c>
      <c r="C91" s="32">
        <v>-0.09</v>
      </c>
      <c r="D91" s="56">
        <v>1.0</v>
      </c>
      <c r="E91" s="34" t="s">
        <v>81</v>
      </c>
      <c r="F91" s="21" t="s">
        <v>177</v>
      </c>
      <c r="G91" s="34" t="s">
        <v>49</v>
      </c>
      <c r="H91" s="44">
        <v>10.0</v>
      </c>
      <c r="I91" s="43">
        <v>136.0</v>
      </c>
      <c r="J91" s="35">
        <v>284.0</v>
      </c>
      <c r="K91" s="35">
        <v>164.0</v>
      </c>
      <c r="L91" s="21">
        <v>164.95</v>
      </c>
      <c r="M91" s="35">
        <v>21.29</v>
      </c>
      <c r="N91" s="21">
        <v>151.4</v>
      </c>
      <c r="O91" s="35">
        <v>11.32</v>
      </c>
      <c r="P91" s="42">
        <v>89.03</v>
      </c>
      <c r="Q91" s="42">
        <v>322.26</v>
      </c>
      <c r="R91" s="42">
        <v>261.22</v>
      </c>
      <c r="S91" s="42">
        <v>54.24</v>
      </c>
      <c r="T91" s="42">
        <v>60.28</v>
      </c>
      <c r="U91" s="42">
        <v>25.0</v>
      </c>
      <c r="V91" s="42">
        <v>25.66</v>
      </c>
      <c r="W91" s="42">
        <v>33.15</v>
      </c>
      <c r="X91" s="42">
        <v>0.0</v>
      </c>
      <c r="Y91" s="42">
        <v>22.6</v>
      </c>
      <c r="Z91" s="42">
        <v>25.66</v>
      </c>
      <c r="AA91" s="42">
        <v>8.37</v>
      </c>
      <c r="AB91" s="42">
        <v>4.48</v>
      </c>
      <c r="AC91" s="42">
        <v>30.37</v>
      </c>
      <c r="AD91" s="42">
        <v>5.56</v>
      </c>
      <c r="AE91" s="42">
        <v>24.47</v>
      </c>
      <c r="AF91" s="23">
        <v>50.0</v>
      </c>
      <c r="AG91" s="23">
        <v>10.0</v>
      </c>
      <c r="AH91" s="23">
        <v>5.0</v>
      </c>
      <c r="AI91" s="23">
        <v>35.0</v>
      </c>
      <c r="AJ91" s="23">
        <v>30.0</v>
      </c>
    </row>
    <row r="92">
      <c r="A92" s="31">
        <v>45434.0</v>
      </c>
      <c r="B92" s="31">
        <v>45442.0</v>
      </c>
      <c r="C92" s="32">
        <v>-0.49</v>
      </c>
      <c r="D92" s="56">
        <v>0.0</v>
      </c>
      <c r="E92" s="34" t="s">
        <v>55</v>
      </c>
      <c r="F92" s="21" t="s">
        <v>178</v>
      </c>
      <c r="G92" s="34" t="s">
        <v>49</v>
      </c>
      <c r="H92" s="44">
        <v>10.0</v>
      </c>
      <c r="I92" s="43">
        <v>383.0</v>
      </c>
      <c r="J92" s="35">
        <v>844.0</v>
      </c>
      <c r="K92" s="35">
        <v>467.0</v>
      </c>
      <c r="L92" s="21">
        <v>435.0</v>
      </c>
      <c r="M92" s="35">
        <v>13.58</v>
      </c>
      <c r="N92" s="21">
        <v>402.95</v>
      </c>
      <c r="O92" s="35">
        <v>5.21</v>
      </c>
      <c r="P92" s="42">
        <v>116.95</v>
      </c>
      <c r="Q92" s="42">
        <v>138.15</v>
      </c>
      <c r="R92" s="42">
        <v>111.53</v>
      </c>
      <c r="S92" s="42">
        <v>53.23</v>
      </c>
      <c r="T92" s="42">
        <v>247.19</v>
      </c>
      <c r="U92" s="42">
        <v>1.0</v>
      </c>
      <c r="V92" s="42">
        <v>-35.0</v>
      </c>
      <c r="W92" s="42">
        <v>1.1</v>
      </c>
      <c r="X92" s="42">
        <v>3.0</v>
      </c>
      <c r="Y92" s="42">
        <v>-8.6</v>
      </c>
      <c r="Z92" s="42">
        <v>-7.66</v>
      </c>
      <c r="AA92" s="42">
        <v>9.63</v>
      </c>
      <c r="AB92" s="57">
        <v>0.0</v>
      </c>
      <c r="AC92" s="57">
        <v>0.0</v>
      </c>
      <c r="AD92" s="57">
        <v>0.0</v>
      </c>
      <c r="AE92" s="57">
        <v>0.0</v>
      </c>
      <c r="AF92" s="23">
        <v>74.72</v>
      </c>
      <c r="AG92" s="23">
        <v>9.96</v>
      </c>
      <c r="AH92" s="23">
        <v>4.98</v>
      </c>
      <c r="AI92" s="23">
        <v>9.96</v>
      </c>
      <c r="AJ92" s="23">
        <v>44.83</v>
      </c>
    </row>
    <row r="93">
      <c r="A93" s="31">
        <v>45427.0</v>
      </c>
      <c r="B93" s="31">
        <v>45435.0</v>
      </c>
      <c r="C93" s="32">
        <v>0.25</v>
      </c>
      <c r="D93" s="56">
        <v>1.0</v>
      </c>
      <c r="E93" s="34" t="s">
        <v>209</v>
      </c>
      <c r="F93" s="21" t="s">
        <v>179</v>
      </c>
      <c r="G93" s="34" t="s">
        <v>49</v>
      </c>
      <c r="H93" s="21">
        <v>10.0</v>
      </c>
      <c r="I93" s="43">
        <v>272.0</v>
      </c>
      <c r="J93" s="35">
        <v>41.0</v>
      </c>
      <c r="K93" s="35">
        <v>276.0</v>
      </c>
      <c r="L93" s="21">
        <v>286.0</v>
      </c>
      <c r="M93" s="35">
        <v>5.15</v>
      </c>
      <c r="N93" s="21">
        <v>306.0</v>
      </c>
      <c r="O93" s="35">
        <v>12.5</v>
      </c>
      <c r="P93" s="42">
        <v>12.56</v>
      </c>
      <c r="Q93" s="42">
        <v>8.28</v>
      </c>
      <c r="R93" s="42">
        <v>5.15</v>
      </c>
      <c r="S93" s="42">
        <v>4.27</v>
      </c>
      <c r="T93" s="42">
        <v>2459.34</v>
      </c>
      <c r="U93" s="42">
        <v>0.7</v>
      </c>
      <c r="V93" s="42">
        <v>1.53</v>
      </c>
      <c r="W93" s="42">
        <v>1.69</v>
      </c>
      <c r="X93" s="42">
        <v>0.06</v>
      </c>
      <c r="Y93" s="42">
        <v>0.49</v>
      </c>
      <c r="Z93" s="42">
        <v>5.25</v>
      </c>
      <c r="AA93" s="42">
        <v>9.67</v>
      </c>
      <c r="AB93" s="42">
        <v>0.41</v>
      </c>
      <c r="AC93" s="42">
        <v>670.31</v>
      </c>
      <c r="AD93" s="42">
        <v>1.88</v>
      </c>
      <c r="AE93" s="42">
        <v>145.03</v>
      </c>
      <c r="AF93" s="23">
        <v>75.0</v>
      </c>
      <c r="AG93" s="23">
        <v>10.0</v>
      </c>
      <c r="AH93" s="23">
        <v>5.0</v>
      </c>
      <c r="AI93" s="23">
        <v>10.0</v>
      </c>
      <c r="AJ93" s="23">
        <v>45.0</v>
      </c>
    </row>
    <row r="94">
      <c r="A94" s="31">
        <v>45420.0</v>
      </c>
      <c r="B94" s="31">
        <v>45427.0</v>
      </c>
      <c r="C94" s="32">
        <v>0.01</v>
      </c>
      <c r="D94" s="56">
        <v>0.0</v>
      </c>
      <c r="E94" s="34" t="s">
        <v>55</v>
      </c>
      <c r="F94" s="21" t="s">
        <v>180</v>
      </c>
      <c r="G94" s="34" t="s">
        <v>69</v>
      </c>
      <c r="H94" s="44">
        <v>1.0</v>
      </c>
      <c r="I94" s="43">
        <v>920.0</v>
      </c>
      <c r="J94" s="35">
        <v>3004.0</v>
      </c>
      <c r="K94" s="35">
        <v>1220.0</v>
      </c>
      <c r="L94" s="21">
        <v>1426.0</v>
      </c>
      <c r="M94" s="35">
        <v>55.0</v>
      </c>
      <c r="N94" s="21">
        <v>1406.3</v>
      </c>
      <c r="O94" s="35">
        <v>52.86</v>
      </c>
      <c r="P94" s="42">
        <v>125.51</v>
      </c>
      <c r="Q94" s="42">
        <v>55.82</v>
      </c>
      <c r="R94" s="42">
        <v>40.15</v>
      </c>
      <c r="S94" s="42">
        <v>25.72</v>
      </c>
      <c r="T94" s="42">
        <v>501.21</v>
      </c>
      <c r="U94" s="42">
        <v>17.0</v>
      </c>
      <c r="V94" s="42">
        <v>44.0</v>
      </c>
      <c r="W94" s="42">
        <v>60.0</v>
      </c>
      <c r="X94" s="42">
        <v>0.01</v>
      </c>
      <c r="Y94" s="42">
        <v>13.9</v>
      </c>
      <c r="Z94" s="42">
        <v>30.76</v>
      </c>
      <c r="AA94" s="42">
        <v>18.66</v>
      </c>
      <c r="AB94" s="42">
        <v>14.25</v>
      </c>
      <c r="AC94" s="42">
        <v>64.58</v>
      </c>
      <c r="AD94" s="42">
        <v>18.93</v>
      </c>
      <c r="AE94" s="42">
        <v>48.6</v>
      </c>
      <c r="AF94" s="23">
        <v>74.85</v>
      </c>
      <c r="AG94" s="23">
        <v>9.98</v>
      </c>
      <c r="AH94" s="23">
        <v>4.99</v>
      </c>
      <c r="AI94" s="23">
        <v>9.98</v>
      </c>
      <c r="AJ94" s="23">
        <v>44.91</v>
      </c>
    </row>
    <row r="95">
      <c r="A95" s="31">
        <v>45420.0</v>
      </c>
      <c r="B95" s="31">
        <v>45427.0</v>
      </c>
      <c r="C95" s="32">
        <v>0.01</v>
      </c>
      <c r="D95" s="56">
        <v>0.0</v>
      </c>
      <c r="E95" s="34" t="s">
        <v>209</v>
      </c>
      <c r="F95" s="35" t="s">
        <v>213</v>
      </c>
      <c r="G95" s="34" t="s">
        <v>49</v>
      </c>
      <c r="H95" s="44">
        <v>10.0</v>
      </c>
      <c r="I95" s="43">
        <v>315.0</v>
      </c>
      <c r="J95" s="35">
        <v>433.0</v>
      </c>
      <c r="K95" s="35">
        <v>358.0</v>
      </c>
      <c r="L95" s="21">
        <v>315.0</v>
      </c>
      <c r="M95" s="35">
        <v>0.0</v>
      </c>
      <c r="N95" s="21">
        <v>329.55</v>
      </c>
      <c r="O95" s="35">
        <v>4.62</v>
      </c>
      <c r="P95" s="42">
        <v>76.42</v>
      </c>
      <c r="Q95" s="42">
        <v>18.9</v>
      </c>
      <c r="R95" s="42">
        <v>14.19</v>
      </c>
      <c r="S95" s="42">
        <v>2.58</v>
      </c>
      <c r="T95" s="42">
        <v>4249.1</v>
      </c>
      <c r="U95" s="42">
        <v>86.5</v>
      </c>
      <c r="V95" s="42">
        <v>18.4</v>
      </c>
      <c r="W95" s="42">
        <v>10.08</v>
      </c>
      <c r="X95" s="42">
        <v>3.1</v>
      </c>
      <c r="Y95" s="42">
        <v>26.7</v>
      </c>
      <c r="Z95" s="42">
        <v>12.9</v>
      </c>
      <c r="AA95" s="42">
        <v>2.93</v>
      </c>
      <c r="AB95" s="42">
        <v>13.81</v>
      </c>
      <c r="AC95" s="42">
        <v>22.8</v>
      </c>
      <c r="AD95" s="42">
        <v>17.13</v>
      </c>
      <c r="AE95" s="42">
        <v>18.39</v>
      </c>
      <c r="AF95" s="23">
        <v>49.87</v>
      </c>
      <c r="AG95" s="23">
        <v>9.97</v>
      </c>
      <c r="AH95" s="23">
        <v>4.99</v>
      </c>
      <c r="AI95" s="23">
        <v>34.91</v>
      </c>
      <c r="AJ95" s="23">
        <v>29.92</v>
      </c>
    </row>
    <row r="96">
      <c r="A96" s="31">
        <v>45418.0</v>
      </c>
      <c r="B96" s="31">
        <v>45425.0</v>
      </c>
      <c r="C96" s="32">
        <v>-0.95</v>
      </c>
      <c r="D96" s="56">
        <v>-1.0</v>
      </c>
      <c r="E96" s="34" t="s">
        <v>62</v>
      </c>
      <c r="F96" s="21" t="s">
        <v>182</v>
      </c>
      <c r="G96" s="34" t="s">
        <v>69</v>
      </c>
      <c r="H96" s="44">
        <v>2.0</v>
      </c>
      <c r="I96" s="43">
        <v>452.0</v>
      </c>
      <c r="J96" s="35">
        <v>2755.0</v>
      </c>
      <c r="K96" s="35">
        <v>727.0</v>
      </c>
      <c r="L96" s="21">
        <v>655.0</v>
      </c>
      <c r="M96" s="35">
        <v>44.91</v>
      </c>
      <c r="N96" s="21">
        <v>570.9</v>
      </c>
      <c r="O96" s="35">
        <v>26.31</v>
      </c>
      <c r="P96" s="42">
        <v>192.72</v>
      </c>
      <c r="Q96" s="42">
        <v>62.23</v>
      </c>
      <c r="R96" s="42">
        <v>43.26</v>
      </c>
      <c r="S96" s="42">
        <v>7.86</v>
      </c>
      <c r="T96" s="42">
        <v>1327.0</v>
      </c>
      <c r="U96" s="42">
        <v>19.7</v>
      </c>
      <c r="V96" s="42">
        <v>25.0</v>
      </c>
      <c r="W96" s="42">
        <v>21.4</v>
      </c>
      <c r="X96" s="42">
        <v>0.3</v>
      </c>
      <c r="Y96" s="42">
        <v>12.62</v>
      </c>
      <c r="Z96" s="42">
        <v>18.23</v>
      </c>
      <c r="AA96" s="42">
        <v>7.55</v>
      </c>
      <c r="AB96" s="42">
        <v>11.96</v>
      </c>
      <c r="AC96" s="42">
        <v>37.78</v>
      </c>
      <c r="AD96" s="42">
        <v>13.48</v>
      </c>
      <c r="AE96" s="42">
        <v>33.53</v>
      </c>
      <c r="AF96" s="23">
        <v>49.64</v>
      </c>
      <c r="AG96" s="23">
        <v>9.93</v>
      </c>
      <c r="AH96" s="23">
        <v>4.96</v>
      </c>
      <c r="AI96" s="23">
        <v>34.75</v>
      </c>
      <c r="AJ96" s="23">
        <v>29.78</v>
      </c>
    </row>
    <row r="97">
      <c r="A97" s="31">
        <v>45405.0</v>
      </c>
      <c r="B97" s="31">
        <v>45412.0</v>
      </c>
      <c r="C97" s="32">
        <v>0.48</v>
      </c>
      <c r="D97" s="56">
        <v>1.0</v>
      </c>
      <c r="E97" s="34" t="s">
        <v>78</v>
      </c>
      <c r="F97" s="21" t="s">
        <v>183</v>
      </c>
      <c r="G97" s="34" t="s">
        <v>49</v>
      </c>
      <c r="H97" s="44">
        <v>2.0</v>
      </c>
      <c r="I97" s="43">
        <v>415.0</v>
      </c>
      <c r="J97" s="35">
        <v>1354.0</v>
      </c>
      <c r="K97" s="35">
        <v>550.0</v>
      </c>
      <c r="L97" s="21">
        <v>621.0</v>
      </c>
      <c r="M97" s="35">
        <v>49.64</v>
      </c>
      <c r="N97" s="21">
        <v>694.55</v>
      </c>
      <c r="O97" s="35">
        <v>67.36</v>
      </c>
      <c r="P97" s="42">
        <v>74.4</v>
      </c>
      <c r="Q97" s="42">
        <v>27.73</v>
      </c>
      <c r="R97" s="42">
        <v>15.94</v>
      </c>
      <c r="S97" s="42">
        <v>4.2</v>
      </c>
      <c r="T97" s="42">
        <v>168.56</v>
      </c>
      <c r="U97" s="42">
        <v>18.05</v>
      </c>
      <c r="V97" s="42">
        <v>31.79</v>
      </c>
      <c r="W97" s="42">
        <v>34.73</v>
      </c>
      <c r="X97" s="42">
        <v>0.34</v>
      </c>
      <c r="Y97" s="42">
        <v>18.24</v>
      </c>
      <c r="Z97" s="42">
        <v>31.79</v>
      </c>
      <c r="AA97" s="42">
        <v>11.92</v>
      </c>
      <c r="AB97" s="42">
        <v>9.58</v>
      </c>
      <c r="AC97" s="42">
        <v>43.32</v>
      </c>
      <c r="AD97" s="42">
        <v>11.08</v>
      </c>
      <c r="AE97" s="42">
        <v>37.46</v>
      </c>
      <c r="AF97" s="23">
        <v>50.0</v>
      </c>
      <c r="AG97" s="23">
        <v>10.0</v>
      </c>
      <c r="AH97" s="23">
        <v>5.0</v>
      </c>
      <c r="AI97" s="23">
        <v>35.0</v>
      </c>
      <c r="AJ97" s="23">
        <v>30.0</v>
      </c>
    </row>
    <row r="98">
      <c r="A98" s="31">
        <v>45385.0</v>
      </c>
      <c r="B98" s="31">
        <v>45394.0</v>
      </c>
      <c r="C98" s="32">
        <v>-0.36</v>
      </c>
      <c r="D98" s="56">
        <v>1.0</v>
      </c>
      <c r="E98" s="34" t="s">
        <v>50</v>
      </c>
      <c r="F98" s="21" t="s">
        <v>184</v>
      </c>
      <c r="G98" s="34" t="s">
        <v>77</v>
      </c>
      <c r="H98" s="21">
        <v>5.0</v>
      </c>
      <c r="I98" s="42">
        <v>570.0</v>
      </c>
      <c r="J98" s="35">
        <v>1404.0</v>
      </c>
      <c r="K98" s="35">
        <v>710.0</v>
      </c>
      <c r="L98" s="21">
        <v>755.0</v>
      </c>
      <c r="M98" s="35">
        <v>32.46</v>
      </c>
      <c r="N98" s="21">
        <v>813.75</v>
      </c>
      <c r="O98" s="35">
        <v>42.76</v>
      </c>
      <c r="P98" s="42">
        <v>48.57</v>
      </c>
      <c r="Q98" s="42">
        <v>12.27</v>
      </c>
      <c r="R98" s="42">
        <v>7.0</v>
      </c>
      <c r="S98" s="42">
        <v>2.83</v>
      </c>
      <c r="T98" s="42">
        <v>3978.8</v>
      </c>
      <c r="U98" s="42">
        <v>43.95</v>
      </c>
      <c r="V98" s="42">
        <v>13.05</v>
      </c>
      <c r="W98" s="42">
        <v>10.72</v>
      </c>
      <c r="X98" s="42">
        <v>1.41</v>
      </c>
      <c r="Y98" s="42">
        <v>8.35</v>
      </c>
      <c r="Z98" s="42">
        <v>7.08</v>
      </c>
      <c r="AA98" s="42">
        <v>6.45</v>
      </c>
      <c r="AB98" s="42">
        <v>10.98</v>
      </c>
      <c r="AC98" s="42">
        <v>51.89</v>
      </c>
      <c r="AD98" s="42">
        <v>7.51</v>
      </c>
      <c r="AE98" s="42">
        <v>75.85</v>
      </c>
      <c r="AF98" s="23">
        <v>75.0</v>
      </c>
      <c r="AG98" s="23">
        <v>10.0</v>
      </c>
      <c r="AH98" s="23">
        <v>5.0</v>
      </c>
      <c r="AI98" s="23">
        <v>10.0</v>
      </c>
      <c r="AJ98" s="23">
        <v>45.0</v>
      </c>
    </row>
    <row r="99">
      <c r="A99" s="31">
        <v>45377.0</v>
      </c>
      <c r="B99" s="31">
        <v>45385.0</v>
      </c>
      <c r="C99" s="32">
        <v>-0.35</v>
      </c>
      <c r="D99" s="56">
        <v>1.0</v>
      </c>
      <c r="E99" s="34" t="s">
        <v>78</v>
      </c>
      <c r="F99" s="21" t="s">
        <v>185</v>
      </c>
      <c r="G99" s="34" t="s">
        <v>49</v>
      </c>
      <c r="H99" s="21">
        <v>10.0</v>
      </c>
      <c r="I99" s="42">
        <v>210.0</v>
      </c>
      <c r="J99" s="35">
        <v>704.0</v>
      </c>
      <c r="K99" s="35">
        <v>280.0</v>
      </c>
      <c r="L99" s="21">
        <v>215.25</v>
      </c>
      <c r="M99" s="35">
        <v>2.5</v>
      </c>
      <c r="N99" s="21">
        <v>236.2</v>
      </c>
      <c r="O99" s="35">
        <v>12.48</v>
      </c>
      <c r="P99" s="42">
        <v>59.59</v>
      </c>
      <c r="Q99" s="42">
        <v>220.57</v>
      </c>
      <c r="R99" s="42">
        <v>203.67</v>
      </c>
      <c r="S99" s="42">
        <v>46.97</v>
      </c>
      <c r="T99" s="42">
        <v>37.24</v>
      </c>
      <c r="U99" s="42">
        <v>12.87</v>
      </c>
      <c r="V99" s="42">
        <v>34.85</v>
      </c>
      <c r="W99" s="42">
        <v>29.43</v>
      </c>
      <c r="X99" s="42">
        <v>0.5</v>
      </c>
      <c r="Y99" s="42">
        <v>8.98</v>
      </c>
      <c r="Z99" s="42">
        <v>25.02</v>
      </c>
      <c r="AA99" s="42">
        <v>4.17</v>
      </c>
      <c r="AB99" s="42">
        <v>11.2</v>
      </c>
      <c r="AC99" s="42">
        <v>18.76</v>
      </c>
      <c r="AD99" s="42">
        <v>12.24</v>
      </c>
      <c r="AE99" s="42">
        <v>17.15</v>
      </c>
      <c r="AF99" s="23">
        <v>50.0</v>
      </c>
      <c r="AG99" s="23">
        <v>10.0</v>
      </c>
      <c r="AH99" s="23">
        <v>5.0</v>
      </c>
      <c r="AI99" s="23">
        <v>35.0</v>
      </c>
      <c r="AJ99" s="23">
        <v>30.0</v>
      </c>
    </row>
    <row r="100">
      <c r="A100" s="31">
        <v>45365.0</v>
      </c>
      <c r="B100" s="31">
        <v>45372.0</v>
      </c>
      <c r="C100" s="32">
        <v>0.7</v>
      </c>
      <c r="D100" s="56">
        <v>0.0</v>
      </c>
      <c r="E100" s="34" t="s">
        <v>78</v>
      </c>
      <c r="F100" s="21" t="s">
        <v>186</v>
      </c>
      <c r="G100" s="34" t="s">
        <v>49</v>
      </c>
      <c r="H100" s="21">
        <v>10.0</v>
      </c>
      <c r="I100" s="42">
        <v>715.0</v>
      </c>
      <c r="J100" s="35">
        <v>602.0</v>
      </c>
      <c r="K100" s="35">
        <v>775.0</v>
      </c>
      <c r="L100" s="21">
        <v>785.0</v>
      </c>
      <c r="M100" s="35">
        <v>9.79</v>
      </c>
      <c r="N100" s="21">
        <v>712.85</v>
      </c>
      <c r="O100" s="35">
        <v>-0.3</v>
      </c>
      <c r="P100" s="42">
        <v>7.32</v>
      </c>
      <c r="Q100" s="42">
        <v>52.07</v>
      </c>
      <c r="R100" s="42">
        <v>31.54</v>
      </c>
      <c r="S100" s="42">
        <v>3.42</v>
      </c>
      <c r="T100" s="42">
        <v>183.68</v>
      </c>
      <c r="U100" s="42">
        <v>7.7</v>
      </c>
      <c r="V100" s="42">
        <v>11.71</v>
      </c>
      <c r="W100" s="42">
        <v>16.97</v>
      </c>
      <c r="X100" s="42">
        <v>0.58</v>
      </c>
      <c r="Y100" s="42">
        <v>4.56</v>
      </c>
      <c r="Z100" s="42">
        <v>11.21</v>
      </c>
      <c r="AA100" s="42">
        <v>4.49</v>
      </c>
      <c r="AB100" s="42">
        <v>33.33</v>
      </c>
      <c r="AC100" s="42">
        <v>21.45</v>
      </c>
      <c r="AD100" s="42">
        <v>29.42</v>
      </c>
      <c r="AE100" s="42">
        <v>24.3</v>
      </c>
      <c r="AF100" s="23">
        <v>50.0</v>
      </c>
      <c r="AG100" s="23">
        <v>10.0</v>
      </c>
      <c r="AH100" s="23">
        <v>5.0</v>
      </c>
      <c r="AI100" s="23">
        <v>35.0</v>
      </c>
      <c r="AJ100" s="23">
        <v>30.0</v>
      </c>
    </row>
    <row r="101">
      <c r="A101" s="31">
        <v>45363.0</v>
      </c>
      <c r="B101" s="31">
        <v>45370.0</v>
      </c>
      <c r="C101" s="32">
        <v>-0.75</v>
      </c>
      <c r="D101" s="56">
        <v>-1.0</v>
      </c>
      <c r="E101" s="34" t="s">
        <v>71</v>
      </c>
      <c r="F101" s="21" t="s">
        <v>187</v>
      </c>
      <c r="G101" s="34" t="s">
        <v>49</v>
      </c>
      <c r="H101" s="21">
        <v>2.0</v>
      </c>
      <c r="I101" s="42">
        <v>295.0</v>
      </c>
      <c r="J101" s="35">
        <v>1.0</v>
      </c>
      <c r="K101" s="35">
        <v>295.0</v>
      </c>
      <c r="L101" s="21">
        <v>289.2</v>
      </c>
      <c r="M101" s="35">
        <v>-1.97</v>
      </c>
      <c r="N101" s="21">
        <v>276.25</v>
      </c>
      <c r="O101" s="35">
        <v>-6.36</v>
      </c>
      <c r="P101" s="42">
        <v>1.92</v>
      </c>
      <c r="Q101" s="42">
        <v>0.67</v>
      </c>
      <c r="R101" s="42">
        <v>0.68</v>
      </c>
      <c r="S101" s="42">
        <v>1.07</v>
      </c>
      <c r="T101" s="42">
        <v>384.21</v>
      </c>
      <c r="U101" s="42">
        <v>4.8</v>
      </c>
      <c r="V101" s="42">
        <v>10.42</v>
      </c>
      <c r="W101" s="42">
        <v>8.83</v>
      </c>
      <c r="X101" s="42">
        <v>1.99</v>
      </c>
      <c r="Y101" s="42">
        <v>1.41</v>
      </c>
      <c r="Z101" s="42">
        <v>10.42</v>
      </c>
      <c r="AA101" s="42">
        <v>4.82</v>
      </c>
      <c r="AB101" s="42">
        <v>10.22</v>
      </c>
      <c r="AC101" s="42">
        <v>28.88</v>
      </c>
      <c r="AD101" s="42">
        <v>11.25</v>
      </c>
      <c r="AE101" s="42">
        <v>26.22</v>
      </c>
      <c r="AF101" s="23">
        <v>49.91</v>
      </c>
      <c r="AG101" s="23">
        <v>9.98</v>
      </c>
      <c r="AH101" s="23">
        <v>4.99</v>
      </c>
      <c r="AI101" s="23">
        <v>34.94</v>
      </c>
      <c r="AJ101" s="23">
        <v>29.94</v>
      </c>
    </row>
    <row r="102">
      <c r="A102" s="31">
        <v>45357.0</v>
      </c>
      <c r="B102" s="31">
        <v>45365.0</v>
      </c>
      <c r="C102" s="32">
        <v>0.22</v>
      </c>
      <c r="D102" s="56">
        <v>0.0</v>
      </c>
      <c r="E102" s="34" t="s">
        <v>71</v>
      </c>
      <c r="F102" s="21" t="s">
        <v>188</v>
      </c>
      <c r="G102" s="34" t="s">
        <v>49</v>
      </c>
      <c r="H102" s="21">
        <v>1.0</v>
      </c>
      <c r="I102" s="42">
        <v>401.0</v>
      </c>
      <c r="J102" s="35">
        <v>-251.0</v>
      </c>
      <c r="K102" s="35">
        <v>376.0</v>
      </c>
      <c r="L102" s="21">
        <v>351.0</v>
      </c>
      <c r="M102" s="35">
        <v>-12.47</v>
      </c>
      <c r="N102" s="21">
        <v>362.7</v>
      </c>
      <c r="O102" s="35">
        <v>-9.55</v>
      </c>
      <c r="P102" s="42">
        <v>18.42</v>
      </c>
      <c r="Q102" s="42">
        <v>10.72</v>
      </c>
      <c r="R102" s="42">
        <v>8.12</v>
      </c>
      <c r="S102" s="42">
        <v>4.22</v>
      </c>
      <c r="T102" s="42">
        <v>346.1</v>
      </c>
      <c r="U102" s="42">
        <v>14.07</v>
      </c>
      <c r="V102" s="42">
        <v>16.05</v>
      </c>
      <c r="W102" s="42">
        <v>20.83</v>
      </c>
      <c r="X102" s="42">
        <v>0.08</v>
      </c>
      <c r="Y102" s="42">
        <v>8.22</v>
      </c>
      <c r="Z102" s="42">
        <v>16.05</v>
      </c>
      <c r="AA102" s="42">
        <v>14.43</v>
      </c>
      <c r="AB102" s="42">
        <v>9.02</v>
      </c>
      <c r="AC102" s="42">
        <v>44.47</v>
      </c>
      <c r="AD102" s="42">
        <v>8.92</v>
      </c>
      <c r="AE102" s="42">
        <v>44.96</v>
      </c>
      <c r="AF102" s="23">
        <v>49.7</v>
      </c>
      <c r="AG102" s="23">
        <v>9.94</v>
      </c>
      <c r="AH102" s="23">
        <v>4.97</v>
      </c>
      <c r="AI102" s="23">
        <v>34.79</v>
      </c>
      <c r="AJ102" s="23">
        <v>29.82</v>
      </c>
    </row>
    <row r="103">
      <c r="A103" s="31">
        <v>45356.0</v>
      </c>
      <c r="B103" s="31">
        <v>45364.0</v>
      </c>
      <c r="C103" s="32">
        <v>-0.24</v>
      </c>
      <c r="D103" s="56">
        <v>1.0</v>
      </c>
      <c r="E103" s="34" t="s">
        <v>81</v>
      </c>
      <c r="F103" s="21" t="s">
        <v>189</v>
      </c>
      <c r="G103" s="34" t="s">
        <v>49</v>
      </c>
      <c r="H103" s="21">
        <v>10.0</v>
      </c>
      <c r="I103" s="42">
        <v>221.0</v>
      </c>
      <c r="J103" s="35">
        <v>51.0</v>
      </c>
      <c r="K103" s="35">
        <v>226.0</v>
      </c>
      <c r="L103" s="21">
        <v>209.0</v>
      </c>
      <c r="M103" s="35">
        <v>-5.43</v>
      </c>
      <c r="N103" s="21">
        <v>184.8</v>
      </c>
      <c r="O103" s="35">
        <v>-16.38</v>
      </c>
      <c r="P103" s="42">
        <v>32.33</v>
      </c>
      <c r="Q103" s="42">
        <v>50.26</v>
      </c>
      <c r="R103" s="42">
        <v>43.24</v>
      </c>
      <c r="S103" s="42">
        <v>18.03</v>
      </c>
      <c r="T103" s="42">
        <v>217.86</v>
      </c>
      <c r="U103" s="42">
        <v>7.01</v>
      </c>
      <c r="V103" s="42">
        <v>8.2</v>
      </c>
      <c r="W103" s="42">
        <v>11.86</v>
      </c>
      <c r="X103" s="42">
        <v>0.11</v>
      </c>
      <c r="Y103" s="42">
        <v>7.24</v>
      </c>
      <c r="Z103" s="42">
        <v>8.16</v>
      </c>
      <c r="AA103" s="42">
        <v>3.51</v>
      </c>
      <c r="AB103" s="42">
        <v>13.6</v>
      </c>
      <c r="AC103" s="42">
        <v>16.25</v>
      </c>
      <c r="AD103" s="42">
        <v>11.01</v>
      </c>
      <c r="AE103" s="42">
        <v>20.08</v>
      </c>
      <c r="AF103" s="23">
        <v>50.0</v>
      </c>
      <c r="AG103" s="23">
        <v>10.0</v>
      </c>
      <c r="AH103" s="23">
        <v>5.0</v>
      </c>
      <c r="AI103" s="23">
        <v>35.0</v>
      </c>
      <c r="AJ103" s="23">
        <v>30.0</v>
      </c>
    </row>
    <row r="104">
      <c r="A104" s="31">
        <v>45355.0</v>
      </c>
      <c r="B104" s="31">
        <v>45363.0</v>
      </c>
      <c r="C104" s="32">
        <v>0.5</v>
      </c>
      <c r="D104" s="56">
        <v>1.0</v>
      </c>
      <c r="E104" s="34" t="s">
        <v>55</v>
      </c>
      <c r="F104" s="21" t="s">
        <v>190</v>
      </c>
      <c r="G104" s="34" t="s">
        <v>69</v>
      </c>
      <c r="H104" s="21">
        <v>5.0</v>
      </c>
      <c r="I104" s="42">
        <v>288.0</v>
      </c>
      <c r="J104" s="35">
        <v>1.0</v>
      </c>
      <c r="K104" s="35">
        <v>288.0</v>
      </c>
      <c r="L104" s="21">
        <v>250.0</v>
      </c>
      <c r="M104" s="35">
        <v>-13.19</v>
      </c>
      <c r="N104" s="21">
        <v>263.25</v>
      </c>
      <c r="O104" s="35">
        <v>-8.59</v>
      </c>
      <c r="P104" s="42">
        <v>20.58</v>
      </c>
      <c r="Q104" s="42">
        <v>35.73</v>
      </c>
      <c r="R104" s="42">
        <v>31.27</v>
      </c>
      <c r="S104" s="42">
        <v>33.31</v>
      </c>
      <c r="T104" s="42">
        <v>146.66</v>
      </c>
      <c r="U104" s="42">
        <v>21.5</v>
      </c>
      <c r="V104" s="42">
        <v>16.47</v>
      </c>
      <c r="W104" s="42">
        <v>6.29</v>
      </c>
      <c r="X104" s="42">
        <v>1.5</v>
      </c>
      <c r="Y104" s="42">
        <v>5.56</v>
      </c>
      <c r="Z104" s="42">
        <v>5.41</v>
      </c>
      <c r="AA104" s="42">
        <v>8.73</v>
      </c>
      <c r="AB104" s="42">
        <v>7.03</v>
      </c>
      <c r="AC104" s="42">
        <v>40.96</v>
      </c>
      <c r="AD104" s="42">
        <v>3.14</v>
      </c>
      <c r="AE104" s="42">
        <v>91.63</v>
      </c>
      <c r="AF104" s="23">
        <v>73.54</v>
      </c>
      <c r="AG104" s="23">
        <v>9.8</v>
      </c>
      <c r="AH104" s="23">
        <v>4.9</v>
      </c>
      <c r="AI104" s="23">
        <v>9.8</v>
      </c>
      <c r="AJ104" s="23">
        <v>44.12</v>
      </c>
    </row>
    <row r="105">
      <c r="A105" s="31">
        <v>45351.0</v>
      </c>
      <c r="B105" s="31">
        <v>45358.0</v>
      </c>
      <c r="C105" s="32">
        <v>0.0</v>
      </c>
      <c r="D105" s="56">
        <v>1.0</v>
      </c>
      <c r="E105" s="34" t="s">
        <v>81</v>
      </c>
      <c r="F105" s="21" t="s">
        <v>191</v>
      </c>
      <c r="G105" s="16" t="s">
        <v>49</v>
      </c>
      <c r="H105" s="21">
        <v>1.0</v>
      </c>
      <c r="I105" s="42">
        <v>28.0</v>
      </c>
      <c r="J105" s="35">
        <v>355.0</v>
      </c>
      <c r="K105" s="35">
        <v>63.0</v>
      </c>
      <c r="L105" s="21">
        <v>40.0</v>
      </c>
      <c r="M105" s="35">
        <v>42.86</v>
      </c>
      <c r="N105" s="21">
        <v>42.26</v>
      </c>
      <c r="O105" s="35">
        <v>50.93</v>
      </c>
      <c r="P105" s="42">
        <v>189.28</v>
      </c>
      <c r="Q105" s="42">
        <v>254.15</v>
      </c>
      <c r="R105" s="42">
        <v>242.86</v>
      </c>
      <c r="S105" s="42">
        <v>58.52</v>
      </c>
      <c r="T105" s="42">
        <v>159.11</v>
      </c>
      <c r="U105" s="42">
        <v>8.01</v>
      </c>
      <c r="V105" s="42">
        <v>36.71</v>
      </c>
      <c r="W105" s="42">
        <v>17.62</v>
      </c>
      <c r="X105" s="42">
        <v>1.64</v>
      </c>
      <c r="Y105" s="42">
        <v>3.74</v>
      </c>
      <c r="Z105" s="42">
        <v>34.19</v>
      </c>
      <c r="AA105" s="42">
        <v>4.78</v>
      </c>
      <c r="AB105" s="42">
        <v>2.16</v>
      </c>
      <c r="AC105" s="42">
        <v>12.96</v>
      </c>
      <c r="AD105" s="42">
        <v>2.2</v>
      </c>
      <c r="AE105" s="42">
        <v>12.73</v>
      </c>
      <c r="AF105" s="23">
        <v>50.0</v>
      </c>
      <c r="AG105" s="23">
        <v>10.0</v>
      </c>
      <c r="AH105" s="23">
        <v>5.0</v>
      </c>
      <c r="AI105" s="23">
        <v>35.0</v>
      </c>
      <c r="AJ105" s="23">
        <v>30.0</v>
      </c>
    </row>
    <row r="106">
      <c r="A106" s="31">
        <v>45349.0</v>
      </c>
      <c r="B106" s="31">
        <v>45356.0</v>
      </c>
      <c r="C106" s="32">
        <v>-0.3</v>
      </c>
      <c r="D106" s="56">
        <v>1.0</v>
      </c>
      <c r="E106" s="34" t="s">
        <v>94</v>
      </c>
      <c r="F106" s="21" t="s">
        <v>192</v>
      </c>
      <c r="G106" s="16" t="s">
        <v>49</v>
      </c>
      <c r="H106" s="21">
        <v>10.0</v>
      </c>
      <c r="I106" s="42">
        <v>142.0</v>
      </c>
      <c r="J106" s="35">
        <v>1605.0</v>
      </c>
      <c r="K106" s="35">
        <v>302.0</v>
      </c>
      <c r="L106" s="21">
        <v>265.0</v>
      </c>
      <c r="M106" s="35">
        <v>86.62</v>
      </c>
      <c r="N106" s="21">
        <v>225.65</v>
      </c>
      <c r="O106" s="35">
        <v>58.91</v>
      </c>
      <c r="P106" s="42">
        <v>124.82</v>
      </c>
      <c r="Q106" s="42">
        <v>163.96</v>
      </c>
      <c r="R106" s="42">
        <v>149.95</v>
      </c>
      <c r="S106" s="42">
        <v>124.27</v>
      </c>
      <c r="T106" s="42">
        <v>311.4</v>
      </c>
      <c r="U106" s="42">
        <v>5.1</v>
      </c>
      <c r="V106" s="42">
        <v>13.38</v>
      </c>
      <c r="W106" s="42">
        <v>10.92</v>
      </c>
      <c r="X106" s="42">
        <v>0.51</v>
      </c>
      <c r="Y106" s="42">
        <v>4.78</v>
      </c>
      <c r="Z106" s="42">
        <v>2.75</v>
      </c>
      <c r="AA106" s="42">
        <v>5.63</v>
      </c>
      <c r="AB106" s="42">
        <v>0.65</v>
      </c>
      <c r="AC106" s="42">
        <v>217.63</v>
      </c>
      <c r="AD106" s="42">
        <v>4.55</v>
      </c>
      <c r="AE106" s="42">
        <v>31.24</v>
      </c>
      <c r="AF106" s="23">
        <v>75.0</v>
      </c>
      <c r="AG106" s="23">
        <v>10.0</v>
      </c>
      <c r="AH106" s="23">
        <v>5.0</v>
      </c>
      <c r="AI106" s="23">
        <v>10.0</v>
      </c>
      <c r="AJ106" s="23">
        <v>41.5</v>
      </c>
    </row>
    <row r="107">
      <c r="A107" s="31">
        <v>45349.0</v>
      </c>
      <c r="B107" s="31">
        <v>45356.0</v>
      </c>
      <c r="C107" s="32">
        <v>-0.3</v>
      </c>
      <c r="D107" s="56">
        <v>1.0</v>
      </c>
      <c r="E107" s="34" t="s">
        <v>81</v>
      </c>
      <c r="F107" s="21" t="s">
        <v>193</v>
      </c>
      <c r="G107" s="16" t="s">
        <v>49</v>
      </c>
      <c r="H107" s="21">
        <v>10.0</v>
      </c>
      <c r="I107" s="42">
        <v>171.0</v>
      </c>
      <c r="J107" s="35">
        <v>875.0</v>
      </c>
      <c r="K107" s="35">
        <v>258.0</v>
      </c>
      <c r="L107" s="21">
        <v>225.0</v>
      </c>
      <c r="M107" s="35">
        <v>31.58</v>
      </c>
      <c r="N107" s="21">
        <v>221.2</v>
      </c>
      <c r="O107" s="35">
        <v>29.36</v>
      </c>
      <c r="P107" s="42">
        <v>151.0</v>
      </c>
      <c r="Q107" s="42">
        <v>138.46</v>
      </c>
      <c r="R107" s="42">
        <v>148.46</v>
      </c>
      <c r="S107" s="42">
        <v>50.92</v>
      </c>
      <c r="T107" s="42">
        <v>85.04</v>
      </c>
      <c r="U107" s="42">
        <v>23.3</v>
      </c>
      <c r="V107" s="42">
        <v>90.02</v>
      </c>
      <c r="W107" s="42">
        <v>56.85</v>
      </c>
      <c r="X107" s="42">
        <v>0.28</v>
      </c>
      <c r="Y107" s="42">
        <v>16.2</v>
      </c>
      <c r="Z107" s="42">
        <v>61.26</v>
      </c>
      <c r="AA107" s="42">
        <v>11.13</v>
      </c>
      <c r="AB107" s="42">
        <v>9.13</v>
      </c>
      <c r="AC107" s="42">
        <v>18.73</v>
      </c>
      <c r="AD107" s="42">
        <v>8.31</v>
      </c>
      <c r="AE107" s="42">
        <v>20.57</v>
      </c>
      <c r="AF107" s="23">
        <v>50.0</v>
      </c>
      <c r="AG107" s="23">
        <v>10.0</v>
      </c>
      <c r="AH107" s="23">
        <v>5.0</v>
      </c>
      <c r="AI107" s="23">
        <v>35.0</v>
      </c>
      <c r="AJ107" s="23">
        <v>30.0</v>
      </c>
    </row>
    <row r="108">
      <c r="A108" s="31">
        <v>45344.0</v>
      </c>
      <c r="B108" s="31">
        <v>45351.0</v>
      </c>
      <c r="C108" s="32">
        <v>0.38</v>
      </c>
      <c r="D108" s="56">
        <v>1.0</v>
      </c>
      <c r="E108" s="34" t="s">
        <v>62</v>
      </c>
      <c r="F108" s="21" t="s">
        <v>194</v>
      </c>
      <c r="G108" s="16" t="s">
        <v>49</v>
      </c>
      <c r="H108" s="21">
        <v>10.0</v>
      </c>
      <c r="I108" s="42">
        <v>186.0</v>
      </c>
      <c r="J108" s="35">
        <v>172.0</v>
      </c>
      <c r="K108" s="35">
        <v>203.0</v>
      </c>
      <c r="L108" s="21">
        <v>215.0</v>
      </c>
      <c r="M108" s="35">
        <v>15.59</v>
      </c>
      <c r="N108" s="21">
        <v>200.75</v>
      </c>
      <c r="O108" s="35">
        <v>7.93</v>
      </c>
      <c r="P108" s="42">
        <v>17.3</v>
      </c>
      <c r="Q108" s="42">
        <v>11.98</v>
      </c>
      <c r="R108" s="42">
        <v>9.09</v>
      </c>
      <c r="S108" s="42">
        <v>2.44</v>
      </c>
      <c r="T108" s="42">
        <v>171.43</v>
      </c>
      <c r="U108" s="42">
        <v>22.17</v>
      </c>
      <c r="V108" s="42">
        <v>23.59</v>
      </c>
      <c r="W108" s="42">
        <v>26.09</v>
      </c>
      <c r="X108" s="42">
        <v>0.39</v>
      </c>
      <c r="Y108" s="42">
        <v>10.8</v>
      </c>
      <c r="Z108" s="42">
        <v>23.77</v>
      </c>
      <c r="AA108" s="42">
        <v>9.06</v>
      </c>
      <c r="AB108" s="42">
        <v>4.88</v>
      </c>
      <c r="AC108" s="42">
        <v>38.1</v>
      </c>
      <c r="AD108" s="42">
        <v>0.0</v>
      </c>
      <c r="AE108" s="42">
        <v>32.49</v>
      </c>
      <c r="AF108" s="23">
        <v>50.0</v>
      </c>
      <c r="AG108" s="23">
        <v>10.0</v>
      </c>
      <c r="AH108" s="23">
        <v>5.0</v>
      </c>
      <c r="AI108" s="23">
        <v>35.0</v>
      </c>
      <c r="AJ108" s="23">
        <v>30.0</v>
      </c>
    </row>
    <row r="109">
      <c r="A109" s="31">
        <v>45343.0</v>
      </c>
      <c r="B109" s="31">
        <v>45350.0</v>
      </c>
      <c r="C109" s="32">
        <v>-0.05</v>
      </c>
      <c r="D109" s="56">
        <v>1.0</v>
      </c>
      <c r="E109" s="34" t="s">
        <v>55</v>
      </c>
      <c r="F109" s="21" t="s">
        <v>195</v>
      </c>
      <c r="G109" s="16" t="s">
        <v>49</v>
      </c>
      <c r="H109" s="21">
        <v>10.0</v>
      </c>
      <c r="I109" s="42">
        <v>360.0</v>
      </c>
      <c r="J109" s="35">
        <v>1.0</v>
      </c>
      <c r="K109" s="35">
        <v>360.0</v>
      </c>
      <c r="L109" s="21">
        <v>365.0</v>
      </c>
      <c r="M109" s="35">
        <v>1.39</v>
      </c>
      <c r="N109" s="21">
        <v>401.5</v>
      </c>
      <c r="O109" s="35">
        <v>11.53</v>
      </c>
      <c r="P109" s="42">
        <v>3.11</v>
      </c>
      <c r="Q109" s="42">
        <v>1.08</v>
      </c>
      <c r="R109" s="42">
        <v>0.5</v>
      </c>
      <c r="S109" s="42">
        <v>1.31</v>
      </c>
      <c r="T109" s="42">
        <v>859.67</v>
      </c>
      <c r="U109" s="42">
        <v>44.9</v>
      </c>
      <c r="V109" s="42">
        <v>-0.42</v>
      </c>
      <c r="W109" s="42">
        <v>-0.4</v>
      </c>
      <c r="X109" s="42">
        <v>5.77</v>
      </c>
      <c r="Y109" s="42">
        <v>-0.22</v>
      </c>
      <c r="Z109" s="42">
        <v>-0.42</v>
      </c>
      <c r="AA109" s="42">
        <v>3.0</v>
      </c>
      <c r="AB109" s="57">
        <v>0.0</v>
      </c>
      <c r="AC109" s="57">
        <v>0.0</v>
      </c>
      <c r="AD109" s="57">
        <v>0.0</v>
      </c>
      <c r="AE109" s="57">
        <v>0.0</v>
      </c>
      <c r="AF109" s="23">
        <v>75.0</v>
      </c>
      <c r="AG109" s="23">
        <v>10.0</v>
      </c>
      <c r="AH109" s="23">
        <v>5.0</v>
      </c>
      <c r="AI109" s="23">
        <v>10.0</v>
      </c>
      <c r="AJ109" s="23">
        <v>45.0</v>
      </c>
    </row>
    <row r="110">
      <c r="A110" s="31">
        <v>45335.0</v>
      </c>
      <c r="B110" s="31">
        <v>45342.0</v>
      </c>
      <c r="C110" s="32">
        <v>-0.21</v>
      </c>
      <c r="D110" s="56">
        <v>1.0</v>
      </c>
      <c r="E110" s="34" t="s">
        <v>81</v>
      </c>
      <c r="F110" s="21" t="s">
        <v>196</v>
      </c>
      <c r="G110" s="16" t="s">
        <v>49</v>
      </c>
      <c r="H110" s="21">
        <v>10.0</v>
      </c>
      <c r="I110" s="42">
        <v>151.0</v>
      </c>
      <c r="J110" s="35">
        <v>1405.0</v>
      </c>
      <c r="K110" s="35">
        <v>291.0</v>
      </c>
      <c r="L110" s="21">
        <v>425.0</v>
      </c>
      <c r="M110" s="35">
        <v>181.46</v>
      </c>
      <c r="N110" s="21">
        <v>446.25</v>
      </c>
      <c r="O110" s="35">
        <v>195.53</v>
      </c>
      <c r="P110" s="42">
        <v>191.41</v>
      </c>
      <c r="Q110" s="42">
        <v>754.37</v>
      </c>
      <c r="R110" s="42">
        <v>808.72</v>
      </c>
      <c r="S110" s="42">
        <v>201.52</v>
      </c>
      <c r="T110" s="42">
        <v>101.76</v>
      </c>
      <c r="U110" s="42">
        <v>4.21</v>
      </c>
      <c r="V110" s="42">
        <v>25.51</v>
      </c>
      <c r="W110" s="42">
        <v>16.48</v>
      </c>
      <c r="X110" s="42">
        <v>1.63</v>
      </c>
      <c r="Y110" s="42">
        <v>1.89</v>
      </c>
      <c r="Z110" s="42">
        <v>22.6</v>
      </c>
      <c r="AA110" s="42">
        <v>2.3</v>
      </c>
      <c r="AB110" s="42">
        <v>14.85</v>
      </c>
      <c r="AC110" s="42">
        <v>10.17</v>
      </c>
      <c r="AD110" s="42">
        <v>8.99</v>
      </c>
      <c r="AE110" s="42">
        <v>16.8</v>
      </c>
      <c r="AF110" s="23">
        <v>49.69</v>
      </c>
      <c r="AG110" s="23">
        <v>9.94</v>
      </c>
      <c r="AH110" s="23">
        <v>4.97</v>
      </c>
      <c r="AI110" s="23">
        <v>34.78</v>
      </c>
      <c r="AJ110" s="23">
        <v>29.81</v>
      </c>
    </row>
    <row r="111">
      <c r="A111" s="31">
        <v>45331.0</v>
      </c>
      <c r="B111" s="31">
        <v>45338.0</v>
      </c>
      <c r="C111" s="32">
        <v>0.37</v>
      </c>
      <c r="D111" s="56">
        <v>1.0</v>
      </c>
      <c r="E111" s="34" t="s">
        <v>62</v>
      </c>
      <c r="F111" s="21" t="s">
        <v>197</v>
      </c>
      <c r="G111" s="34" t="s">
        <v>49</v>
      </c>
      <c r="H111" s="21">
        <v>10.0</v>
      </c>
      <c r="I111" s="43">
        <v>1258.0</v>
      </c>
      <c r="J111" s="35">
        <v>21.0</v>
      </c>
      <c r="K111" s="35">
        <v>1260.0</v>
      </c>
      <c r="L111" s="21">
        <v>1228.7</v>
      </c>
      <c r="M111" s="35">
        <v>-2.33</v>
      </c>
      <c r="N111" s="21">
        <v>1149.55</v>
      </c>
      <c r="O111" s="35">
        <v>-8.62</v>
      </c>
      <c r="P111" s="42">
        <v>2.28</v>
      </c>
      <c r="Q111" s="42">
        <v>0.16</v>
      </c>
      <c r="R111" s="42">
        <v>0.33</v>
      </c>
      <c r="S111" s="42">
        <v>1.33</v>
      </c>
      <c r="T111" s="42">
        <v>660.54</v>
      </c>
      <c r="U111" s="42">
        <v>1.21</v>
      </c>
      <c r="V111" s="42">
        <v>-2.66</v>
      </c>
      <c r="W111" s="42">
        <v>6.06</v>
      </c>
      <c r="X111" s="42">
        <v>0.45</v>
      </c>
      <c r="Y111" s="42">
        <v>-0.35</v>
      </c>
      <c r="Z111" s="42">
        <v>-1.86</v>
      </c>
      <c r="AA111" s="42">
        <v>7.22</v>
      </c>
      <c r="AB111" s="42">
        <v>0.0</v>
      </c>
      <c r="AC111" s="42">
        <v>0.0</v>
      </c>
      <c r="AD111" s="42">
        <v>9.7</v>
      </c>
      <c r="AE111" s="42">
        <v>129.75</v>
      </c>
      <c r="AF111" s="23">
        <v>74.59</v>
      </c>
      <c r="AG111" s="23">
        <v>9.94</v>
      </c>
      <c r="AH111" s="23">
        <v>4.97</v>
      </c>
      <c r="AI111" s="23">
        <v>9.94</v>
      </c>
      <c r="AJ111" s="23">
        <v>44.75</v>
      </c>
    </row>
    <row r="112">
      <c r="A112" s="31">
        <v>45329.0</v>
      </c>
      <c r="B112" s="31">
        <v>45336.0</v>
      </c>
      <c r="C112" s="32">
        <v>-0.53</v>
      </c>
      <c r="D112" s="56">
        <v>0.0</v>
      </c>
      <c r="E112" s="34" t="s">
        <v>209</v>
      </c>
      <c r="F112" s="35" t="s">
        <v>214</v>
      </c>
      <c r="G112" s="34" t="s">
        <v>69</v>
      </c>
      <c r="H112" s="21">
        <v>10.0</v>
      </c>
      <c r="I112" s="42">
        <v>414.0</v>
      </c>
      <c r="J112" s="35">
        <v>161.0</v>
      </c>
      <c r="K112" s="35">
        <v>430.0</v>
      </c>
      <c r="L112" s="21">
        <v>396.0</v>
      </c>
      <c r="M112" s="35">
        <v>-4.35</v>
      </c>
      <c r="N112" s="21">
        <v>368.2</v>
      </c>
      <c r="O112" s="35">
        <v>-11.06</v>
      </c>
      <c r="P112" s="42">
        <v>39.81</v>
      </c>
      <c r="Q112" s="42">
        <v>28.73</v>
      </c>
      <c r="R112" s="42">
        <v>20.94</v>
      </c>
      <c r="S112" s="42">
        <v>5.7</v>
      </c>
      <c r="T112" s="42">
        <v>1777.07</v>
      </c>
      <c r="U112" s="42">
        <v>10.56</v>
      </c>
      <c r="V112" s="42">
        <v>16.78</v>
      </c>
      <c r="W112" s="42">
        <v>9.7</v>
      </c>
      <c r="X112" s="42">
        <v>3.49</v>
      </c>
      <c r="Y112" s="42">
        <v>6.92</v>
      </c>
      <c r="Z112" s="42">
        <v>14.4</v>
      </c>
      <c r="AA112" s="42">
        <v>1.28</v>
      </c>
      <c r="AB112" s="42">
        <v>27.4</v>
      </c>
      <c r="AC112" s="42">
        <v>15.11</v>
      </c>
      <c r="AD112" s="42">
        <v>40.77</v>
      </c>
      <c r="AE112" s="42">
        <v>10.15</v>
      </c>
      <c r="AF112" s="23">
        <v>48.82</v>
      </c>
      <c r="AG112" s="23">
        <v>9.76</v>
      </c>
      <c r="AH112" s="23">
        <v>4.88</v>
      </c>
      <c r="AI112" s="23">
        <v>34.17</v>
      </c>
      <c r="AJ112" s="23">
        <v>29.29</v>
      </c>
    </row>
    <row r="113">
      <c r="A113" s="31">
        <v>45329.0</v>
      </c>
      <c r="B113" s="31">
        <v>45336.0</v>
      </c>
      <c r="C113" s="32">
        <v>-0.53</v>
      </c>
      <c r="D113" s="56">
        <v>0.0</v>
      </c>
      <c r="E113" s="34" t="s">
        <v>209</v>
      </c>
      <c r="F113" s="35" t="s">
        <v>215</v>
      </c>
      <c r="G113" s="34" t="s">
        <v>49</v>
      </c>
      <c r="H113" s="21">
        <v>10.0</v>
      </c>
      <c r="I113" s="43">
        <v>468.0</v>
      </c>
      <c r="J113" s="35">
        <v>1.0</v>
      </c>
      <c r="K113" s="35">
        <v>468.0</v>
      </c>
      <c r="L113" s="21">
        <v>430.25</v>
      </c>
      <c r="M113" s="35">
        <v>-8.07</v>
      </c>
      <c r="N113" s="21">
        <v>435.0</v>
      </c>
      <c r="O113" s="35">
        <v>-7.05</v>
      </c>
      <c r="P113" s="42">
        <v>6.86</v>
      </c>
      <c r="Q113" s="42">
        <v>3.63</v>
      </c>
      <c r="R113" s="42">
        <v>5.43</v>
      </c>
      <c r="S113" s="42">
        <v>2.6</v>
      </c>
      <c r="T113" s="42">
        <v>711.76</v>
      </c>
      <c r="U113" s="42">
        <v>10.56</v>
      </c>
      <c r="V113" s="42">
        <v>16.45</v>
      </c>
      <c r="W113" s="42">
        <v>16.62</v>
      </c>
      <c r="X113" s="42">
        <v>0.95</v>
      </c>
      <c r="Y113" s="42">
        <v>12.9</v>
      </c>
      <c r="Z113" s="42">
        <v>15.33</v>
      </c>
      <c r="AA113" s="42">
        <v>1.81</v>
      </c>
      <c r="AB113" s="42">
        <v>26.48</v>
      </c>
      <c r="AC113" s="42">
        <v>17.68</v>
      </c>
      <c r="AD113" s="42">
        <v>24.19</v>
      </c>
      <c r="AE113" s="42">
        <v>19.35</v>
      </c>
      <c r="AF113" s="23">
        <v>50.0</v>
      </c>
      <c r="AG113" s="23">
        <v>10.0</v>
      </c>
      <c r="AH113" s="23">
        <v>5.0</v>
      </c>
      <c r="AI113" s="23">
        <v>35.0</v>
      </c>
      <c r="AJ113" s="23">
        <v>30.0</v>
      </c>
    </row>
    <row r="114">
      <c r="A114" s="31">
        <v>45329.0</v>
      </c>
      <c r="B114" s="31">
        <v>45336.0</v>
      </c>
      <c r="C114" s="32">
        <v>-0.53</v>
      </c>
      <c r="D114" s="56">
        <v>0.0</v>
      </c>
      <c r="E114" s="34" t="s">
        <v>50</v>
      </c>
      <c r="F114" s="21" t="s">
        <v>200</v>
      </c>
      <c r="G114" s="34" t="s">
        <v>49</v>
      </c>
      <c r="H114" s="21">
        <v>5.0</v>
      </c>
      <c r="I114" s="42">
        <v>311.0</v>
      </c>
      <c r="J114" s="35">
        <v>343.0</v>
      </c>
      <c r="K114" s="35">
        <v>345.0</v>
      </c>
      <c r="L114" s="21">
        <v>339.5</v>
      </c>
      <c r="M114" s="35">
        <v>9.16</v>
      </c>
      <c r="N114" s="21">
        <v>321.5</v>
      </c>
      <c r="O114" s="35">
        <v>3.38</v>
      </c>
      <c r="P114" s="42">
        <v>151.45</v>
      </c>
      <c r="Q114" s="42">
        <v>74.51</v>
      </c>
      <c r="R114" s="42">
        <v>50.38</v>
      </c>
      <c r="S114" s="42">
        <v>11.01</v>
      </c>
      <c r="T114" s="42">
        <v>772.74</v>
      </c>
      <c r="U114" s="42">
        <v>3.0</v>
      </c>
      <c r="V114" s="42">
        <v>19.33</v>
      </c>
      <c r="W114" s="42">
        <v>14.21</v>
      </c>
      <c r="X114" s="42">
        <v>1.53</v>
      </c>
      <c r="Y114" s="42">
        <v>1.3</v>
      </c>
      <c r="Z114" s="42">
        <v>17.6</v>
      </c>
      <c r="AA114" s="42">
        <v>1.86</v>
      </c>
      <c r="AB114" s="42">
        <v>26.46</v>
      </c>
      <c r="AC114" s="42">
        <v>11.75</v>
      </c>
      <c r="AD114" s="42">
        <v>21.86</v>
      </c>
      <c r="AE114" s="42">
        <v>14.23</v>
      </c>
      <c r="AF114" s="23">
        <v>20.0</v>
      </c>
      <c r="AG114" s="23">
        <v>10.0</v>
      </c>
      <c r="AH114" s="23">
        <v>5.0</v>
      </c>
      <c r="AI114" s="23">
        <v>35.0</v>
      </c>
      <c r="AJ114" s="23">
        <v>30.0</v>
      </c>
    </row>
    <row r="115">
      <c r="A115" s="31">
        <v>45327.0</v>
      </c>
      <c r="B115" s="31">
        <v>45334.0</v>
      </c>
      <c r="C115" s="32">
        <v>-0.34</v>
      </c>
      <c r="D115" s="56">
        <v>0.0</v>
      </c>
      <c r="E115" s="34" t="s">
        <v>55</v>
      </c>
      <c r="F115" s="21" t="s">
        <v>201</v>
      </c>
      <c r="G115" s="34" t="s">
        <v>49</v>
      </c>
      <c r="H115" s="21">
        <v>1.0</v>
      </c>
      <c r="I115" s="42">
        <v>155.0</v>
      </c>
      <c r="J115" s="35">
        <v>384.0</v>
      </c>
      <c r="K115" s="35">
        <v>193.0</v>
      </c>
      <c r="L115" s="21">
        <v>186.0</v>
      </c>
      <c r="M115" s="35">
        <v>20.0</v>
      </c>
      <c r="N115" s="21">
        <v>203.55</v>
      </c>
      <c r="O115" s="35">
        <v>31.32</v>
      </c>
      <c r="P115" s="42">
        <v>79.23</v>
      </c>
      <c r="Q115" s="42">
        <v>61.55</v>
      </c>
      <c r="R115" s="42">
        <v>42.68</v>
      </c>
      <c r="S115" s="42">
        <v>32.0</v>
      </c>
      <c r="T115" s="42">
        <v>578.71</v>
      </c>
      <c r="U115" s="42">
        <v>34.0</v>
      </c>
      <c r="V115" s="42">
        <v>8.66</v>
      </c>
      <c r="W115" s="42">
        <v>11.0</v>
      </c>
      <c r="X115" s="42">
        <v>0.99</v>
      </c>
      <c r="Y115" s="42">
        <v>9.56</v>
      </c>
      <c r="Z115" s="42">
        <v>9.03</v>
      </c>
      <c r="AA115" s="42">
        <v>4.87</v>
      </c>
      <c r="AB115" s="42">
        <v>2.75</v>
      </c>
      <c r="AC115" s="42">
        <v>56.33</v>
      </c>
      <c r="AD115" s="42">
        <v>2.15</v>
      </c>
      <c r="AE115" s="42">
        <v>72.05</v>
      </c>
      <c r="AF115" s="23">
        <v>74.15</v>
      </c>
      <c r="AG115" s="23">
        <v>9.89</v>
      </c>
      <c r="AH115" s="23">
        <v>4.94</v>
      </c>
      <c r="AI115" s="23">
        <v>9.89</v>
      </c>
      <c r="AJ115" s="23">
        <v>44.49</v>
      </c>
    </row>
    <row r="116">
      <c r="A116" s="31">
        <v>45321.0</v>
      </c>
      <c r="B116" s="31">
        <v>45328.0</v>
      </c>
      <c r="C116" s="32">
        <v>0.46</v>
      </c>
      <c r="D116" s="56">
        <v>1.0</v>
      </c>
      <c r="E116" s="34" t="s">
        <v>55</v>
      </c>
      <c r="F116" s="21" t="s">
        <v>202</v>
      </c>
      <c r="G116" s="34" t="s">
        <v>49</v>
      </c>
      <c r="H116" s="21">
        <v>10.0</v>
      </c>
      <c r="I116" s="42">
        <v>135.0</v>
      </c>
      <c r="J116" s="35">
        <v>1555.0</v>
      </c>
      <c r="K116" s="35">
        <v>290.0</v>
      </c>
      <c r="L116" s="21">
        <v>305.0</v>
      </c>
      <c r="M116" s="35">
        <v>125.93</v>
      </c>
      <c r="N116" s="21">
        <v>370.75</v>
      </c>
      <c r="O116" s="35">
        <v>174.63</v>
      </c>
      <c r="P116" s="42">
        <v>123.3</v>
      </c>
      <c r="Q116" s="42">
        <v>305.27</v>
      </c>
      <c r="R116" s="42">
        <v>289.59</v>
      </c>
      <c r="S116" s="42">
        <v>236.53</v>
      </c>
      <c r="T116" s="42">
        <v>120.37</v>
      </c>
      <c r="U116" s="42">
        <v>14.7</v>
      </c>
      <c r="V116" s="42">
        <v>33.33</v>
      </c>
      <c r="W116" s="42">
        <v>30.62</v>
      </c>
      <c r="X116" s="42">
        <v>0.05</v>
      </c>
      <c r="Y116" s="42">
        <v>8.36</v>
      </c>
      <c r="Z116" s="42">
        <v>16.46</v>
      </c>
      <c r="AA116" s="42">
        <v>7.2</v>
      </c>
      <c r="AB116" s="42">
        <v>3.05</v>
      </c>
      <c r="AC116" s="42">
        <v>44.31</v>
      </c>
      <c r="AD116" s="42">
        <v>2.24</v>
      </c>
      <c r="AE116" s="42">
        <v>60.33</v>
      </c>
      <c r="AF116" s="23">
        <v>67.5</v>
      </c>
      <c r="AG116" s="23">
        <v>9.0</v>
      </c>
      <c r="AH116" s="23">
        <v>4.5</v>
      </c>
      <c r="AI116" s="23">
        <v>9.0</v>
      </c>
      <c r="AJ116" s="23">
        <v>40.5</v>
      </c>
    </row>
    <row r="117">
      <c r="A117" s="31">
        <v>45314.0</v>
      </c>
      <c r="B117" s="31">
        <v>45322.0</v>
      </c>
      <c r="C117" s="32">
        <v>0.05</v>
      </c>
      <c r="D117" s="56">
        <v>0.0</v>
      </c>
      <c r="E117" s="34" t="s">
        <v>73</v>
      </c>
      <c r="F117" s="21" t="s">
        <v>203</v>
      </c>
      <c r="G117" s="34" t="s">
        <v>49</v>
      </c>
      <c r="H117" s="21">
        <v>2.0</v>
      </c>
      <c r="I117" s="42">
        <v>41.0</v>
      </c>
      <c r="J117" s="35">
        <v>134.0</v>
      </c>
      <c r="K117" s="35">
        <v>54.0</v>
      </c>
      <c r="L117" s="21">
        <v>55.0</v>
      </c>
      <c r="M117" s="35">
        <v>34.15</v>
      </c>
      <c r="N117" s="21">
        <v>58.79</v>
      </c>
      <c r="O117" s="35">
        <v>43.39</v>
      </c>
      <c r="P117" s="42">
        <v>81.13</v>
      </c>
      <c r="Q117" s="42">
        <v>231.4</v>
      </c>
      <c r="R117" s="42">
        <v>236.27</v>
      </c>
      <c r="S117" s="42">
        <v>80.2</v>
      </c>
      <c r="T117" s="42">
        <v>74.23</v>
      </c>
      <c r="U117" s="42">
        <v>18.4</v>
      </c>
      <c r="V117" s="42">
        <v>38.27</v>
      </c>
      <c r="W117" s="42">
        <v>27.25</v>
      </c>
      <c r="X117" s="42">
        <v>1.11</v>
      </c>
      <c r="Y117" s="42">
        <v>9.75</v>
      </c>
      <c r="Z117" s="42">
        <v>32.08</v>
      </c>
      <c r="AA117" s="42">
        <v>4.06</v>
      </c>
      <c r="AB117" s="42">
        <v>3.14</v>
      </c>
      <c r="AC117" s="42">
        <v>13.05</v>
      </c>
      <c r="AD117" s="42">
        <v>2.24</v>
      </c>
      <c r="AE117" s="42">
        <v>18.27</v>
      </c>
      <c r="AF117" s="23">
        <v>50.0</v>
      </c>
      <c r="AG117" s="23">
        <v>10.0</v>
      </c>
      <c r="AH117" s="23">
        <v>5.0</v>
      </c>
      <c r="AI117" s="23">
        <v>35.0</v>
      </c>
      <c r="AJ117" s="23">
        <v>30.0</v>
      </c>
    </row>
    <row r="118">
      <c r="A118" s="31">
        <v>45310.0</v>
      </c>
      <c r="B118" s="31">
        <v>45321.0</v>
      </c>
      <c r="C118" s="32">
        <v>0.0</v>
      </c>
      <c r="D118" s="56">
        <v>0.0</v>
      </c>
      <c r="E118" s="34" t="s">
        <v>71</v>
      </c>
      <c r="F118" s="21" t="s">
        <v>204</v>
      </c>
      <c r="G118" s="34" t="s">
        <v>49</v>
      </c>
      <c r="H118" s="21">
        <v>10.0</v>
      </c>
      <c r="I118" s="42">
        <v>230.0</v>
      </c>
      <c r="J118" s="35">
        <v>51.0</v>
      </c>
      <c r="K118" s="35">
        <v>235.0</v>
      </c>
      <c r="L118" s="21">
        <v>221.0</v>
      </c>
      <c r="M118" s="35">
        <v>-3.91</v>
      </c>
      <c r="N118" s="21">
        <v>207.7</v>
      </c>
      <c r="O118" s="35">
        <v>-9.7</v>
      </c>
      <c r="P118" s="42">
        <v>25.59</v>
      </c>
      <c r="Q118" s="42">
        <v>31.6</v>
      </c>
      <c r="R118" s="42">
        <v>21.74</v>
      </c>
      <c r="S118" s="42">
        <v>6.5</v>
      </c>
      <c r="T118" s="42">
        <v>313.62</v>
      </c>
      <c r="U118" s="42">
        <v>6.66</v>
      </c>
      <c r="V118" s="42">
        <v>14.68</v>
      </c>
      <c r="W118" s="42">
        <v>11.85</v>
      </c>
      <c r="X118" s="42">
        <v>1.58</v>
      </c>
      <c r="Y118" s="42">
        <v>2.08</v>
      </c>
      <c r="Z118" s="42">
        <v>14.68</v>
      </c>
      <c r="AA118" s="42">
        <v>4.98</v>
      </c>
      <c r="AB118" s="42">
        <v>4.08</v>
      </c>
      <c r="AC118" s="42">
        <v>56.4</v>
      </c>
      <c r="AD118" s="42">
        <v>0.55</v>
      </c>
      <c r="AE118" s="42">
        <v>415.1</v>
      </c>
      <c r="AF118" s="23">
        <v>50.0</v>
      </c>
      <c r="AG118" s="23">
        <v>10.0</v>
      </c>
      <c r="AH118" s="23">
        <v>5.0</v>
      </c>
      <c r="AI118" s="23">
        <v>35.0</v>
      </c>
      <c r="AJ118" s="23">
        <v>30.0</v>
      </c>
    </row>
    <row r="119">
      <c r="A119" s="31">
        <v>45306.0</v>
      </c>
      <c r="B119" s="31">
        <v>45314.0</v>
      </c>
      <c r="C119" s="32">
        <v>0.34</v>
      </c>
      <c r="D119" s="56">
        <v>0.0</v>
      </c>
      <c r="E119" s="34" t="s">
        <v>209</v>
      </c>
      <c r="F119" s="21" t="s">
        <v>205</v>
      </c>
      <c r="G119" s="34" t="s">
        <v>49</v>
      </c>
      <c r="H119" s="21">
        <v>5.0</v>
      </c>
      <c r="I119" s="42">
        <v>418.0</v>
      </c>
      <c r="J119" s="35">
        <v>342.0</v>
      </c>
      <c r="K119" s="35">
        <v>452.0</v>
      </c>
      <c r="L119" s="21">
        <v>460.0</v>
      </c>
      <c r="M119" s="35">
        <v>10.05</v>
      </c>
      <c r="N119" s="21">
        <v>464.25</v>
      </c>
      <c r="O119" s="35">
        <v>11.06</v>
      </c>
      <c r="P119" s="42">
        <v>40.14</v>
      </c>
      <c r="Q119" s="42">
        <v>17.22</v>
      </c>
      <c r="R119" s="42">
        <v>10.12</v>
      </c>
      <c r="S119" s="42">
        <v>3.19</v>
      </c>
      <c r="T119" s="42">
        <v>416.64</v>
      </c>
      <c r="U119" s="42">
        <v>23.64</v>
      </c>
      <c r="V119" s="42">
        <v>19.63</v>
      </c>
      <c r="W119" s="42">
        <v>24.95</v>
      </c>
      <c r="X119" s="42">
        <v>0.0</v>
      </c>
      <c r="Y119" s="42">
        <v>14.56</v>
      </c>
      <c r="Z119" s="42">
        <v>19.63</v>
      </c>
      <c r="AA119" s="42">
        <v>0.0</v>
      </c>
      <c r="AB119" s="42">
        <v>10.94</v>
      </c>
      <c r="AC119" s="42">
        <v>38.22</v>
      </c>
      <c r="AD119" s="42">
        <v>13.15</v>
      </c>
      <c r="AE119" s="42">
        <v>31.8</v>
      </c>
      <c r="AF119" s="23">
        <v>50.0</v>
      </c>
      <c r="AG119" s="23">
        <v>10.0</v>
      </c>
      <c r="AH119" s="23">
        <v>5.0</v>
      </c>
      <c r="AI119" s="23">
        <v>35.0</v>
      </c>
      <c r="AJ119" s="23">
        <v>30.0</v>
      </c>
    </row>
    <row r="120">
      <c r="A120" s="31">
        <v>45300.0</v>
      </c>
      <c r="B120" s="31">
        <v>45307.0</v>
      </c>
      <c r="C120" s="32">
        <v>-0.16</v>
      </c>
      <c r="D120" s="56">
        <v>1.0</v>
      </c>
      <c r="E120" s="34" t="s">
        <v>47</v>
      </c>
      <c r="F120" s="21" t="s">
        <v>206</v>
      </c>
      <c r="G120" s="34" t="s">
        <v>69</v>
      </c>
      <c r="H120" s="21">
        <v>2.0</v>
      </c>
      <c r="I120" s="42">
        <v>331.0</v>
      </c>
      <c r="J120" s="35">
        <v>383.0</v>
      </c>
      <c r="K120" s="35">
        <v>369.0</v>
      </c>
      <c r="L120" s="21">
        <v>370.0</v>
      </c>
      <c r="M120" s="35">
        <v>11.78</v>
      </c>
      <c r="N120" s="21">
        <v>434.2</v>
      </c>
      <c r="O120" s="35">
        <v>31.18</v>
      </c>
      <c r="P120" s="42">
        <v>46.37</v>
      </c>
      <c r="Q120" s="42">
        <v>42.77</v>
      </c>
      <c r="R120" s="42">
        <v>29.47</v>
      </c>
      <c r="S120" s="42">
        <v>27.5</v>
      </c>
      <c r="T120" s="42">
        <v>205.63</v>
      </c>
      <c r="U120" s="42">
        <v>10.48</v>
      </c>
      <c r="V120" s="42">
        <v>18.35</v>
      </c>
      <c r="W120" s="42">
        <v>9.5</v>
      </c>
      <c r="X120" s="42">
        <v>10.17</v>
      </c>
      <c r="Y120" s="42">
        <v>1.58</v>
      </c>
      <c r="Z120" s="42">
        <v>18.35</v>
      </c>
      <c r="AA120" s="42">
        <v>59.43</v>
      </c>
      <c r="AB120" s="42">
        <v>0.76</v>
      </c>
      <c r="AC120" s="42">
        <v>433.43</v>
      </c>
      <c r="AD120" s="42">
        <v>0.29</v>
      </c>
      <c r="AE120" s="42">
        <v>1122.83</v>
      </c>
      <c r="AF120" s="23">
        <v>74.61</v>
      </c>
      <c r="AG120" s="23">
        <v>9.95</v>
      </c>
      <c r="AH120" s="23">
        <v>4.97</v>
      </c>
      <c r="AI120" s="23">
        <v>9.95</v>
      </c>
      <c r="AJ120" s="23">
        <v>44.76</v>
      </c>
    </row>
    <row r="121">
      <c r="A121" s="45"/>
      <c r="B121" s="45"/>
      <c r="C121" s="45"/>
      <c r="D121" s="45"/>
      <c r="E121" s="45"/>
      <c r="F121" s="58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2"/>
      <c r="AG121" s="42"/>
      <c r="AH121" s="42"/>
      <c r="AI121" s="42"/>
      <c r="AJ121" s="42"/>
    </row>
    <row r="122">
      <c r="A122" s="45"/>
      <c r="B122" s="45"/>
      <c r="C122" s="45"/>
      <c r="D122" s="45"/>
      <c r="E122" s="45"/>
      <c r="F122" s="58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2"/>
      <c r="AG122" s="42"/>
      <c r="AH122" s="42"/>
      <c r="AI122" s="42"/>
      <c r="AJ122" s="42"/>
    </row>
    <row r="123">
      <c r="A123" s="45"/>
      <c r="B123" s="45"/>
      <c r="C123" s="45"/>
      <c r="D123" s="45"/>
      <c r="E123" s="45"/>
      <c r="F123" s="58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2"/>
      <c r="AG123" s="42"/>
      <c r="AH123" s="42"/>
      <c r="AI123" s="42"/>
      <c r="AJ123" s="42"/>
    </row>
    <row r="124">
      <c r="A124" s="46"/>
      <c r="B124" s="46"/>
      <c r="C124" s="46"/>
      <c r="D124" s="45"/>
      <c r="E124" s="45"/>
      <c r="F124" s="58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2"/>
      <c r="AG124" s="42"/>
      <c r="AH124" s="42"/>
      <c r="AI124" s="42"/>
      <c r="AJ124" s="42"/>
    </row>
    <row r="125">
      <c r="A125" s="46"/>
      <c r="B125" s="46"/>
      <c r="C125" s="46"/>
      <c r="D125" s="31"/>
      <c r="E125" s="46"/>
      <c r="F125" s="58"/>
      <c r="G125" s="46"/>
      <c r="H125" s="46"/>
      <c r="I125" s="47"/>
      <c r="J125" s="48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2"/>
      <c r="AG125" s="42"/>
      <c r="AH125" s="42"/>
      <c r="AI125" s="42"/>
      <c r="AJ125" s="42"/>
    </row>
    <row r="126">
      <c r="A126" s="45"/>
      <c r="B126" s="45"/>
      <c r="C126" s="45"/>
      <c r="D126" s="45"/>
      <c r="E126" s="46"/>
      <c r="F126" s="58"/>
      <c r="G126" s="46"/>
      <c r="H126" s="46"/>
      <c r="I126" s="46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2"/>
      <c r="AG126" s="42"/>
      <c r="AH126" s="42"/>
      <c r="AI126" s="42"/>
      <c r="AJ126" s="42"/>
    </row>
    <row r="127">
      <c r="A127" s="45"/>
      <c r="B127" s="45"/>
      <c r="C127" s="45"/>
      <c r="D127" s="45"/>
      <c r="E127" s="46"/>
      <c r="F127" s="58"/>
      <c r="G127" s="46"/>
      <c r="H127" s="46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</row>
    <row r="128">
      <c r="A128" s="45"/>
      <c r="B128" s="45"/>
      <c r="C128" s="45"/>
      <c r="D128" s="45"/>
      <c r="E128" s="46"/>
      <c r="F128" s="58"/>
      <c r="G128" s="46"/>
      <c r="H128" s="46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</row>
    <row r="129">
      <c r="A129" s="45"/>
      <c r="B129" s="45"/>
      <c r="C129" s="45"/>
      <c r="D129" s="45"/>
      <c r="E129" s="46"/>
      <c r="F129" s="58"/>
      <c r="G129" s="46"/>
      <c r="H129" s="46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</row>
    <row r="130">
      <c r="A130" s="45"/>
      <c r="B130" s="45"/>
      <c r="C130" s="45"/>
      <c r="D130" s="45"/>
      <c r="E130" s="46"/>
      <c r="F130" s="58"/>
      <c r="G130" s="46"/>
      <c r="H130" s="46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</row>
    <row r="131">
      <c r="A131" s="45"/>
      <c r="B131" s="45"/>
      <c r="C131" s="45"/>
      <c r="D131" s="45"/>
      <c r="E131" s="46"/>
      <c r="F131" s="58"/>
      <c r="G131" s="46"/>
      <c r="H131" s="46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</row>
    <row r="132">
      <c r="A132" s="45"/>
      <c r="B132" s="45"/>
      <c r="C132" s="45"/>
      <c r="D132" s="45"/>
      <c r="E132" s="46"/>
      <c r="F132" s="58"/>
      <c r="G132" s="46"/>
      <c r="H132" s="46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</row>
    <row r="133">
      <c r="A133" s="45"/>
      <c r="B133" s="45"/>
      <c r="C133" s="45"/>
      <c r="D133" s="45"/>
      <c r="E133" s="46"/>
      <c r="F133" s="58"/>
      <c r="G133" s="46"/>
      <c r="H133" s="46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</row>
    <row r="134">
      <c r="A134" s="45"/>
      <c r="B134" s="45"/>
      <c r="C134" s="45"/>
      <c r="D134" s="45"/>
      <c r="E134" s="46"/>
      <c r="F134" s="58"/>
      <c r="G134" s="46"/>
      <c r="H134" s="46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</row>
    <row r="135">
      <c r="A135" s="45"/>
      <c r="B135" s="45"/>
      <c r="C135" s="45"/>
      <c r="D135" s="45"/>
      <c r="E135" s="46"/>
      <c r="F135" s="58"/>
      <c r="G135" s="46"/>
      <c r="H135" s="46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</row>
    <row r="136">
      <c r="A136" s="45"/>
      <c r="B136" s="45"/>
      <c r="C136" s="45"/>
      <c r="D136" s="45"/>
      <c r="E136" s="46"/>
      <c r="F136" s="58"/>
      <c r="G136" s="46"/>
      <c r="H136" s="46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</row>
    <row r="137">
      <c r="A137" s="45"/>
      <c r="B137" s="45"/>
      <c r="C137" s="45"/>
      <c r="D137" s="45"/>
      <c r="E137" s="46"/>
      <c r="F137" s="58"/>
      <c r="G137" s="46"/>
      <c r="H137" s="46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</row>
    <row r="138">
      <c r="A138" s="45"/>
      <c r="B138" s="45"/>
      <c r="C138" s="45"/>
      <c r="D138" s="45"/>
      <c r="E138" s="46"/>
      <c r="F138" s="58"/>
      <c r="G138" s="46"/>
      <c r="H138" s="46"/>
      <c r="I138" s="45"/>
      <c r="J138" s="45"/>
      <c r="K138" s="45"/>
      <c r="L138" s="45"/>
      <c r="M138" s="45"/>
      <c r="N138" s="45"/>
      <c r="O138" s="45"/>
      <c r="P138" s="45"/>
      <c r="AB138" s="45"/>
      <c r="AC138" s="45"/>
      <c r="AD138" s="45"/>
      <c r="AE138" s="45"/>
      <c r="AF138" s="45"/>
      <c r="AG138" s="45"/>
      <c r="AH138" s="45"/>
      <c r="AI138" s="45"/>
      <c r="AJ138" s="45"/>
    </row>
    <row r="139">
      <c r="A139" s="45"/>
      <c r="B139" s="45"/>
      <c r="C139" s="45"/>
      <c r="D139" s="45"/>
      <c r="E139" s="46"/>
      <c r="F139" s="58"/>
      <c r="G139" s="46"/>
      <c r="H139" s="46"/>
      <c r="I139" s="45"/>
      <c r="J139" s="45"/>
      <c r="K139" s="45"/>
      <c r="L139" s="45"/>
      <c r="M139" s="45"/>
      <c r="N139" s="45"/>
      <c r="O139" s="45"/>
      <c r="P139" s="45"/>
      <c r="Q139" s="21"/>
      <c r="AB139" s="45"/>
      <c r="AC139" s="45"/>
      <c r="AD139" s="45"/>
      <c r="AE139" s="45"/>
      <c r="AF139" s="45"/>
      <c r="AG139" s="45"/>
      <c r="AH139" s="45"/>
      <c r="AI139" s="45"/>
      <c r="AJ139" s="45"/>
    </row>
    <row r="140">
      <c r="A140" s="45"/>
      <c r="B140" s="45"/>
      <c r="C140" s="45"/>
      <c r="D140" s="45"/>
      <c r="E140" s="46"/>
      <c r="F140" s="58"/>
      <c r="G140" s="46"/>
      <c r="H140" s="46"/>
      <c r="I140" s="45"/>
      <c r="J140" s="45"/>
      <c r="K140" s="45"/>
      <c r="L140" s="45"/>
      <c r="M140" s="45"/>
      <c r="N140" s="45"/>
      <c r="O140" s="45"/>
      <c r="P140" s="45"/>
      <c r="Q140" s="21"/>
      <c r="AB140" s="45"/>
      <c r="AC140" s="45"/>
      <c r="AD140" s="45"/>
      <c r="AE140" s="45"/>
      <c r="AF140" s="45"/>
      <c r="AG140" s="45"/>
      <c r="AH140" s="45"/>
      <c r="AI140" s="45"/>
      <c r="AJ140" s="45"/>
    </row>
    <row r="141">
      <c r="A141" s="45"/>
      <c r="B141" s="45"/>
      <c r="C141" s="45"/>
      <c r="D141" s="45"/>
      <c r="E141" s="46"/>
      <c r="F141" s="58"/>
      <c r="G141" s="46"/>
      <c r="H141" s="46"/>
      <c r="I141" s="45"/>
      <c r="J141" s="45"/>
      <c r="K141" s="45"/>
      <c r="L141" s="45"/>
      <c r="M141" s="45"/>
      <c r="N141" s="45"/>
      <c r="O141" s="45"/>
      <c r="P141" s="45"/>
      <c r="Q141" s="21"/>
      <c r="AB141" s="45"/>
      <c r="AC141" s="45"/>
      <c r="AD141" s="45"/>
      <c r="AE141" s="45"/>
      <c r="AF141" s="45"/>
      <c r="AG141" s="45"/>
      <c r="AH141" s="45"/>
      <c r="AI141" s="45"/>
      <c r="AJ141" s="45"/>
    </row>
    <row r="142">
      <c r="A142" s="45"/>
      <c r="B142" s="45"/>
      <c r="C142" s="45"/>
      <c r="D142" s="45"/>
      <c r="E142" s="46"/>
      <c r="F142" s="58"/>
      <c r="G142" s="46"/>
      <c r="H142" s="46"/>
      <c r="I142" s="45"/>
      <c r="J142" s="45"/>
      <c r="K142" s="45"/>
      <c r="L142" s="45"/>
      <c r="M142" s="45"/>
      <c r="N142" s="45"/>
      <c r="O142" s="45"/>
      <c r="P142" s="45"/>
      <c r="Q142" s="21"/>
      <c r="AB142" s="45"/>
      <c r="AC142" s="45"/>
      <c r="AD142" s="45"/>
      <c r="AE142" s="45"/>
      <c r="AF142" s="45"/>
      <c r="AG142" s="45"/>
      <c r="AH142" s="45"/>
      <c r="AI142" s="45"/>
      <c r="AJ142" s="45"/>
    </row>
    <row r="143">
      <c r="A143" s="45"/>
      <c r="B143" s="45"/>
      <c r="C143" s="45"/>
      <c r="D143" s="45"/>
      <c r="E143" s="46"/>
      <c r="F143" s="58"/>
      <c r="G143" s="46"/>
      <c r="H143" s="46"/>
      <c r="I143" s="45"/>
      <c r="J143" s="45"/>
      <c r="K143" s="45"/>
      <c r="L143" s="45"/>
      <c r="M143" s="45"/>
      <c r="N143" s="45"/>
      <c r="O143" s="45"/>
      <c r="P143" s="45"/>
      <c r="Q143" s="21"/>
      <c r="AB143" s="45"/>
      <c r="AC143" s="45"/>
      <c r="AD143" s="45"/>
      <c r="AE143" s="45"/>
      <c r="AF143" s="45"/>
      <c r="AG143" s="45"/>
      <c r="AH143" s="45"/>
      <c r="AI143" s="45"/>
      <c r="AJ143" s="45"/>
    </row>
    <row r="144">
      <c r="A144" s="45"/>
      <c r="B144" s="45"/>
      <c r="C144" s="45"/>
      <c r="D144" s="45"/>
      <c r="E144" s="46"/>
      <c r="F144" s="58"/>
      <c r="G144" s="46"/>
      <c r="H144" s="46"/>
      <c r="I144" s="45"/>
      <c r="J144" s="45"/>
      <c r="K144" s="45"/>
      <c r="L144" s="45"/>
      <c r="M144" s="45"/>
      <c r="N144" s="45"/>
      <c r="O144" s="45"/>
      <c r="P144" s="45"/>
      <c r="Q144" s="21"/>
      <c r="AB144" s="45"/>
      <c r="AC144" s="45"/>
      <c r="AD144" s="45"/>
      <c r="AE144" s="45"/>
      <c r="AF144" s="45"/>
      <c r="AG144" s="45"/>
      <c r="AH144" s="45"/>
      <c r="AI144" s="45"/>
      <c r="AJ144" s="45"/>
    </row>
    <row r="145">
      <c r="A145" s="45"/>
      <c r="B145" s="45"/>
      <c r="C145" s="45"/>
      <c r="D145" s="45"/>
      <c r="E145" s="46"/>
      <c r="F145" s="58"/>
      <c r="G145" s="46"/>
      <c r="H145" s="46"/>
      <c r="I145" s="45"/>
      <c r="J145" s="45"/>
      <c r="K145" s="45"/>
      <c r="L145" s="45"/>
      <c r="M145" s="45"/>
      <c r="N145" s="45"/>
      <c r="O145" s="45"/>
      <c r="P145" s="45"/>
      <c r="Q145" s="21"/>
      <c r="AB145" s="45"/>
      <c r="AC145" s="45"/>
      <c r="AD145" s="45"/>
      <c r="AE145" s="45"/>
      <c r="AF145" s="45"/>
      <c r="AG145" s="45"/>
      <c r="AH145" s="45"/>
      <c r="AI145" s="45"/>
      <c r="AJ145" s="45"/>
    </row>
    <row r="146">
      <c r="A146" s="45"/>
      <c r="B146" s="45"/>
      <c r="C146" s="45"/>
      <c r="D146" s="45"/>
      <c r="E146" s="46"/>
      <c r="F146" s="58"/>
      <c r="G146" s="46"/>
      <c r="H146" s="46"/>
      <c r="I146" s="45"/>
      <c r="J146" s="45"/>
      <c r="K146" s="45"/>
      <c r="L146" s="45"/>
      <c r="M146" s="45"/>
      <c r="N146" s="45"/>
      <c r="O146" s="45"/>
      <c r="P146" s="45"/>
      <c r="Q146" s="21"/>
      <c r="AB146" s="45"/>
      <c r="AC146" s="45"/>
      <c r="AD146" s="45"/>
      <c r="AE146" s="45"/>
      <c r="AF146" s="45"/>
      <c r="AG146" s="45"/>
      <c r="AH146" s="45"/>
      <c r="AI146" s="45"/>
      <c r="AJ146" s="45"/>
    </row>
    <row r="147">
      <c r="A147" s="45"/>
      <c r="B147" s="45"/>
      <c r="C147" s="45"/>
      <c r="D147" s="45"/>
      <c r="E147" s="46"/>
      <c r="F147" s="58"/>
      <c r="G147" s="46"/>
      <c r="H147" s="46"/>
      <c r="I147" s="45"/>
      <c r="J147" s="45"/>
      <c r="K147" s="45"/>
      <c r="L147" s="45"/>
      <c r="M147" s="45"/>
      <c r="N147" s="45"/>
      <c r="O147" s="45"/>
      <c r="P147" s="45"/>
      <c r="Q147" s="21"/>
      <c r="AB147" s="45"/>
      <c r="AC147" s="45"/>
      <c r="AD147" s="45"/>
      <c r="AE147" s="45"/>
      <c r="AF147" s="45"/>
      <c r="AG147" s="45"/>
      <c r="AH147" s="45"/>
      <c r="AI147" s="45"/>
      <c r="AJ147" s="45"/>
    </row>
    <row r="148">
      <c r="A148" s="45"/>
      <c r="B148" s="45"/>
      <c r="C148" s="45"/>
      <c r="D148" s="45"/>
      <c r="E148" s="46"/>
      <c r="F148" s="58"/>
      <c r="G148" s="46"/>
      <c r="H148" s="46"/>
      <c r="I148" s="45"/>
      <c r="J148" s="45"/>
      <c r="K148" s="45"/>
      <c r="L148" s="45"/>
      <c r="M148" s="45"/>
      <c r="N148" s="45"/>
      <c r="O148" s="45"/>
      <c r="P148" s="45"/>
      <c r="Q148" s="21"/>
      <c r="AB148" s="45"/>
      <c r="AC148" s="45"/>
      <c r="AD148" s="45"/>
      <c r="AE148" s="45"/>
      <c r="AF148" s="45"/>
      <c r="AG148" s="45"/>
      <c r="AH148" s="45"/>
      <c r="AI148" s="45"/>
      <c r="AJ148" s="45"/>
    </row>
    <row r="149">
      <c r="A149" s="45"/>
      <c r="B149" s="45"/>
      <c r="C149" s="45"/>
      <c r="D149" s="45"/>
      <c r="E149" s="46"/>
      <c r="F149" s="58"/>
      <c r="G149" s="46"/>
      <c r="H149" s="46"/>
      <c r="I149" s="45"/>
      <c r="J149" s="45"/>
      <c r="K149" s="45"/>
      <c r="L149" s="45"/>
      <c r="M149" s="45"/>
      <c r="N149" s="45"/>
      <c r="O149" s="45"/>
      <c r="P149" s="45"/>
      <c r="Q149" s="21"/>
      <c r="AB149" s="45"/>
      <c r="AC149" s="45"/>
      <c r="AD149" s="45"/>
      <c r="AE149" s="45"/>
      <c r="AF149" s="45"/>
      <c r="AG149" s="45"/>
      <c r="AH149" s="45"/>
      <c r="AI149" s="45"/>
      <c r="AJ149" s="45"/>
    </row>
    <row r="150">
      <c r="A150" s="45"/>
      <c r="B150" s="45"/>
      <c r="C150" s="45"/>
      <c r="D150" s="45"/>
      <c r="E150" s="46"/>
      <c r="F150" s="58"/>
      <c r="G150" s="46"/>
      <c r="H150" s="46"/>
      <c r="I150" s="45"/>
      <c r="J150" s="45"/>
      <c r="K150" s="45"/>
      <c r="L150" s="45"/>
      <c r="M150" s="45"/>
      <c r="N150" s="45"/>
      <c r="O150" s="45"/>
      <c r="P150" s="45"/>
      <c r="Q150" s="21"/>
      <c r="AB150" s="45"/>
      <c r="AC150" s="45"/>
      <c r="AD150" s="45"/>
      <c r="AE150" s="45"/>
      <c r="AF150" s="45"/>
      <c r="AG150" s="45"/>
      <c r="AH150" s="45"/>
      <c r="AI150" s="45"/>
      <c r="AJ150" s="45"/>
    </row>
    <row r="151">
      <c r="A151" s="45"/>
      <c r="B151" s="45"/>
      <c r="C151" s="45"/>
      <c r="D151" s="45"/>
      <c r="E151" s="46"/>
      <c r="F151" s="58"/>
      <c r="G151" s="46"/>
      <c r="H151" s="46"/>
      <c r="I151" s="45"/>
      <c r="J151" s="45"/>
      <c r="K151" s="45"/>
      <c r="L151" s="45"/>
      <c r="M151" s="45"/>
      <c r="N151" s="45"/>
      <c r="O151" s="45"/>
      <c r="P151" s="45"/>
      <c r="Q151" s="21"/>
      <c r="AB151" s="45"/>
      <c r="AC151" s="45"/>
      <c r="AD151" s="45"/>
      <c r="AE151" s="45"/>
      <c r="AF151" s="45"/>
      <c r="AG151" s="45"/>
      <c r="AH151" s="45"/>
      <c r="AI151" s="45"/>
      <c r="AJ151" s="45"/>
    </row>
    <row r="152">
      <c r="A152" s="45"/>
      <c r="B152" s="45"/>
      <c r="C152" s="45"/>
      <c r="D152" s="45"/>
      <c r="E152" s="46"/>
      <c r="F152" s="58"/>
      <c r="G152" s="46"/>
      <c r="H152" s="46"/>
      <c r="I152" s="45"/>
      <c r="J152" s="45"/>
      <c r="K152" s="45"/>
      <c r="L152" s="45"/>
      <c r="M152" s="45"/>
      <c r="N152" s="45"/>
      <c r="O152" s="45"/>
      <c r="P152" s="45"/>
      <c r="Q152" s="21"/>
      <c r="AB152" s="45"/>
      <c r="AC152" s="45"/>
      <c r="AD152" s="45"/>
      <c r="AE152" s="45"/>
      <c r="AF152" s="45"/>
      <c r="AG152" s="45"/>
      <c r="AH152" s="45"/>
      <c r="AI152" s="45"/>
      <c r="AJ152" s="45"/>
    </row>
    <row r="153">
      <c r="A153" s="45"/>
      <c r="B153" s="45"/>
      <c r="C153" s="45"/>
      <c r="D153" s="45"/>
      <c r="E153" s="46"/>
      <c r="F153" s="58"/>
      <c r="G153" s="46"/>
      <c r="H153" s="46"/>
      <c r="I153" s="45"/>
      <c r="J153" s="45"/>
      <c r="K153" s="45"/>
      <c r="L153" s="45"/>
      <c r="M153" s="45"/>
      <c r="N153" s="45"/>
      <c r="O153" s="45"/>
      <c r="P153" s="45"/>
      <c r="Q153" s="21"/>
      <c r="AB153" s="45"/>
      <c r="AC153" s="45"/>
      <c r="AD153" s="45"/>
      <c r="AE153" s="45"/>
      <c r="AF153" s="45"/>
      <c r="AG153" s="45"/>
      <c r="AH153" s="45"/>
      <c r="AI153" s="45"/>
      <c r="AJ153" s="45"/>
    </row>
    <row r="154">
      <c r="A154" s="45"/>
      <c r="B154" s="45"/>
      <c r="C154" s="45"/>
      <c r="D154" s="45"/>
      <c r="E154" s="46"/>
      <c r="F154" s="58"/>
      <c r="G154" s="46"/>
      <c r="H154" s="46"/>
      <c r="I154" s="45"/>
      <c r="J154" s="45"/>
      <c r="K154" s="45"/>
      <c r="L154" s="45"/>
      <c r="M154" s="45"/>
      <c r="N154" s="45"/>
      <c r="O154" s="45"/>
      <c r="P154" s="45"/>
      <c r="Q154" s="21"/>
      <c r="AB154" s="45"/>
      <c r="AC154" s="45"/>
      <c r="AD154" s="45"/>
      <c r="AE154" s="45"/>
      <c r="AF154" s="45"/>
      <c r="AG154" s="45"/>
      <c r="AH154" s="45"/>
      <c r="AI154" s="45"/>
      <c r="AJ154" s="45"/>
    </row>
    <row r="155">
      <c r="A155" s="45"/>
      <c r="B155" s="45"/>
      <c r="C155" s="45"/>
      <c r="D155" s="45"/>
      <c r="E155" s="46"/>
      <c r="F155" s="58"/>
      <c r="G155" s="46"/>
      <c r="H155" s="46"/>
      <c r="I155" s="45"/>
      <c r="J155" s="45"/>
      <c r="K155" s="45"/>
      <c r="L155" s="45"/>
      <c r="M155" s="45"/>
      <c r="N155" s="45"/>
      <c r="O155" s="45"/>
      <c r="P155" s="45"/>
      <c r="Q155" s="21"/>
      <c r="AB155" s="45"/>
      <c r="AC155" s="45"/>
      <c r="AD155" s="45"/>
      <c r="AE155" s="45"/>
      <c r="AF155" s="45"/>
      <c r="AG155" s="45"/>
      <c r="AH155" s="45"/>
      <c r="AI155" s="45"/>
      <c r="AJ155" s="45"/>
    </row>
    <row r="156">
      <c r="A156" s="45"/>
      <c r="B156" s="45"/>
      <c r="C156" s="45"/>
      <c r="D156" s="45"/>
      <c r="E156" s="46"/>
      <c r="F156" s="58"/>
      <c r="G156" s="46"/>
      <c r="H156" s="46"/>
      <c r="I156" s="45"/>
      <c r="J156" s="45"/>
      <c r="K156" s="45"/>
      <c r="L156" s="45"/>
      <c r="M156" s="45"/>
      <c r="N156" s="45"/>
      <c r="O156" s="45"/>
      <c r="P156" s="45"/>
      <c r="Q156" s="21"/>
      <c r="AB156" s="45"/>
      <c r="AC156" s="45"/>
      <c r="AD156" s="45"/>
      <c r="AE156" s="45"/>
      <c r="AF156" s="45"/>
      <c r="AG156" s="45"/>
      <c r="AH156" s="45"/>
      <c r="AI156" s="45"/>
      <c r="AJ156" s="45"/>
    </row>
    <row r="157">
      <c r="A157" s="45"/>
      <c r="B157" s="45"/>
      <c r="C157" s="45"/>
      <c r="D157" s="45"/>
      <c r="E157" s="46"/>
      <c r="F157" s="58"/>
      <c r="G157" s="46"/>
      <c r="H157" s="46"/>
      <c r="I157" s="45"/>
      <c r="J157" s="45"/>
      <c r="K157" s="45"/>
      <c r="L157" s="45"/>
      <c r="M157" s="45"/>
      <c r="N157" s="45"/>
      <c r="O157" s="45"/>
      <c r="P157" s="45"/>
      <c r="Q157" s="21"/>
      <c r="AB157" s="45"/>
      <c r="AC157" s="45"/>
      <c r="AD157" s="45"/>
      <c r="AE157" s="45"/>
      <c r="AF157" s="45"/>
      <c r="AG157" s="45"/>
      <c r="AH157" s="45"/>
      <c r="AI157" s="45"/>
      <c r="AJ157" s="45"/>
    </row>
    <row r="158">
      <c r="A158" s="45"/>
      <c r="B158" s="45"/>
      <c r="C158" s="45"/>
      <c r="D158" s="45"/>
      <c r="E158" s="46"/>
      <c r="F158" s="58"/>
      <c r="G158" s="46"/>
      <c r="H158" s="46"/>
      <c r="I158" s="45"/>
      <c r="J158" s="45"/>
      <c r="K158" s="45"/>
      <c r="L158" s="45"/>
      <c r="M158" s="45"/>
      <c r="N158" s="45"/>
      <c r="O158" s="45"/>
      <c r="P158" s="45"/>
      <c r="Q158" s="21"/>
      <c r="AB158" s="45"/>
      <c r="AC158" s="45"/>
      <c r="AD158" s="45"/>
      <c r="AE158" s="45"/>
      <c r="AF158" s="45"/>
      <c r="AG158" s="45"/>
      <c r="AH158" s="45"/>
      <c r="AI158" s="45"/>
      <c r="AJ158" s="45"/>
    </row>
    <row r="159">
      <c r="A159" s="45"/>
      <c r="B159" s="45"/>
      <c r="C159" s="45"/>
      <c r="D159" s="45"/>
      <c r="E159" s="46"/>
      <c r="F159" s="58"/>
      <c r="G159" s="46"/>
      <c r="H159" s="46"/>
      <c r="I159" s="45"/>
      <c r="J159" s="45"/>
      <c r="K159" s="45"/>
      <c r="L159" s="45"/>
      <c r="M159" s="45"/>
      <c r="N159" s="45"/>
      <c r="O159" s="45"/>
      <c r="P159" s="45"/>
      <c r="Q159" s="45"/>
      <c r="R159" s="21"/>
      <c r="AB159" s="45"/>
      <c r="AC159" s="45"/>
      <c r="AD159" s="45"/>
      <c r="AE159" s="45"/>
      <c r="AF159" s="45"/>
      <c r="AG159" s="45"/>
      <c r="AH159" s="45"/>
      <c r="AI159" s="45"/>
      <c r="AJ159" s="45"/>
    </row>
    <row r="160">
      <c r="A160" s="45"/>
      <c r="B160" s="45"/>
      <c r="C160" s="45"/>
      <c r="D160" s="45"/>
      <c r="E160" s="46"/>
      <c r="F160" s="58"/>
      <c r="G160" s="46"/>
      <c r="H160" s="46"/>
      <c r="I160" s="45"/>
      <c r="J160" s="45"/>
      <c r="K160" s="45"/>
      <c r="L160" s="45"/>
      <c r="M160" s="45"/>
      <c r="N160" s="45"/>
      <c r="O160" s="45"/>
      <c r="P160" s="45"/>
      <c r="Q160" s="45"/>
      <c r="R160" s="21"/>
      <c r="AB160" s="45"/>
      <c r="AC160" s="45"/>
      <c r="AD160" s="45"/>
      <c r="AE160" s="45"/>
      <c r="AF160" s="45"/>
      <c r="AG160" s="45"/>
      <c r="AH160" s="45"/>
      <c r="AI160" s="45"/>
      <c r="AJ160" s="45"/>
    </row>
    <row r="161">
      <c r="A161" s="45"/>
      <c r="B161" s="45"/>
      <c r="C161" s="45"/>
      <c r="D161" s="45"/>
      <c r="E161" s="46"/>
      <c r="F161" s="58"/>
      <c r="G161" s="46"/>
      <c r="H161" s="46"/>
      <c r="I161" s="45"/>
      <c r="J161" s="45"/>
      <c r="K161" s="45"/>
      <c r="L161" s="45"/>
      <c r="M161" s="45"/>
      <c r="N161" s="45"/>
      <c r="O161" s="45"/>
      <c r="P161" s="45"/>
      <c r="Q161" s="45"/>
      <c r="R161" s="21"/>
      <c r="AB161" s="45"/>
      <c r="AC161" s="45"/>
      <c r="AD161" s="45"/>
      <c r="AE161" s="45"/>
      <c r="AF161" s="45"/>
      <c r="AG161" s="45"/>
      <c r="AH161" s="45"/>
      <c r="AI161" s="45"/>
      <c r="AJ161" s="45"/>
    </row>
    <row r="162">
      <c r="A162" s="45"/>
      <c r="B162" s="45"/>
      <c r="C162" s="45"/>
      <c r="D162" s="45"/>
      <c r="E162" s="46"/>
      <c r="F162" s="58"/>
      <c r="G162" s="46"/>
      <c r="H162" s="46"/>
      <c r="I162" s="45"/>
      <c r="J162" s="45"/>
      <c r="K162" s="45"/>
      <c r="L162" s="45"/>
      <c r="M162" s="45"/>
      <c r="N162" s="45"/>
      <c r="O162" s="45"/>
      <c r="P162" s="45"/>
      <c r="Q162" s="45"/>
      <c r="R162" s="21"/>
      <c r="AB162" s="45"/>
      <c r="AC162" s="45"/>
      <c r="AD162" s="45"/>
      <c r="AE162" s="45"/>
      <c r="AF162" s="45"/>
      <c r="AG162" s="45"/>
      <c r="AH162" s="45"/>
      <c r="AI162" s="45"/>
      <c r="AJ162" s="45"/>
    </row>
    <row r="163">
      <c r="A163" s="45"/>
      <c r="B163" s="45"/>
      <c r="C163" s="45"/>
      <c r="D163" s="45"/>
      <c r="E163" s="46"/>
      <c r="F163" s="58"/>
      <c r="G163" s="46"/>
      <c r="H163" s="46"/>
      <c r="I163" s="45"/>
      <c r="J163" s="45"/>
      <c r="K163" s="45"/>
      <c r="L163" s="45"/>
      <c r="M163" s="45"/>
      <c r="N163" s="45"/>
      <c r="O163" s="45"/>
      <c r="P163" s="45"/>
      <c r="Q163" s="34"/>
      <c r="R163" s="21"/>
      <c r="S163" s="21"/>
      <c r="T163" s="21"/>
      <c r="V163" s="21"/>
      <c r="W163" s="45"/>
      <c r="X163" s="45"/>
      <c r="AB163" s="45"/>
      <c r="AC163" s="45"/>
      <c r="AD163" s="45"/>
      <c r="AE163" s="45"/>
      <c r="AF163" s="45"/>
      <c r="AG163" s="45"/>
      <c r="AH163" s="45"/>
      <c r="AI163" s="45"/>
      <c r="AJ163" s="45"/>
    </row>
    <row r="164">
      <c r="A164" s="45"/>
      <c r="B164" s="45"/>
      <c r="C164" s="45"/>
      <c r="D164" s="45"/>
      <c r="E164" s="46"/>
      <c r="F164" s="58"/>
      <c r="G164" s="46"/>
      <c r="H164" s="46"/>
      <c r="I164" s="45"/>
      <c r="J164" s="45"/>
      <c r="K164" s="45"/>
      <c r="L164" s="45"/>
      <c r="M164" s="45"/>
      <c r="N164" s="45"/>
      <c r="O164" s="45"/>
      <c r="P164" s="45"/>
      <c r="Q164" s="21"/>
      <c r="R164" s="21"/>
      <c r="S164" s="21"/>
      <c r="T164" s="21"/>
      <c r="V164" s="21"/>
      <c r="W164" s="45"/>
      <c r="X164" s="45"/>
      <c r="Y164" s="21"/>
      <c r="Z164" s="45"/>
      <c r="AA164" s="59"/>
      <c r="AB164" s="45"/>
      <c r="AC164" s="45"/>
      <c r="AD164" s="45"/>
      <c r="AE164" s="45"/>
      <c r="AF164" s="45"/>
      <c r="AG164" s="45"/>
      <c r="AH164" s="45"/>
      <c r="AI164" s="45"/>
      <c r="AJ164" s="45"/>
    </row>
    <row r="165">
      <c r="A165" s="45"/>
      <c r="B165" s="45"/>
      <c r="C165" s="45"/>
      <c r="D165" s="45"/>
      <c r="E165" s="46"/>
      <c r="F165" s="58"/>
      <c r="G165" s="46"/>
      <c r="H165" s="46"/>
      <c r="I165" s="45"/>
      <c r="J165" s="45"/>
      <c r="K165" s="45"/>
      <c r="L165" s="45"/>
      <c r="M165" s="45"/>
      <c r="N165" s="45"/>
      <c r="O165" s="45"/>
      <c r="P165" s="45"/>
      <c r="Q165" s="21"/>
      <c r="R165" s="21"/>
      <c r="S165" s="21"/>
      <c r="T165" s="21"/>
      <c r="V165" s="21"/>
      <c r="W165" s="45"/>
      <c r="X165" s="45"/>
      <c r="AB165" s="45"/>
      <c r="AC165" s="45"/>
      <c r="AD165" s="45"/>
      <c r="AE165" s="45"/>
      <c r="AF165" s="45"/>
      <c r="AG165" s="45"/>
      <c r="AH165" s="45"/>
      <c r="AI165" s="45"/>
      <c r="AJ165" s="45"/>
    </row>
    <row r="166">
      <c r="A166" s="45"/>
      <c r="B166" s="45"/>
      <c r="C166" s="45"/>
      <c r="D166" s="45"/>
      <c r="E166" s="46"/>
      <c r="F166" s="58"/>
      <c r="G166" s="46"/>
      <c r="H166" s="46"/>
      <c r="I166" s="45"/>
      <c r="J166" s="45"/>
      <c r="K166" s="45"/>
      <c r="L166" s="45"/>
      <c r="M166" s="45"/>
      <c r="N166" s="45"/>
      <c r="O166" s="45"/>
      <c r="P166" s="45"/>
      <c r="Q166" s="21"/>
      <c r="R166" s="21"/>
      <c r="S166" s="21"/>
      <c r="T166" s="21"/>
      <c r="V166" s="21"/>
      <c r="W166" s="45"/>
      <c r="X166" s="45"/>
      <c r="Y166" s="21"/>
      <c r="Z166" s="21"/>
      <c r="AA166" s="21"/>
      <c r="AB166" s="42"/>
      <c r="AC166" s="42"/>
      <c r="AD166" s="42"/>
      <c r="AE166" s="42"/>
      <c r="AF166" s="45"/>
      <c r="AG166" s="45"/>
      <c r="AH166" s="45"/>
      <c r="AI166" s="45"/>
      <c r="AJ166" s="45"/>
    </row>
    <row r="167">
      <c r="A167" s="45"/>
      <c r="B167" s="45"/>
      <c r="C167" s="45"/>
      <c r="D167" s="45"/>
      <c r="E167" s="46"/>
      <c r="F167" s="58"/>
      <c r="G167" s="46"/>
      <c r="H167" s="46"/>
      <c r="I167" s="45"/>
      <c r="J167" s="45"/>
      <c r="K167" s="45"/>
      <c r="L167" s="45"/>
      <c r="M167" s="45"/>
      <c r="N167" s="45"/>
      <c r="O167" s="45"/>
      <c r="P167" s="45"/>
      <c r="Q167" s="21"/>
      <c r="R167" s="21"/>
      <c r="S167" s="21"/>
      <c r="T167" s="21"/>
      <c r="V167" s="21"/>
      <c r="W167" s="45"/>
      <c r="X167" s="45"/>
      <c r="Y167" s="21"/>
      <c r="Z167" s="21"/>
      <c r="AA167" s="21"/>
      <c r="AB167" s="42"/>
      <c r="AC167" s="51"/>
      <c r="AD167" s="42"/>
      <c r="AE167" s="42"/>
      <c r="AF167" s="45"/>
      <c r="AG167" s="45"/>
      <c r="AH167" s="45"/>
      <c r="AI167" s="45"/>
      <c r="AJ167" s="45"/>
    </row>
    <row r="168">
      <c r="A168" s="45"/>
      <c r="B168" s="45"/>
      <c r="C168" s="45"/>
      <c r="D168" s="45"/>
      <c r="E168" s="46"/>
      <c r="F168" s="58"/>
      <c r="G168" s="46"/>
      <c r="H168" s="46"/>
      <c r="I168" s="45"/>
      <c r="J168" s="45"/>
      <c r="K168" s="45"/>
      <c r="L168" s="45"/>
      <c r="M168" s="45"/>
      <c r="N168" s="45"/>
      <c r="O168" s="45"/>
      <c r="P168" s="45"/>
      <c r="Q168" s="21"/>
      <c r="R168" s="21"/>
      <c r="S168" s="21"/>
      <c r="T168" s="21"/>
      <c r="V168" s="21"/>
      <c r="W168" s="45"/>
      <c r="X168" s="45"/>
      <c r="Y168" s="21"/>
      <c r="Z168" s="21"/>
      <c r="AA168" s="21"/>
      <c r="AB168" s="42"/>
      <c r="AC168" s="42"/>
      <c r="AD168" s="42"/>
      <c r="AE168" s="42"/>
      <c r="AF168" s="45"/>
      <c r="AG168" s="45"/>
      <c r="AH168" s="45"/>
      <c r="AI168" s="45"/>
      <c r="AJ168" s="45"/>
    </row>
    <row r="169">
      <c r="A169" s="45"/>
      <c r="B169" s="45"/>
      <c r="C169" s="45"/>
      <c r="D169" s="45"/>
      <c r="E169" s="46"/>
      <c r="F169" s="58"/>
      <c r="G169" s="46"/>
      <c r="H169" s="46"/>
      <c r="I169" s="45"/>
      <c r="J169" s="45"/>
      <c r="K169" s="45"/>
      <c r="L169" s="45"/>
      <c r="M169" s="45"/>
      <c r="N169" s="45"/>
      <c r="O169" s="45"/>
      <c r="P169" s="45"/>
      <c r="Q169" s="21"/>
      <c r="R169" s="21"/>
      <c r="S169" s="21"/>
      <c r="T169" s="21"/>
      <c r="V169" s="21"/>
      <c r="W169" s="45"/>
      <c r="X169" s="45"/>
      <c r="Y169" s="21"/>
      <c r="Z169" s="21"/>
      <c r="AA169" s="21"/>
      <c r="AB169" s="42"/>
      <c r="AC169" s="42"/>
      <c r="AD169" s="42"/>
      <c r="AE169" s="42"/>
      <c r="AF169" s="45"/>
      <c r="AG169" s="45"/>
      <c r="AH169" s="45"/>
      <c r="AI169" s="45"/>
      <c r="AJ169" s="45"/>
    </row>
    <row r="170">
      <c r="A170" s="45"/>
      <c r="B170" s="45"/>
      <c r="C170" s="45"/>
      <c r="D170" s="45"/>
      <c r="E170" s="46"/>
      <c r="F170" s="58"/>
      <c r="G170" s="46"/>
      <c r="H170" s="46"/>
      <c r="I170" s="45"/>
      <c r="J170" s="45"/>
      <c r="K170" s="45"/>
      <c r="L170" s="45"/>
      <c r="M170" s="45"/>
      <c r="N170" s="45"/>
      <c r="O170" s="45"/>
      <c r="P170" s="45"/>
      <c r="Q170" s="21"/>
      <c r="R170" s="21"/>
      <c r="S170" s="21"/>
      <c r="T170" s="21"/>
      <c r="V170" s="21"/>
      <c r="W170" s="45"/>
      <c r="X170" s="45"/>
      <c r="Y170" s="21"/>
      <c r="Z170" s="21"/>
      <c r="AA170" s="21"/>
      <c r="AB170" s="42"/>
      <c r="AC170" s="42"/>
      <c r="AD170" s="42"/>
      <c r="AE170" s="42"/>
      <c r="AF170" s="45"/>
      <c r="AG170" s="45"/>
      <c r="AH170" s="45"/>
      <c r="AI170" s="45"/>
      <c r="AJ170" s="45"/>
    </row>
    <row r="171">
      <c r="A171" s="45"/>
      <c r="B171" s="45"/>
      <c r="C171" s="45"/>
      <c r="D171" s="45"/>
      <c r="E171" s="46"/>
      <c r="F171" s="58"/>
      <c r="G171" s="46"/>
      <c r="H171" s="46"/>
      <c r="I171" s="45"/>
      <c r="J171" s="45"/>
      <c r="K171" s="45"/>
      <c r="L171" s="45"/>
      <c r="M171" s="45"/>
      <c r="N171" s="45"/>
      <c r="O171" s="45"/>
      <c r="P171" s="45"/>
      <c r="Q171" s="21"/>
      <c r="R171" s="21"/>
      <c r="S171" s="21"/>
      <c r="T171" s="21"/>
      <c r="V171" s="21"/>
      <c r="W171" s="45"/>
      <c r="X171" s="45"/>
      <c r="Y171" s="21"/>
      <c r="Z171" s="21"/>
      <c r="AA171" s="21"/>
      <c r="AB171" s="42"/>
      <c r="AC171" s="42"/>
      <c r="AD171" s="42"/>
      <c r="AE171" s="42"/>
      <c r="AF171" s="45"/>
      <c r="AG171" s="45"/>
      <c r="AH171" s="45"/>
      <c r="AI171" s="45"/>
      <c r="AJ171" s="45"/>
    </row>
    <row r="172">
      <c r="A172" s="45"/>
      <c r="B172" s="45"/>
      <c r="C172" s="45"/>
      <c r="D172" s="45"/>
      <c r="E172" s="46"/>
      <c r="F172" s="58"/>
      <c r="G172" s="46"/>
      <c r="H172" s="46"/>
      <c r="I172" s="45"/>
      <c r="J172" s="45"/>
      <c r="K172" s="45"/>
      <c r="L172" s="45"/>
      <c r="M172" s="45"/>
      <c r="N172" s="45"/>
      <c r="O172" s="45"/>
      <c r="P172" s="45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42"/>
      <c r="AC172" s="42"/>
      <c r="AD172" s="42"/>
      <c r="AE172" s="51"/>
      <c r="AF172" s="42"/>
      <c r="AG172" s="42"/>
      <c r="AH172" s="42"/>
      <c r="AI172" s="42"/>
      <c r="AJ172" s="42"/>
    </row>
    <row r="173">
      <c r="A173" s="45"/>
      <c r="B173" s="45"/>
      <c r="C173" s="45"/>
      <c r="D173" s="45"/>
      <c r="E173" s="46"/>
      <c r="F173" s="58"/>
      <c r="G173" s="46"/>
      <c r="H173" s="46"/>
      <c r="I173" s="45"/>
      <c r="J173" s="45"/>
      <c r="K173" s="45"/>
      <c r="L173" s="45"/>
      <c r="M173" s="45"/>
      <c r="N173" s="45"/>
      <c r="O173" s="45"/>
      <c r="P173" s="45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42"/>
      <c r="AC173" s="51"/>
      <c r="AD173" s="42"/>
      <c r="AE173" s="42"/>
      <c r="AF173" s="42"/>
      <c r="AG173" s="42"/>
      <c r="AH173" s="42"/>
      <c r="AI173" s="42"/>
      <c r="AJ173" s="42"/>
    </row>
    <row r="174">
      <c r="A174" s="45"/>
      <c r="B174" s="45"/>
      <c r="C174" s="45"/>
      <c r="D174" s="45"/>
      <c r="E174" s="46"/>
      <c r="F174" s="58"/>
      <c r="G174" s="46"/>
      <c r="H174" s="46"/>
      <c r="I174" s="45"/>
      <c r="J174" s="45"/>
      <c r="K174" s="45"/>
      <c r="L174" s="45"/>
      <c r="M174" s="45"/>
      <c r="N174" s="45"/>
      <c r="O174" s="45"/>
      <c r="P174" s="45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51"/>
      <c r="AC174" s="42"/>
      <c r="AD174" s="42"/>
      <c r="AE174" s="42"/>
      <c r="AF174" s="42"/>
      <c r="AG174" s="42"/>
      <c r="AH174" s="42"/>
      <c r="AI174" s="42"/>
      <c r="AJ174" s="42"/>
    </row>
    <row r="175">
      <c r="A175" s="45"/>
      <c r="B175" s="45"/>
      <c r="C175" s="45"/>
      <c r="D175" s="45"/>
      <c r="E175" s="46"/>
      <c r="F175" s="58"/>
      <c r="G175" s="46"/>
      <c r="H175" s="46"/>
      <c r="I175" s="45"/>
      <c r="J175" s="45"/>
      <c r="K175" s="45"/>
      <c r="L175" s="45"/>
      <c r="M175" s="45"/>
      <c r="N175" s="45"/>
      <c r="O175" s="45"/>
      <c r="P175" s="45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45"/>
      <c r="AC175" s="45"/>
      <c r="AD175" s="45"/>
      <c r="AE175" s="45"/>
      <c r="AF175" s="42"/>
      <c r="AG175" s="42"/>
      <c r="AH175" s="42"/>
      <c r="AI175" s="42"/>
      <c r="AJ175" s="42"/>
    </row>
    <row r="176">
      <c r="A176" s="45"/>
      <c r="B176" s="45"/>
      <c r="C176" s="45"/>
      <c r="D176" s="45"/>
      <c r="E176" s="46"/>
      <c r="F176" s="58"/>
      <c r="G176" s="46"/>
      <c r="H176" s="46"/>
      <c r="I176" s="45"/>
      <c r="J176" s="45"/>
      <c r="K176" s="45"/>
      <c r="L176" s="45"/>
      <c r="M176" s="45"/>
      <c r="N176" s="45"/>
      <c r="O176" s="45"/>
      <c r="P176" s="45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45"/>
      <c r="AC176" s="45"/>
      <c r="AD176" s="45"/>
      <c r="AE176" s="45"/>
      <c r="AF176" s="42"/>
      <c r="AG176" s="42"/>
      <c r="AH176" s="42"/>
      <c r="AI176" s="42"/>
      <c r="AJ176" s="42"/>
    </row>
    <row r="177">
      <c r="A177" s="45"/>
      <c r="B177" s="45"/>
      <c r="C177" s="45"/>
      <c r="D177" s="45"/>
      <c r="E177" s="46"/>
      <c r="F177" s="58"/>
      <c r="G177" s="46"/>
      <c r="H177" s="46"/>
      <c r="I177" s="45"/>
      <c r="J177" s="45"/>
      <c r="K177" s="45"/>
      <c r="L177" s="45"/>
      <c r="M177" s="45"/>
      <c r="N177" s="45"/>
      <c r="O177" s="45"/>
      <c r="P177" s="45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B177" s="45"/>
      <c r="AC177" s="45"/>
      <c r="AD177" s="45"/>
      <c r="AE177" s="45"/>
      <c r="AF177" s="42"/>
      <c r="AG177" s="42"/>
      <c r="AH177" s="42"/>
      <c r="AI177" s="42"/>
      <c r="AJ177" s="42"/>
    </row>
    <row r="178">
      <c r="A178" s="45"/>
      <c r="B178" s="45"/>
      <c r="C178" s="45"/>
      <c r="D178" s="45"/>
      <c r="E178" s="46"/>
      <c r="F178" s="46"/>
      <c r="G178" s="46"/>
      <c r="H178" s="46"/>
      <c r="I178" s="45"/>
      <c r="J178" s="45"/>
      <c r="K178" s="45"/>
      <c r="L178" s="45"/>
      <c r="M178" s="45"/>
      <c r="N178" s="45"/>
      <c r="O178" s="45"/>
      <c r="P178" s="45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B178" s="45"/>
      <c r="AC178" s="45"/>
      <c r="AD178" s="45"/>
      <c r="AE178" s="45"/>
      <c r="AF178" s="51"/>
      <c r="AG178" s="51"/>
      <c r="AH178" s="51"/>
      <c r="AI178" s="51"/>
      <c r="AJ178" s="51"/>
    </row>
    <row r="179">
      <c r="A179" s="45"/>
      <c r="B179" s="45"/>
      <c r="C179" s="45"/>
      <c r="D179" s="45"/>
      <c r="E179" s="46"/>
      <c r="F179" s="46"/>
      <c r="G179" s="46"/>
      <c r="H179" s="46"/>
      <c r="I179" s="45"/>
      <c r="J179" s="45"/>
      <c r="K179" s="45"/>
      <c r="L179" s="45"/>
      <c r="M179" s="45"/>
      <c r="N179" s="45"/>
      <c r="O179" s="45"/>
      <c r="P179" s="45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B179" s="45"/>
      <c r="AC179" s="45"/>
      <c r="AD179" s="45"/>
      <c r="AE179" s="45"/>
      <c r="AF179" s="51"/>
      <c r="AG179" s="51"/>
      <c r="AH179" s="51"/>
      <c r="AI179" s="51"/>
      <c r="AJ179" s="51"/>
    </row>
    <row r="180">
      <c r="A180" s="45"/>
      <c r="B180" s="45"/>
      <c r="C180" s="45"/>
      <c r="D180" s="45"/>
      <c r="E180" s="46"/>
      <c r="F180" s="46"/>
      <c r="G180" s="46"/>
      <c r="H180" s="46"/>
      <c r="I180" s="45"/>
      <c r="J180" s="45"/>
      <c r="K180" s="45"/>
      <c r="L180" s="45"/>
      <c r="M180" s="45"/>
      <c r="N180" s="45"/>
      <c r="O180" s="45"/>
      <c r="P180" s="45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B180" s="45"/>
      <c r="AC180" s="45"/>
      <c r="AD180" s="45"/>
      <c r="AE180" s="45"/>
      <c r="AF180" s="42"/>
      <c r="AG180" s="42"/>
      <c r="AH180" s="42"/>
      <c r="AI180" s="42"/>
      <c r="AJ180" s="42"/>
    </row>
    <row r="181">
      <c r="A181" s="45"/>
      <c r="B181" s="45"/>
      <c r="C181" s="45"/>
      <c r="D181" s="45"/>
      <c r="E181" s="46"/>
      <c r="F181" s="46"/>
      <c r="G181" s="46"/>
      <c r="H181" s="46"/>
      <c r="I181" s="45"/>
      <c r="J181" s="45"/>
      <c r="K181" s="45"/>
      <c r="L181" s="45"/>
      <c r="M181" s="45"/>
      <c r="N181" s="45"/>
      <c r="O181" s="45"/>
      <c r="P181" s="45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B181" s="45"/>
      <c r="AC181" s="45"/>
      <c r="AD181" s="45"/>
      <c r="AE181" s="45"/>
      <c r="AF181" s="45"/>
      <c r="AG181" s="45"/>
      <c r="AH181" s="45"/>
      <c r="AI181" s="45"/>
      <c r="AJ181" s="45"/>
    </row>
    <row r="182">
      <c r="A182" s="45"/>
      <c r="B182" s="45"/>
      <c r="C182" s="45"/>
      <c r="D182" s="45"/>
      <c r="E182" s="46"/>
      <c r="F182" s="46"/>
      <c r="G182" s="46"/>
      <c r="H182" s="46"/>
      <c r="I182" s="45"/>
      <c r="J182" s="45"/>
      <c r="K182" s="45"/>
      <c r="L182" s="45"/>
      <c r="M182" s="45"/>
      <c r="N182" s="45"/>
      <c r="O182" s="45"/>
      <c r="P182" s="45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B182" s="45"/>
      <c r="AC182" s="45"/>
      <c r="AD182" s="45"/>
      <c r="AE182" s="45"/>
      <c r="AF182" s="45"/>
      <c r="AG182" s="45"/>
      <c r="AH182" s="45"/>
      <c r="AI182" s="45"/>
      <c r="AJ182" s="45"/>
    </row>
    <row r="183">
      <c r="A183" s="45"/>
      <c r="B183" s="45"/>
      <c r="C183" s="45"/>
      <c r="D183" s="45"/>
      <c r="E183" s="46"/>
      <c r="F183" s="46"/>
      <c r="G183" s="46"/>
      <c r="H183" s="46"/>
      <c r="I183" s="45"/>
      <c r="J183" s="45"/>
      <c r="K183" s="45"/>
      <c r="L183" s="45"/>
      <c r="M183" s="45"/>
      <c r="N183" s="45"/>
      <c r="O183" s="45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B183" s="45"/>
      <c r="AC183" s="45"/>
      <c r="AD183" s="45"/>
      <c r="AE183" s="45"/>
    </row>
    <row r="184">
      <c r="A184" s="45"/>
      <c r="B184" s="45"/>
      <c r="C184" s="45"/>
      <c r="D184" s="45"/>
      <c r="E184" s="46"/>
      <c r="F184" s="46"/>
      <c r="G184" s="46"/>
      <c r="H184" s="46"/>
      <c r="I184" s="45"/>
      <c r="J184" s="45"/>
      <c r="K184" s="45"/>
      <c r="L184" s="45"/>
      <c r="M184" s="45"/>
      <c r="N184" s="45"/>
      <c r="O184" s="45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B184" s="45"/>
      <c r="AC184" s="45"/>
      <c r="AD184" s="45"/>
      <c r="AE184" s="45"/>
    </row>
    <row r="185">
      <c r="A185" s="45"/>
      <c r="B185" s="45"/>
      <c r="C185" s="45"/>
      <c r="D185" s="45"/>
      <c r="E185" s="46"/>
      <c r="F185" s="46"/>
      <c r="G185" s="46"/>
      <c r="H185" s="46"/>
      <c r="I185" s="45"/>
      <c r="J185" s="45"/>
      <c r="K185" s="45"/>
      <c r="L185" s="45"/>
      <c r="M185" s="45"/>
      <c r="N185" s="45"/>
      <c r="O185" s="45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B185" s="45"/>
      <c r="AC185" s="45"/>
      <c r="AD185" s="45"/>
      <c r="AE185" s="45"/>
    </row>
    <row r="186">
      <c r="A186" s="45"/>
      <c r="B186" s="45"/>
      <c r="C186" s="45"/>
      <c r="D186" s="45"/>
      <c r="E186" s="46"/>
      <c r="F186" s="46"/>
      <c r="G186" s="46"/>
      <c r="H186" s="46"/>
      <c r="I186" s="45"/>
      <c r="J186" s="45"/>
      <c r="K186" s="45"/>
      <c r="L186" s="45"/>
      <c r="M186" s="45"/>
      <c r="N186" s="45"/>
      <c r="O186" s="45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45"/>
      <c r="AC186" s="45"/>
      <c r="AD186" s="45"/>
      <c r="AE186" s="45"/>
    </row>
    <row r="187">
      <c r="A187" s="45"/>
      <c r="B187" s="45"/>
      <c r="C187" s="45"/>
      <c r="D187" s="45"/>
      <c r="E187" s="46"/>
      <c r="F187" s="46"/>
      <c r="G187" s="46"/>
      <c r="H187" s="46"/>
      <c r="I187" s="45"/>
      <c r="J187" s="45"/>
      <c r="K187" s="45"/>
      <c r="L187" s="45"/>
      <c r="M187" s="45"/>
      <c r="N187" s="45"/>
      <c r="O187" s="45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45"/>
      <c r="AC187" s="45"/>
      <c r="AD187" s="45"/>
      <c r="AE187" s="45"/>
    </row>
    <row r="188">
      <c r="A188" s="45"/>
      <c r="B188" s="45"/>
      <c r="C188" s="45"/>
      <c r="D188" s="45"/>
      <c r="E188" s="46"/>
      <c r="F188" s="46"/>
      <c r="G188" s="46"/>
      <c r="H188" s="46"/>
      <c r="I188" s="45"/>
      <c r="J188" s="45"/>
      <c r="K188" s="45"/>
      <c r="L188" s="45"/>
      <c r="M188" s="45"/>
      <c r="N188" s="45"/>
      <c r="O188" s="45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45"/>
      <c r="AC188" s="45"/>
      <c r="AD188" s="45"/>
      <c r="AE188" s="45"/>
    </row>
    <row r="189">
      <c r="A189" s="45"/>
      <c r="B189" s="45"/>
      <c r="C189" s="45"/>
      <c r="D189" s="45"/>
      <c r="E189" s="46"/>
      <c r="F189" s="46"/>
      <c r="G189" s="46"/>
      <c r="H189" s="46"/>
      <c r="I189" s="45"/>
      <c r="J189" s="45"/>
      <c r="K189" s="45"/>
      <c r="L189" s="45"/>
      <c r="M189" s="45"/>
      <c r="N189" s="45"/>
      <c r="O189" s="45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45"/>
      <c r="AC189" s="45"/>
      <c r="AD189" s="45"/>
      <c r="AE189" s="45"/>
    </row>
    <row r="190">
      <c r="A190" s="45"/>
      <c r="B190" s="45"/>
      <c r="C190" s="45"/>
      <c r="D190" s="45"/>
      <c r="E190" s="46"/>
      <c r="F190" s="46"/>
      <c r="G190" s="46"/>
      <c r="H190" s="46"/>
      <c r="I190" s="45"/>
      <c r="J190" s="45"/>
      <c r="K190" s="45"/>
      <c r="L190" s="45"/>
      <c r="M190" s="45"/>
      <c r="N190" s="45"/>
      <c r="O190" s="45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45"/>
      <c r="AC190" s="45"/>
      <c r="AD190" s="45"/>
      <c r="AE190" s="45"/>
    </row>
    <row r="191">
      <c r="A191" s="45"/>
      <c r="B191" s="45"/>
      <c r="C191" s="45"/>
      <c r="D191" s="45"/>
      <c r="E191" s="46"/>
      <c r="F191" s="46"/>
      <c r="G191" s="46"/>
      <c r="H191" s="46"/>
      <c r="I191" s="45"/>
      <c r="J191" s="45"/>
      <c r="K191" s="45"/>
      <c r="L191" s="45"/>
      <c r="M191" s="45"/>
      <c r="N191" s="45"/>
      <c r="O191" s="45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45"/>
      <c r="AC191" s="45"/>
      <c r="AD191" s="45"/>
      <c r="AE191" s="45"/>
    </row>
    <row r="192">
      <c r="A192" s="45"/>
      <c r="B192" s="45"/>
      <c r="C192" s="45"/>
      <c r="D192" s="45"/>
      <c r="E192" s="46"/>
      <c r="F192" s="46"/>
      <c r="G192" s="46"/>
      <c r="H192" s="46"/>
      <c r="I192" s="45"/>
      <c r="J192" s="45"/>
      <c r="K192" s="45"/>
      <c r="L192" s="45"/>
      <c r="M192" s="45"/>
      <c r="N192" s="45"/>
      <c r="O192" s="45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45"/>
      <c r="AC192" s="45"/>
      <c r="AD192" s="45"/>
      <c r="AE192" s="45"/>
      <c r="AF192" s="45"/>
      <c r="AG192" s="45"/>
      <c r="AH192" s="45"/>
      <c r="AI192" s="45"/>
      <c r="AJ192" s="45"/>
    </row>
    <row r="193">
      <c r="A193" s="45"/>
      <c r="B193" s="45"/>
      <c r="C193" s="45"/>
      <c r="D193" s="45"/>
      <c r="E193" s="46"/>
      <c r="F193" s="46"/>
      <c r="G193" s="46"/>
      <c r="H193" s="46"/>
      <c r="I193" s="45"/>
      <c r="J193" s="45"/>
      <c r="K193" s="45"/>
      <c r="L193" s="45"/>
      <c r="M193" s="45"/>
      <c r="N193" s="45"/>
      <c r="O193" s="45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45"/>
      <c r="AC193" s="45"/>
      <c r="AD193" s="45"/>
      <c r="AE193" s="45"/>
      <c r="AF193" s="45"/>
      <c r="AG193" s="45"/>
      <c r="AH193" s="45"/>
      <c r="AI193" s="45"/>
      <c r="AJ193" s="45"/>
    </row>
    <row r="194">
      <c r="A194" s="45"/>
      <c r="B194" s="45"/>
      <c r="C194" s="45"/>
      <c r="D194" s="45"/>
      <c r="E194" s="46"/>
      <c r="F194" s="46"/>
      <c r="G194" s="46"/>
      <c r="H194" s="46"/>
      <c r="I194" s="45"/>
      <c r="J194" s="45"/>
      <c r="K194" s="45"/>
      <c r="L194" s="45"/>
      <c r="M194" s="45"/>
      <c r="N194" s="45"/>
      <c r="O194" s="45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45"/>
      <c r="AC194" s="45"/>
      <c r="AD194" s="45"/>
      <c r="AE194" s="45"/>
      <c r="AF194" s="45"/>
      <c r="AG194" s="45"/>
      <c r="AH194" s="45"/>
      <c r="AI194" s="45"/>
      <c r="AJ194" s="45"/>
    </row>
    <row r="195">
      <c r="A195" s="45"/>
      <c r="B195" s="45"/>
      <c r="C195" s="45"/>
      <c r="D195" s="45"/>
      <c r="E195" s="46"/>
      <c r="F195" s="46"/>
      <c r="G195" s="46"/>
      <c r="H195" s="46"/>
      <c r="I195" s="45"/>
      <c r="J195" s="45"/>
      <c r="K195" s="45"/>
      <c r="L195" s="45"/>
      <c r="M195" s="45"/>
      <c r="N195" s="45"/>
      <c r="O195" s="45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45"/>
      <c r="AC195" s="45"/>
      <c r="AD195" s="45"/>
      <c r="AE195" s="45"/>
      <c r="AF195" s="45"/>
      <c r="AG195" s="45"/>
      <c r="AH195" s="45"/>
      <c r="AI195" s="45"/>
      <c r="AJ195" s="45"/>
    </row>
    <row r="196">
      <c r="A196" s="45"/>
      <c r="B196" s="45"/>
      <c r="C196" s="45"/>
      <c r="D196" s="45"/>
      <c r="E196" s="46"/>
      <c r="F196" s="46"/>
      <c r="G196" s="46"/>
      <c r="H196" s="46"/>
      <c r="I196" s="45"/>
      <c r="J196" s="45"/>
      <c r="K196" s="45"/>
      <c r="L196" s="45"/>
      <c r="M196" s="45"/>
      <c r="N196" s="45"/>
      <c r="O196" s="45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45"/>
      <c r="AC196" s="45"/>
      <c r="AD196" s="45"/>
      <c r="AE196" s="45"/>
      <c r="AF196" s="45"/>
      <c r="AG196" s="45"/>
      <c r="AH196" s="45"/>
      <c r="AI196" s="45"/>
      <c r="AJ196" s="45"/>
    </row>
    <row r="197">
      <c r="A197" s="45"/>
      <c r="B197" s="45"/>
      <c r="C197" s="45"/>
      <c r="D197" s="45"/>
      <c r="E197" s="46"/>
      <c r="F197" s="46"/>
      <c r="G197" s="46"/>
      <c r="H197" s="46"/>
      <c r="I197" s="45"/>
      <c r="J197" s="45"/>
      <c r="K197" s="45"/>
      <c r="L197" s="45"/>
      <c r="M197" s="45"/>
      <c r="N197" s="45"/>
      <c r="O197" s="45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45"/>
      <c r="AC197" s="45"/>
      <c r="AD197" s="45"/>
      <c r="AE197" s="45"/>
      <c r="AF197" s="45"/>
      <c r="AG197" s="45"/>
      <c r="AH197" s="45"/>
      <c r="AI197" s="45"/>
      <c r="AJ197" s="45"/>
    </row>
    <row r="198">
      <c r="A198" s="45"/>
      <c r="B198" s="45"/>
      <c r="C198" s="45"/>
      <c r="D198" s="45"/>
      <c r="E198" s="46"/>
      <c r="F198" s="46"/>
      <c r="G198" s="46"/>
      <c r="H198" s="46"/>
      <c r="I198" s="45"/>
      <c r="J198" s="45"/>
      <c r="K198" s="45"/>
      <c r="L198" s="45"/>
      <c r="M198" s="45"/>
      <c r="N198" s="45"/>
      <c r="O198" s="45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45"/>
      <c r="AC198" s="45"/>
      <c r="AD198" s="45"/>
      <c r="AE198" s="45"/>
      <c r="AF198" s="45"/>
      <c r="AG198" s="45"/>
      <c r="AH198" s="45"/>
      <c r="AI198" s="45"/>
      <c r="AJ198" s="45"/>
    </row>
    <row r="199">
      <c r="A199" s="45"/>
      <c r="B199" s="45"/>
      <c r="C199" s="45"/>
      <c r="D199" s="45"/>
      <c r="E199" s="46"/>
      <c r="F199" s="46"/>
      <c r="G199" s="46"/>
      <c r="H199" s="46"/>
      <c r="I199" s="45"/>
      <c r="J199" s="45"/>
      <c r="K199" s="45"/>
      <c r="L199" s="45"/>
      <c r="M199" s="45"/>
      <c r="N199" s="45"/>
      <c r="O199" s="45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45"/>
      <c r="AC199" s="45"/>
      <c r="AD199" s="45"/>
      <c r="AE199" s="45"/>
      <c r="AF199" s="45"/>
      <c r="AG199" s="45"/>
      <c r="AH199" s="45"/>
      <c r="AI199" s="45"/>
      <c r="AJ199" s="45"/>
    </row>
    <row r="200">
      <c r="A200" s="45"/>
      <c r="B200" s="45"/>
      <c r="C200" s="45"/>
      <c r="D200" s="45"/>
      <c r="E200" s="46"/>
      <c r="F200" s="46"/>
      <c r="G200" s="46"/>
      <c r="H200" s="46"/>
      <c r="I200" s="45"/>
      <c r="J200" s="45"/>
      <c r="K200" s="45"/>
      <c r="L200" s="45"/>
      <c r="M200" s="45"/>
      <c r="N200" s="45"/>
      <c r="O200" s="45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45"/>
      <c r="AC200" s="45"/>
      <c r="AD200" s="45"/>
      <c r="AE200" s="45"/>
      <c r="AF200" s="45"/>
      <c r="AG200" s="45"/>
      <c r="AH200" s="45"/>
      <c r="AI200" s="45"/>
      <c r="AJ200" s="45"/>
    </row>
    <row r="201">
      <c r="A201" s="45"/>
      <c r="B201" s="45"/>
      <c r="C201" s="45"/>
      <c r="D201" s="45"/>
      <c r="E201" s="46"/>
      <c r="F201" s="46"/>
      <c r="G201" s="46"/>
      <c r="H201" s="46"/>
      <c r="I201" s="45"/>
      <c r="J201" s="45"/>
      <c r="K201" s="45"/>
      <c r="L201" s="45"/>
      <c r="M201" s="45"/>
      <c r="N201" s="45"/>
      <c r="O201" s="45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45"/>
      <c r="AC201" s="45"/>
      <c r="AD201" s="45"/>
      <c r="AE201" s="45"/>
      <c r="AF201" s="45"/>
      <c r="AG201" s="45"/>
      <c r="AH201" s="45"/>
      <c r="AI201" s="45"/>
      <c r="AJ201" s="45"/>
    </row>
    <row r="202">
      <c r="A202" s="45"/>
      <c r="B202" s="45"/>
      <c r="C202" s="45"/>
      <c r="D202" s="45"/>
      <c r="E202" s="46"/>
      <c r="F202" s="46"/>
      <c r="G202" s="46"/>
      <c r="H202" s="46"/>
      <c r="I202" s="45"/>
      <c r="J202" s="45"/>
      <c r="K202" s="45"/>
      <c r="L202" s="45"/>
      <c r="M202" s="45"/>
      <c r="N202" s="45"/>
      <c r="O202" s="45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45"/>
      <c r="AC202" s="45"/>
      <c r="AD202" s="45"/>
      <c r="AE202" s="45"/>
      <c r="AF202" s="45"/>
      <c r="AG202" s="45"/>
      <c r="AH202" s="45"/>
      <c r="AI202" s="45"/>
      <c r="AJ202" s="45"/>
    </row>
    <row r="203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45"/>
      <c r="AC203" s="45"/>
      <c r="AD203" s="45"/>
      <c r="AE203" s="45"/>
      <c r="AF203" s="45"/>
      <c r="AG203" s="45"/>
      <c r="AH203" s="45"/>
      <c r="AI203" s="45"/>
      <c r="AJ203" s="45"/>
    </row>
    <row r="204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45"/>
      <c r="AC204" s="45"/>
      <c r="AD204" s="45"/>
      <c r="AE204" s="45"/>
      <c r="AF204" s="45"/>
      <c r="AG204" s="45"/>
      <c r="AH204" s="45"/>
      <c r="AI204" s="45"/>
      <c r="AJ204" s="45"/>
    </row>
    <row r="20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</row>
    <row r="206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  <c r="AI206" s="45"/>
      <c r="AJ206" s="45"/>
    </row>
    <row r="207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  <c r="AI207" s="45"/>
      <c r="AJ207" s="45"/>
    </row>
    <row r="208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  <c r="AI208" s="45"/>
      <c r="AJ208" s="45"/>
    </row>
    <row r="209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</row>
    <row r="210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  <c r="AI210" s="45"/>
      <c r="AJ210" s="45"/>
    </row>
    <row r="21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  <c r="AJ211" s="45"/>
    </row>
    <row r="212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  <c r="AI212" s="45"/>
      <c r="AJ212" s="45"/>
    </row>
    <row r="213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  <c r="AI213" s="45"/>
      <c r="AJ213" s="45"/>
    </row>
    <row r="214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5"/>
    </row>
    <row r="21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</row>
    <row r="216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AB216" s="45"/>
      <c r="AC216" s="45"/>
      <c r="AD216" s="45"/>
      <c r="AE216" s="45"/>
      <c r="AF216" s="45"/>
      <c r="AG216" s="45"/>
      <c r="AH216" s="45"/>
      <c r="AI216" s="45"/>
      <c r="AJ216" s="45"/>
    </row>
    <row r="217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AB217" s="45"/>
      <c r="AC217" s="45"/>
      <c r="AD217" s="45"/>
      <c r="AE217" s="45"/>
      <c r="AF217" s="45"/>
      <c r="AG217" s="45"/>
      <c r="AH217" s="45"/>
      <c r="AI217" s="45"/>
      <c r="AJ217" s="45"/>
    </row>
    <row r="218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AB218" s="45"/>
      <c r="AC218" s="45"/>
      <c r="AD218" s="45"/>
      <c r="AE218" s="45"/>
      <c r="AF218" s="45"/>
      <c r="AG218" s="45"/>
      <c r="AH218" s="45"/>
      <c r="AI218" s="45"/>
      <c r="AJ218" s="45"/>
    </row>
    <row r="219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AB219" s="45"/>
      <c r="AC219" s="45"/>
      <c r="AD219" s="45"/>
      <c r="AE219" s="45"/>
      <c r="AF219" s="45"/>
      <c r="AG219" s="45"/>
      <c r="AH219" s="45"/>
      <c r="AI219" s="45"/>
      <c r="AJ219" s="45"/>
    </row>
    <row r="220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AB220" s="45"/>
      <c r="AC220" s="45"/>
      <c r="AD220" s="45"/>
      <c r="AE220" s="45"/>
      <c r="AF220" s="45"/>
      <c r="AG220" s="45"/>
      <c r="AH220" s="45"/>
      <c r="AI220" s="45"/>
      <c r="AJ220" s="45"/>
    </row>
    <row r="22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AB221" s="45"/>
      <c r="AC221" s="45"/>
      <c r="AD221" s="45"/>
      <c r="AE221" s="45"/>
      <c r="AF221" s="45"/>
      <c r="AG221" s="45"/>
      <c r="AH221" s="45"/>
      <c r="AI221" s="45"/>
      <c r="AJ221" s="45"/>
    </row>
    <row r="222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AB222" s="45"/>
      <c r="AC222" s="45"/>
      <c r="AD222" s="45"/>
      <c r="AE222" s="45"/>
      <c r="AF222" s="45"/>
      <c r="AG222" s="45"/>
      <c r="AH222" s="45"/>
      <c r="AI222" s="45"/>
      <c r="AJ222" s="45"/>
    </row>
    <row r="223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AB223" s="45"/>
      <c r="AC223" s="45"/>
      <c r="AD223" s="45"/>
      <c r="AE223" s="45"/>
      <c r="AF223" s="45"/>
      <c r="AG223" s="45"/>
      <c r="AH223" s="45"/>
      <c r="AI223" s="45"/>
      <c r="AJ223" s="45"/>
    </row>
    <row r="224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AB224" s="45"/>
      <c r="AC224" s="45"/>
      <c r="AD224" s="45"/>
      <c r="AE224" s="45"/>
      <c r="AF224" s="45"/>
      <c r="AG224" s="45"/>
      <c r="AH224" s="45"/>
      <c r="AI224" s="45"/>
      <c r="AJ224" s="45"/>
    </row>
    <row r="22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AB225" s="45"/>
      <c r="AC225" s="45"/>
      <c r="AD225" s="45"/>
      <c r="AE225" s="45"/>
      <c r="AF225" s="45"/>
      <c r="AG225" s="45"/>
      <c r="AH225" s="45"/>
      <c r="AI225" s="45"/>
      <c r="AJ225" s="45"/>
    </row>
    <row r="226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AB226" s="45"/>
      <c r="AC226" s="45"/>
      <c r="AD226" s="45"/>
      <c r="AE226" s="45"/>
      <c r="AF226" s="45"/>
      <c r="AG226" s="45"/>
      <c r="AH226" s="45"/>
      <c r="AI226" s="45"/>
      <c r="AJ226" s="45"/>
    </row>
    <row r="227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AB227" s="45"/>
      <c r="AC227" s="45"/>
      <c r="AD227" s="45"/>
      <c r="AE227" s="45"/>
      <c r="AF227" s="45"/>
      <c r="AG227" s="45"/>
      <c r="AH227" s="45"/>
      <c r="AI227" s="45"/>
      <c r="AJ227" s="45"/>
    </row>
    <row r="228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AB228" s="45"/>
      <c r="AC228" s="45"/>
      <c r="AD228" s="45"/>
      <c r="AE228" s="45"/>
      <c r="AF228" s="45"/>
      <c r="AG228" s="45"/>
      <c r="AH228" s="45"/>
      <c r="AI228" s="45"/>
      <c r="AJ228" s="45"/>
    </row>
    <row r="229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AB229" s="45"/>
      <c r="AC229" s="45"/>
      <c r="AD229" s="45"/>
      <c r="AE229" s="45"/>
      <c r="AF229" s="45"/>
      <c r="AG229" s="45"/>
      <c r="AH229" s="45"/>
      <c r="AI229" s="45"/>
      <c r="AJ229" s="45"/>
    </row>
    <row r="230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AB230" s="45"/>
      <c r="AC230" s="45"/>
      <c r="AD230" s="45"/>
      <c r="AE230" s="45"/>
      <c r="AF230" s="45"/>
      <c r="AG230" s="45"/>
      <c r="AH230" s="45"/>
      <c r="AI230" s="45"/>
      <c r="AJ230" s="45"/>
    </row>
    <row r="23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AB231" s="45"/>
      <c r="AC231" s="45"/>
      <c r="AD231" s="45"/>
      <c r="AE231" s="45"/>
      <c r="AF231" s="45"/>
      <c r="AG231" s="45"/>
      <c r="AH231" s="45"/>
      <c r="AI231" s="45"/>
      <c r="AJ231" s="45"/>
    </row>
    <row r="232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AB232" s="45"/>
      <c r="AC232" s="45"/>
      <c r="AD232" s="45"/>
      <c r="AE232" s="45"/>
      <c r="AF232" s="45"/>
      <c r="AG232" s="45"/>
      <c r="AH232" s="45"/>
      <c r="AI232" s="45"/>
      <c r="AJ232" s="45"/>
    </row>
    <row r="233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AB233" s="45"/>
      <c r="AC233" s="45"/>
      <c r="AD233" s="45"/>
      <c r="AE233" s="45"/>
      <c r="AF233" s="45"/>
      <c r="AG233" s="45"/>
      <c r="AH233" s="45"/>
      <c r="AI233" s="45"/>
      <c r="AJ233" s="45"/>
    </row>
    <row r="234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AB234" s="45"/>
      <c r="AC234" s="45"/>
      <c r="AD234" s="45"/>
      <c r="AE234" s="45"/>
      <c r="AF234" s="45"/>
      <c r="AG234" s="45"/>
      <c r="AH234" s="45"/>
      <c r="AI234" s="45"/>
      <c r="AJ234" s="45"/>
    </row>
    <row r="23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AB235" s="45"/>
      <c r="AC235" s="45"/>
      <c r="AD235" s="45"/>
      <c r="AE235" s="45"/>
      <c r="AF235" s="45"/>
      <c r="AG235" s="45"/>
      <c r="AH235" s="45"/>
      <c r="AI235" s="45"/>
      <c r="AJ235" s="45"/>
    </row>
    <row r="236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AB236" s="45"/>
      <c r="AC236" s="45"/>
      <c r="AD236" s="45"/>
      <c r="AE236" s="45"/>
      <c r="AF236" s="45"/>
      <c r="AG236" s="45"/>
      <c r="AH236" s="45"/>
      <c r="AI236" s="45"/>
      <c r="AJ236" s="45"/>
    </row>
    <row r="237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AB237" s="45"/>
      <c r="AC237" s="45"/>
      <c r="AD237" s="45"/>
      <c r="AE237" s="45"/>
      <c r="AF237" s="45"/>
      <c r="AG237" s="45"/>
      <c r="AH237" s="45"/>
      <c r="AI237" s="45"/>
      <c r="AJ237" s="45"/>
    </row>
    <row r="238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AB238" s="45"/>
      <c r="AC238" s="45"/>
      <c r="AD238" s="45"/>
      <c r="AE238" s="45"/>
      <c r="AF238" s="45"/>
      <c r="AG238" s="45"/>
      <c r="AH238" s="45"/>
      <c r="AI238" s="45"/>
      <c r="AJ238" s="45"/>
    </row>
    <row r="239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AB239" s="45"/>
      <c r="AC239" s="45"/>
      <c r="AD239" s="45"/>
      <c r="AE239" s="45"/>
      <c r="AF239" s="45"/>
      <c r="AG239" s="45"/>
      <c r="AH239" s="45"/>
      <c r="AI239" s="45"/>
      <c r="AJ239" s="45"/>
    </row>
    <row r="240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  <c r="AI240" s="45"/>
      <c r="AJ240" s="45"/>
    </row>
    <row r="24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  <c r="AI241" s="45"/>
      <c r="AJ241" s="45"/>
    </row>
    <row r="242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45"/>
      <c r="AI242" s="45"/>
      <c r="AJ242" s="45"/>
    </row>
    <row r="243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45"/>
      <c r="AI243" s="45"/>
      <c r="AJ243" s="45"/>
    </row>
    <row r="244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45"/>
      <c r="AI244" s="45"/>
      <c r="AJ244" s="45"/>
    </row>
    <row r="24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45"/>
      <c r="AI245" s="45"/>
      <c r="AJ245" s="45"/>
    </row>
    <row r="246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45"/>
      <c r="AI246" s="45"/>
      <c r="AJ246" s="45"/>
    </row>
    <row r="247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45"/>
      <c r="AI247" s="45"/>
      <c r="AJ247" s="45"/>
    </row>
    <row r="248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45"/>
      <c r="AI248" s="45"/>
      <c r="AJ248" s="45"/>
    </row>
    <row r="249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45"/>
      <c r="AI249" s="45"/>
      <c r="AJ249" s="45"/>
    </row>
    <row r="250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45"/>
      <c r="AI250" s="45"/>
      <c r="AJ250" s="45"/>
    </row>
    <row r="25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45"/>
      <c r="AI251" s="45"/>
      <c r="AJ251" s="45"/>
    </row>
    <row r="252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45"/>
      <c r="AI252" s="45"/>
      <c r="AJ252" s="45"/>
    </row>
    <row r="253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</row>
    <row r="254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45"/>
      <c r="AI254" s="45"/>
      <c r="AJ254" s="45"/>
    </row>
    <row r="25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45"/>
      <c r="AI255" s="45"/>
      <c r="AJ255" s="45"/>
    </row>
    <row r="256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</row>
    <row r="257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45"/>
      <c r="AI257" s="45"/>
      <c r="AJ257" s="45"/>
    </row>
    <row r="258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45"/>
      <c r="AI258" s="45"/>
      <c r="AJ258" s="45"/>
    </row>
    <row r="259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45"/>
      <c r="AI259" s="45"/>
      <c r="AJ259" s="45"/>
    </row>
    <row r="260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  <c r="AH260" s="45"/>
      <c r="AI260" s="45"/>
      <c r="AJ260" s="45"/>
    </row>
    <row r="26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45"/>
      <c r="AI261" s="45"/>
      <c r="AJ261" s="45"/>
    </row>
    <row r="262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45"/>
      <c r="AI262" s="45"/>
      <c r="AJ262" s="45"/>
    </row>
    <row r="263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45"/>
      <c r="AI263" s="45"/>
      <c r="AJ263" s="45"/>
    </row>
    <row r="264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45"/>
      <c r="AI264" s="45"/>
      <c r="AJ264" s="45"/>
    </row>
    <row r="26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45"/>
      <c r="AI265" s="45"/>
      <c r="AJ265" s="45"/>
    </row>
    <row r="266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45"/>
      <c r="AI266" s="45"/>
      <c r="AJ266" s="45"/>
    </row>
    <row r="267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45"/>
      <c r="AI267" s="45"/>
      <c r="AJ267" s="45"/>
    </row>
    <row r="268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5"/>
      <c r="AH268" s="45"/>
      <c r="AI268" s="45"/>
      <c r="AJ268" s="45"/>
    </row>
    <row r="269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45"/>
      <c r="AI269" s="45"/>
      <c r="AJ269" s="45"/>
    </row>
    <row r="270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5"/>
      <c r="AH270" s="45"/>
      <c r="AI270" s="45"/>
      <c r="AJ270" s="45"/>
    </row>
    <row r="27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5"/>
      <c r="AH271" s="45"/>
      <c r="AI271" s="45"/>
      <c r="AJ271" s="45"/>
    </row>
    <row r="272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5"/>
      <c r="AH272" s="45"/>
      <c r="AI272" s="45"/>
      <c r="AJ272" s="45"/>
    </row>
    <row r="273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45"/>
      <c r="AI273" s="45"/>
      <c r="AJ273" s="45"/>
    </row>
    <row r="274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45"/>
      <c r="AI274" s="45"/>
      <c r="AJ274" s="45"/>
    </row>
    <row r="2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45"/>
      <c r="AI275" s="45"/>
      <c r="AJ275" s="45"/>
    </row>
    <row r="276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45"/>
      <c r="AI276" s="45"/>
      <c r="AJ276" s="45"/>
    </row>
    <row r="277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45"/>
      <c r="AI277" s="45"/>
      <c r="AJ277" s="45"/>
    </row>
    <row r="278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45"/>
      <c r="AI278" s="45"/>
      <c r="AJ278" s="45"/>
    </row>
    <row r="279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45"/>
      <c r="AI279" s="45"/>
      <c r="AJ279" s="45"/>
    </row>
    <row r="280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5"/>
      <c r="AH280" s="45"/>
      <c r="AI280" s="45"/>
      <c r="AJ280" s="45"/>
    </row>
    <row r="28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45"/>
      <c r="AI281" s="45"/>
      <c r="AJ281" s="45"/>
    </row>
    <row r="282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45"/>
      <c r="AI282" s="45"/>
      <c r="AJ282" s="45"/>
    </row>
    <row r="283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45"/>
      <c r="AI283" s="45"/>
      <c r="AJ283" s="45"/>
    </row>
    <row r="284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45"/>
      <c r="AI284" s="45"/>
      <c r="AJ284" s="45"/>
    </row>
    <row r="28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45"/>
      <c r="AI285" s="45"/>
      <c r="AJ285" s="45"/>
    </row>
    <row r="286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45"/>
      <c r="AI286" s="45"/>
      <c r="AJ286" s="45"/>
    </row>
    <row r="287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45"/>
      <c r="AI287" s="45"/>
      <c r="AJ287" s="45"/>
    </row>
    <row r="288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5"/>
      <c r="AH288" s="45"/>
      <c r="AI288" s="45"/>
      <c r="AJ288" s="45"/>
    </row>
    <row r="289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45"/>
      <c r="AI289" s="45"/>
      <c r="AJ289" s="45"/>
    </row>
    <row r="290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5"/>
      <c r="AH290" s="45"/>
      <c r="AI290" s="45"/>
      <c r="AJ290" s="45"/>
    </row>
    <row r="29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</row>
    <row r="292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5"/>
      <c r="AH292" s="45"/>
      <c r="AI292" s="45"/>
      <c r="AJ292" s="45"/>
    </row>
    <row r="293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45"/>
      <c r="AI293" s="45"/>
      <c r="AJ293" s="45"/>
    </row>
    <row r="294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</row>
    <row r="29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5"/>
      <c r="AH295" s="45"/>
      <c r="AI295" s="45"/>
      <c r="AJ295" s="45"/>
    </row>
    <row r="296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  <c r="AG296" s="45"/>
      <c r="AH296" s="45"/>
      <c r="AI296" s="45"/>
      <c r="AJ296" s="45"/>
    </row>
    <row r="297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  <c r="AG297" s="45"/>
      <c r="AH297" s="45"/>
      <c r="AI297" s="45"/>
      <c r="AJ297" s="45"/>
    </row>
    <row r="298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  <c r="AG298" s="45"/>
      <c r="AH298" s="45"/>
      <c r="AI298" s="45"/>
      <c r="AJ298" s="45"/>
    </row>
    <row r="299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  <c r="AG299" s="45"/>
      <c r="AH299" s="45"/>
      <c r="AI299" s="45"/>
      <c r="AJ299" s="45"/>
    </row>
    <row r="300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45"/>
      <c r="AI300" s="45"/>
      <c r="AJ300" s="45"/>
    </row>
    <row r="30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45"/>
      <c r="AI301" s="45"/>
      <c r="AJ301" s="45"/>
    </row>
    <row r="302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45"/>
      <c r="AI302" s="45"/>
      <c r="AJ302" s="45"/>
    </row>
    <row r="303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45"/>
      <c r="AI303" s="45"/>
      <c r="AJ303" s="45"/>
    </row>
    <row r="304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45"/>
      <c r="AI304" s="45"/>
      <c r="AJ304" s="45"/>
    </row>
    <row r="30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45"/>
      <c r="AI305" s="45"/>
      <c r="AJ305" s="45"/>
    </row>
    <row r="306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45"/>
      <c r="AI306" s="45"/>
      <c r="AJ306" s="45"/>
    </row>
    <row r="307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5"/>
      <c r="AH307" s="45"/>
      <c r="AI307" s="45"/>
      <c r="AJ307" s="45"/>
    </row>
    <row r="308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45"/>
      <c r="AI308" s="45"/>
      <c r="AJ308" s="45"/>
    </row>
    <row r="309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45"/>
      <c r="AI309" s="45"/>
      <c r="AJ309" s="45"/>
    </row>
    <row r="310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5"/>
      <c r="AH310" s="45"/>
      <c r="AI310" s="45"/>
      <c r="AJ310" s="45"/>
    </row>
    <row r="31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5"/>
      <c r="AH311" s="45"/>
      <c r="AI311" s="45"/>
      <c r="AJ311" s="45"/>
    </row>
    <row r="312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5"/>
      <c r="AH312" s="45"/>
      <c r="AI312" s="45"/>
      <c r="AJ312" s="45"/>
    </row>
    <row r="313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5"/>
      <c r="AH313" s="45"/>
      <c r="AI313" s="45"/>
      <c r="AJ313" s="45"/>
    </row>
    <row r="314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5"/>
      <c r="AH314" s="45"/>
      <c r="AI314" s="45"/>
      <c r="AJ314" s="45"/>
    </row>
    <row r="31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45"/>
      <c r="AI315" s="45"/>
      <c r="AJ315" s="45"/>
    </row>
    <row r="316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5"/>
      <c r="AH316" s="45"/>
      <c r="AI316" s="45"/>
      <c r="AJ316" s="45"/>
    </row>
    <row r="317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5"/>
      <c r="AH317" s="45"/>
      <c r="AI317" s="45"/>
      <c r="AJ317" s="45"/>
    </row>
    <row r="318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45"/>
      <c r="AI318" s="45"/>
      <c r="AJ318" s="45"/>
    </row>
    <row r="319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45"/>
      <c r="AI319" s="45"/>
      <c r="AJ319" s="45"/>
    </row>
    <row r="320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5"/>
      <c r="AH320" s="45"/>
      <c r="AI320" s="45"/>
      <c r="AJ320" s="45"/>
    </row>
    <row r="32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5"/>
      <c r="AH321" s="45"/>
      <c r="AI321" s="45"/>
      <c r="AJ321" s="45"/>
    </row>
    <row r="322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  <c r="AG322" s="45"/>
      <c r="AH322" s="45"/>
      <c r="AI322" s="45"/>
      <c r="AJ322" s="45"/>
    </row>
    <row r="323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5"/>
      <c r="AH323" s="45"/>
      <c r="AI323" s="45"/>
      <c r="AJ323" s="45"/>
    </row>
    <row r="324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  <c r="AG324" s="45"/>
      <c r="AH324" s="45"/>
      <c r="AI324" s="45"/>
      <c r="AJ324" s="45"/>
    </row>
    <row r="32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  <c r="AG325" s="45"/>
      <c r="AH325" s="45"/>
      <c r="AI325" s="45"/>
      <c r="AJ325" s="45"/>
    </row>
    <row r="326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  <c r="AG326" s="45"/>
      <c r="AH326" s="45"/>
      <c r="AI326" s="45"/>
      <c r="AJ326" s="45"/>
    </row>
    <row r="327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  <c r="AG327" s="45"/>
      <c r="AH327" s="45"/>
      <c r="AI327" s="45"/>
      <c r="AJ327" s="45"/>
    </row>
    <row r="328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  <c r="AG328" s="45"/>
      <c r="AH328" s="45"/>
      <c r="AI328" s="45"/>
      <c r="AJ328" s="45"/>
    </row>
    <row r="329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</row>
    <row r="330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  <c r="AG330" s="45"/>
      <c r="AH330" s="45"/>
      <c r="AI330" s="45"/>
      <c r="AJ330" s="45"/>
    </row>
    <row r="33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  <c r="AG331" s="45"/>
      <c r="AH331" s="45"/>
      <c r="AI331" s="45"/>
      <c r="AJ331" s="45"/>
    </row>
    <row r="332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</row>
    <row r="333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45"/>
      <c r="AH333" s="45"/>
      <c r="AI333" s="45"/>
      <c r="AJ333" s="45"/>
    </row>
    <row r="334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5"/>
      <c r="AH334" s="45"/>
      <c r="AI334" s="45"/>
      <c r="AJ334" s="45"/>
    </row>
    <row r="33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5"/>
      <c r="AH335" s="45"/>
      <c r="AI335" s="45"/>
      <c r="AJ335" s="45"/>
    </row>
    <row r="336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5"/>
      <c r="AH336" s="45"/>
      <c r="AI336" s="45"/>
      <c r="AJ336" s="45"/>
    </row>
    <row r="337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5"/>
      <c r="AH337" s="45"/>
      <c r="AI337" s="45"/>
      <c r="AJ337" s="45"/>
    </row>
    <row r="338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5"/>
      <c r="AH338" s="45"/>
      <c r="AI338" s="45"/>
      <c r="AJ338" s="45"/>
    </row>
    <row r="339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45"/>
      <c r="AI339" s="45"/>
      <c r="AJ339" s="45"/>
    </row>
    <row r="340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5"/>
      <c r="AH340" s="45"/>
      <c r="AI340" s="45"/>
      <c r="AJ340" s="45"/>
    </row>
    <row r="34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5"/>
      <c r="AH341" s="45"/>
      <c r="AI341" s="45"/>
      <c r="AJ341" s="45"/>
    </row>
    <row r="342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5"/>
      <c r="AH342" s="45"/>
      <c r="AI342" s="45"/>
      <c r="AJ342" s="45"/>
    </row>
    <row r="343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5"/>
      <c r="AH343" s="45"/>
      <c r="AI343" s="45"/>
      <c r="AJ343" s="45"/>
    </row>
    <row r="344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5"/>
      <c r="AH344" s="45"/>
      <c r="AI344" s="45"/>
      <c r="AJ344" s="45"/>
    </row>
    <row r="34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45"/>
      <c r="AI345" s="45"/>
      <c r="AJ345" s="45"/>
    </row>
    <row r="346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5"/>
      <c r="AH346" s="45"/>
      <c r="AI346" s="45"/>
      <c r="AJ346" s="45"/>
    </row>
    <row r="347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5"/>
      <c r="AH347" s="45"/>
      <c r="AI347" s="45"/>
      <c r="AJ347" s="45"/>
    </row>
    <row r="348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5"/>
      <c r="AH348" s="45"/>
      <c r="AI348" s="45"/>
      <c r="AJ348" s="45"/>
    </row>
    <row r="349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5"/>
      <c r="AH349" s="45"/>
      <c r="AI349" s="45"/>
      <c r="AJ349" s="45"/>
    </row>
    <row r="350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5"/>
      <c r="AH350" s="45"/>
      <c r="AI350" s="45"/>
      <c r="AJ350" s="45"/>
    </row>
    <row r="35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5"/>
      <c r="AH351" s="45"/>
      <c r="AI351" s="45"/>
      <c r="AJ351" s="45"/>
    </row>
    <row r="352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45"/>
      <c r="AH352" s="45"/>
      <c r="AI352" s="45"/>
      <c r="AJ352" s="45"/>
    </row>
    <row r="353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5"/>
      <c r="AH353" s="45"/>
      <c r="AI353" s="45"/>
      <c r="AJ353" s="45"/>
    </row>
    <row r="354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5"/>
      <c r="AH354" s="45"/>
      <c r="AI354" s="45"/>
      <c r="AJ354" s="45"/>
    </row>
    <row r="35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5"/>
      <c r="AH355" s="45"/>
      <c r="AI355" s="45"/>
      <c r="AJ355" s="45"/>
    </row>
    <row r="356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5"/>
      <c r="AH356" s="45"/>
      <c r="AI356" s="45"/>
      <c r="AJ356" s="45"/>
    </row>
    <row r="357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5"/>
      <c r="AH357" s="45"/>
      <c r="AI357" s="45"/>
      <c r="AJ357" s="45"/>
    </row>
    <row r="358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45"/>
      <c r="AH358" s="45"/>
      <c r="AI358" s="45"/>
      <c r="AJ358" s="45"/>
    </row>
    <row r="359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5"/>
      <c r="AH359" s="45"/>
      <c r="AI359" s="45"/>
      <c r="AJ359" s="45"/>
    </row>
    <row r="360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5"/>
      <c r="AH360" s="45"/>
      <c r="AI360" s="45"/>
      <c r="AJ360" s="45"/>
    </row>
    <row r="36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5"/>
      <c r="AH361" s="45"/>
      <c r="AI361" s="45"/>
      <c r="AJ361" s="45"/>
    </row>
    <row r="362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5"/>
      <c r="AH362" s="45"/>
      <c r="AI362" s="45"/>
      <c r="AJ362" s="45"/>
    </row>
    <row r="363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5"/>
      <c r="AH363" s="45"/>
      <c r="AI363" s="45"/>
      <c r="AJ363" s="45"/>
    </row>
    <row r="364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5"/>
      <c r="AH364" s="45"/>
      <c r="AI364" s="45"/>
      <c r="AJ364" s="45"/>
    </row>
    <row r="36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5"/>
      <c r="AH365" s="45"/>
      <c r="AI365" s="45"/>
      <c r="AJ365" s="45"/>
    </row>
    <row r="366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5"/>
      <c r="AH366" s="45"/>
      <c r="AI366" s="45"/>
      <c r="AJ366" s="45"/>
    </row>
    <row r="367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</row>
    <row r="368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5"/>
      <c r="AH368" s="45"/>
      <c r="AI368" s="45"/>
      <c r="AJ368" s="45"/>
    </row>
    <row r="369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5"/>
      <c r="AH369" s="45"/>
      <c r="AI369" s="45"/>
      <c r="AJ369" s="45"/>
    </row>
    <row r="370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</row>
    <row r="37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  <c r="AG371" s="45"/>
      <c r="AH371" s="45"/>
      <c r="AI371" s="45"/>
      <c r="AJ371" s="45"/>
    </row>
    <row r="372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45"/>
      <c r="AH372" s="45"/>
      <c r="AI372" s="45"/>
      <c r="AJ372" s="45"/>
    </row>
    <row r="373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45"/>
      <c r="AH373" s="45"/>
      <c r="AI373" s="45"/>
      <c r="AJ373" s="45"/>
    </row>
    <row r="374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  <c r="AG374" s="45"/>
      <c r="AH374" s="45"/>
      <c r="AI374" s="45"/>
      <c r="AJ374" s="45"/>
    </row>
    <row r="3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5"/>
      <c r="AH375" s="45"/>
      <c r="AI375" s="45"/>
      <c r="AJ375" s="45"/>
    </row>
    <row r="376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5"/>
      <c r="AH376" s="45"/>
      <c r="AI376" s="45"/>
      <c r="AJ376" s="45"/>
    </row>
    <row r="377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  <c r="AG377" s="45"/>
      <c r="AH377" s="45"/>
      <c r="AI377" s="45"/>
      <c r="AJ377" s="45"/>
    </row>
    <row r="378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  <c r="AG378" s="45"/>
      <c r="AH378" s="45"/>
      <c r="AI378" s="45"/>
      <c r="AJ378" s="45"/>
    </row>
    <row r="379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5"/>
      <c r="AH379" s="45"/>
      <c r="AI379" s="45"/>
      <c r="AJ379" s="45"/>
    </row>
    <row r="380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  <c r="AG380" s="45"/>
      <c r="AH380" s="45"/>
      <c r="AI380" s="45"/>
      <c r="AJ380" s="45"/>
    </row>
    <row r="38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  <c r="AG381" s="45"/>
      <c r="AH381" s="45"/>
      <c r="AI381" s="45"/>
      <c r="AJ381" s="45"/>
    </row>
    <row r="382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45"/>
      <c r="AH382" s="45"/>
      <c r="AI382" s="45"/>
      <c r="AJ382" s="45"/>
    </row>
    <row r="383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5"/>
      <c r="AH383" s="45"/>
      <c r="AI383" s="45"/>
      <c r="AJ383" s="45"/>
    </row>
    <row r="384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5"/>
      <c r="AH384" s="45"/>
      <c r="AI384" s="45"/>
      <c r="AJ384" s="45"/>
    </row>
    <row r="38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  <c r="AG385" s="45"/>
      <c r="AH385" s="45"/>
      <c r="AI385" s="45"/>
      <c r="AJ385" s="45"/>
    </row>
    <row r="386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  <c r="AG386" s="45"/>
      <c r="AH386" s="45"/>
      <c r="AI386" s="45"/>
      <c r="AJ386" s="45"/>
    </row>
    <row r="387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45"/>
      <c r="AH387" s="45"/>
      <c r="AI387" s="45"/>
      <c r="AJ387" s="45"/>
    </row>
    <row r="388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  <c r="AG388" s="45"/>
      <c r="AH388" s="45"/>
      <c r="AI388" s="45"/>
      <c r="AJ388" s="45"/>
    </row>
    <row r="389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5"/>
      <c r="AH389" s="45"/>
      <c r="AI389" s="45"/>
      <c r="AJ389" s="45"/>
    </row>
    <row r="390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5"/>
      <c r="AH390" s="45"/>
      <c r="AI390" s="45"/>
      <c r="AJ390" s="45"/>
    </row>
    <row r="39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5"/>
      <c r="AH391" s="45"/>
      <c r="AI391" s="45"/>
      <c r="AJ391" s="45"/>
    </row>
    <row r="392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  <c r="AG392" s="45"/>
      <c r="AH392" s="45"/>
      <c r="AI392" s="45"/>
      <c r="AJ392" s="45"/>
    </row>
    <row r="393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45"/>
      <c r="AH393" s="45"/>
      <c r="AI393" s="45"/>
      <c r="AJ393" s="45"/>
    </row>
    <row r="394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5"/>
      <c r="AH394" s="45"/>
      <c r="AI394" s="45"/>
      <c r="AJ394" s="45"/>
    </row>
    <row r="39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45"/>
      <c r="AH395" s="45"/>
      <c r="AI395" s="45"/>
      <c r="AJ395" s="45"/>
    </row>
    <row r="396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  <c r="AG396" s="45"/>
      <c r="AH396" s="45"/>
      <c r="AI396" s="45"/>
      <c r="AJ396" s="45"/>
    </row>
    <row r="397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5"/>
      <c r="AH397" s="45"/>
      <c r="AI397" s="45"/>
      <c r="AJ397" s="45"/>
    </row>
    <row r="398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  <c r="AG398" s="45"/>
      <c r="AH398" s="45"/>
      <c r="AI398" s="45"/>
      <c r="AJ398" s="45"/>
    </row>
    <row r="399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45"/>
      <c r="AH399" s="45"/>
      <c r="AI399" s="45"/>
      <c r="AJ399" s="45"/>
    </row>
    <row r="400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  <c r="AG400" s="45"/>
      <c r="AH400" s="45"/>
      <c r="AI400" s="45"/>
      <c r="AJ400" s="45"/>
    </row>
    <row r="40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5"/>
      <c r="AH401" s="45"/>
      <c r="AI401" s="45"/>
      <c r="AJ401" s="45"/>
    </row>
    <row r="402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  <c r="AG402" s="45"/>
      <c r="AH402" s="45"/>
      <c r="AI402" s="45"/>
      <c r="AJ402" s="45"/>
    </row>
    <row r="403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  <c r="AG403" s="45"/>
      <c r="AH403" s="45"/>
      <c r="AI403" s="45"/>
      <c r="AJ403" s="45"/>
    </row>
    <row r="404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5"/>
      <c r="AH404" s="45"/>
      <c r="AI404" s="45"/>
      <c r="AJ404" s="45"/>
    </row>
    <row r="40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</row>
    <row r="406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  <c r="AE406" s="45"/>
      <c r="AF406" s="45"/>
      <c r="AG406" s="45"/>
      <c r="AH406" s="45"/>
      <c r="AI406" s="45"/>
      <c r="AJ406" s="45"/>
    </row>
    <row r="407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  <c r="AF407" s="45"/>
      <c r="AG407" s="45"/>
      <c r="AH407" s="45"/>
      <c r="AI407" s="45"/>
      <c r="AJ407" s="45"/>
    </row>
    <row r="408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</row>
    <row r="409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  <c r="AF409" s="45"/>
      <c r="AG409" s="45"/>
      <c r="AH409" s="45"/>
      <c r="AI409" s="45"/>
      <c r="AJ409" s="45"/>
    </row>
    <row r="410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5"/>
      <c r="AF410" s="45"/>
      <c r="AG410" s="45"/>
      <c r="AH410" s="45"/>
      <c r="AI410" s="45"/>
      <c r="AJ410" s="45"/>
    </row>
    <row r="41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  <c r="AG411" s="45"/>
      <c r="AH411" s="45"/>
      <c r="AI411" s="45"/>
      <c r="AJ411" s="45"/>
    </row>
    <row r="412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  <c r="AG412" s="45"/>
      <c r="AH412" s="45"/>
      <c r="AI412" s="45"/>
      <c r="AJ412" s="45"/>
    </row>
    <row r="413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  <c r="AG413" s="45"/>
      <c r="AH413" s="45"/>
      <c r="AI413" s="45"/>
      <c r="AJ413" s="45"/>
    </row>
    <row r="414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  <c r="AF414" s="45"/>
      <c r="AG414" s="45"/>
      <c r="AH414" s="45"/>
      <c r="AI414" s="45"/>
      <c r="AJ414" s="45"/>
    </row>
    <row r="41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  <c r="AF415" s="45"/>
      <c r="AG415" s="45"/>
      <c r="AH415" s="45"/>
      <c r="AI415" s="45"/>
      <c r="AJ415" s="45"/>
    </row>
    <row r="416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5"/>
      <c r="AF416" s="45"/>
      <c r="AG416" s="45"/>
      <c r="AH416" s="45"/>
      <c r="AI416" s="45"/>
      <c r="AJ416" s="45"/>
    </row>
    <row r="417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  <c r="AF417" s="45"/>
      <c r="AG417" s="45"/>
      <c r="AH417" s="45"/>
      <c r="AI417" s="45"/>
      <c r="AJ417" s="45"/>
    </row>
    <row r="418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5"/>
      <c r="AF418" s="45"/>
      <c r="AG418" s="45"/>
      <c r="AH418" s="45"/>
      <c r="AI418" s="45"/>
      <c r="AJ418" s="45"/>
    </row>
    <row r="419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  <c r="AF419" s="45"/>
      <c r="AG419" s="45"/>
      <c r="AH419" s="45"/>
      <c r="AI419" s="45"/>
      <c r="AJ419" s="45"/>
    </row>
    <row r="420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  <c r="AF420" s="45"/>
      <c r="AG420" s="45"/>
      <c r="AH420" s="45"/>
      <c r="AI420" s="45"/>
      <c r="AJ420" s="45"/>
    </row>
    <row r="42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  <c r="AG421" s="45"/>
      <c r="AH421" s="45"/>
      <c r="AI421" s="45"/>
      <c r="AJ421" s="45"/>
    </row>
    <row r="422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  <c r="AF422" s="45"/>
      <c r="AG422" s="45"/>
      <c r="AH422" s="45"/>
      <c r="AI422" s="45"/>
      <c r="AJ422" s="45"/>
    </row>
    <row r="423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  <c r="AF423" s="45"/>
      <c r="AG423" s="45"/>
      <c r="AH423" s="45"/>
      <c r="AI423" s="45"/>
      <c r="AJ423" s="45"/>
    </row>
    <row r="424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  <c r="AG424" s="45"/>
      <c r="AH424" s="45"/>
      <c r="AI424" s="45"/>
      <c r="AJ424" s="45"/>
    </row>
    <row r="4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  <c r="AF425" s="45"/>
      <c r="AG425" s="45"/>
      <c r="AH425" s="45"/>
      <c r="AI425" s="45"/>
      <c r="AJ425" s="45"/>
    </row>
    <row r="426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5"/>
      <c r="AF426" s="45"/>
      <c r="AG426" s="45"/>
      <c r="AH426" s="45"/>
      <c r="AI426" s="45"/>
      <c r="AJ426" s="45"/>
    </row>
    <row r="427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  <c r="AF427" s="45"/>
      <c r="AG427" s="45"/>
      <c r="AH427" s="45"/>
      <c r="AI427" s="45"/>
      <c r="AJ427" s="45"/>
    </row>
    <row r="428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  <c r="AF428" s="45"/>
      <c r="AG428" s="45"/>
      <c r="AH428" s="45"/>
      <c r="AI428" s="45"/>
      <c r="AJ428" s="45"/>
    </row>
    <row r="429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  <c r="AF429" s="45"/>
      <c r="AG429" s="45"/>
      <c r="AH429" s="45"/>
      <c r="AI429" s="45"/>
      <c r="AJ429" s="45"/>
    </row>
    <row r="430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5"/>
      <c r="AF430" s="45"/>
      <c r="AG430" s="45"/>
      <c r="AH430" s="45"/>
      <c r="AI430" s="45"/>
      <c r="AJ430" s="45"/>
    </row>
    <row r="43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  <c r="AF431" s="45"/>
      <c r="AG431" s="45"/>
      <c r="AH431" s="45"/>
      <c r="AI431" s="45"/>
      <c r="AJ431" s="45"/>
    </row>
    <row r="432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5"/>
      <c r="AF432" s="45"/>
      <c r="AG432" s="45"/>
      <c r="AH432" s="45"/>
      <c r="AI432" s="45"/>
      <c r="AJ432" s="45"/>
    </row>
    <row r="433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5"/>
      <c r="AF433" s="45"/>
      <c r="AG433" s="45"/>
      <c r="AH433" s="45"/>
      <c r="AI433" s="45"/>
      <c r="AJ433" s="45"/>
    </row>
    <row r="434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5"/>
      <c r="AF434" s="45"/>
      <c r="AG434" s="45"/>
      <c r="AH434" s="45"/>
      <c r="AI434" s="45"/>
      <c r="AJ434" s="45"/>
    </row>
    <row r="4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  <c r="AG435" s="45"/>
      <c r="AH435" s="45"/>
      <c r="AI435" s="45"/>
      <c r="AJ435" s="45"/>
    </row>
    <row r="436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5"/>
      <c r="AF436" s="45"/>
      <c r="AG436" s="45"/>
      <c r="AH436" s="45"/>
      <c r="AI436" s="45"/>
      <c r="AJ436" s="45"/>
    </row>
    <row r="437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  <c r="AF437" s="45"/>
      <c r="AG437" s="45"/>
      <c r="AH437" s="45"/>
      <c r="AI437" s="45"/>
      <c r="AJ437" s="45"/>
    </row>
    <row r="438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  <c r="AG438" s="45"/>
      <c r="AH438" s="45"/>
      <c r="AI438" s="45"/>
      <c r="AJ438" s="45"/>
    </row>
    <row r="439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45"/>
      <c r="AG439" s="45"/>
      <c r="AH439" s="45"/>
      <c r="AI439" s="45"/>
      <c r="AJ439" s="45"/>
    </row>
    <row r="440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5"/>
      <c r="AF440" s="45"/>
      <c r="AG440" s="45"/>
      <c r="AH440" s="45"/>
      <c r="AI440" s="45"/>
      <c r="AJ440" s="45"/>
    </row>
    <row r="44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5"/>
      <c r="AF441" s="45"/>
      <c r="AG441" s="45"/>
      <c r="AH441" s="45"/>
      <c r="AI441" s="45"/>
      <c r="AJ441" s="45"/>
    </row>
    <row r="44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5"/>
      <c r="AG442" s="45"/>
      <c r="AH442" s="45"/>
      <c r="AI442" s="45"/>
      <c r="AJ442" s="45"/>
    </row>
    <row r="443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</row>
    <row r="444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  <c r="AE444" s="45"/>
      <c r="AF444" s="45"/>
      <c r="AG444" s="45"/>
      <c r="AH444" s="45"/>
      <c r="AI444" s="45"/>
      <c r="AJ444" s="45"/>
    </row>
    <row r="44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  <c r="AG445" s="45"/>
      <c r="AH445" s="45"/>
      <c r="AI445" s="45"/>
      <c r="AJ445" s="45"/>
    </row>
    <row r="446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</row>
    <row r="447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  <c r="AG447" s="45"/>
      <c r="AH447" s="45"/>
      <c r="AI447" s="45"/>
      <c r="AJ447" s="45"/>
    </row>
    <row r="448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  <c r="AF448" s="45"/>
      <c r="AG448" s="45"/>
      <c r="AH448" s="45"/>
      <c r="AI448" s="45"/>
      <c r="AJ448" s="45"/>
    </row>
    <row r="449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  <c r="AG449" s="45"/>
      <c r="AH449" s="45"/>
      <c r="AI449" s="45"/>
      <c r="AJ449" s="45"/>
    </row>
    <row r="450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  <c r="AG450" s="45"/>
      <c r="AH450" s="45"/>
      <c r="AI450" s="45"/>
      <c r="AJ450" s="45"/>
    </row>
    <row r="45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45"/>
      <c r="AH451" s="45"/>
      <c r="AI451" s="45"/>
      <c r="AJ451" s="45"/>
    </row>
    <row r="452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  <c r="AG452" s="45"/>
      <c r="AH452" s="45"/>
      <c r="AI452" s="45"/>
      <c r="AJ452" s="45"/>
    </row>
    <row r="453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5"/>
      <c r="AH453" s="45"/>
      <c r="AI453" s="45"/>
      <c r="AJ453" s="45"/>
    </row>
    <row r="454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  <c r="AG454" s="45"/>
      <c r="AH454" s="45"/>
      <c r="AI454" s="45"/>
      <c r="AJ454" s="45"/>
    </row>
    <row r="45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  <c r="AG455" s="45"/>
      <c r="AH455" s="45"/>
      <c r="AI455" s="45"/>
      <c r="AJ455" s="45"/>
    </row>
    <row r="456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  <c r="AG456" s="45"/>
      <c r="AH456" s="45"/>
      <c r="AI456" s="45"/>
      <c r="AJ456" s="45"/>
    </row>
    <row r="457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  <c r="AG457" s="45"/>
      <c r="AH457" s="45"/>
      <c r="AI457" s="45"/>
      <c r="AJ457" s="45"/>
    </row>
    <row r="458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  <c r="AG458" s="45"/>
      <c r="AH458" s="45"/>
      <c r="AI458" s="45"/>
      <c r="AJ458" s="45"/>
    </row>
    <row r="459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  <c r="AG459" s="45"/>
      <c r="AH459" s="45"/>
      <c r="AI459" s="45"/>
      <c r="AJ459" s="45"/>
    </row>
    <row r="460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  <c r="AG460" s="45"/>
      <c r="AH460" s="45"/>
      <c r="AI460" s="45"/>
      <c r="AJ460" s="45"/>
    </row>
    <row r="46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  <c r="AG461" s="45"/>
      <c r="AH461" s="45"/>
      <c r="AI461" s="45"/>
      <c r="AJ461" s="45"/>
    </row>
    <row r="462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  <c r="AG462" s="45"/>
      <c r="AH462" s="45"/>
      <c r="AI462" s="45"/>
      <c r="AJ462" s="45"/>
    </row>
    <row r="463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  <c r="AG463" s="45"/>
      <c r="AH463" s="45"/>
      <c r="AI463" s="45"/>
      <c r="AJ463" s="45"/>
    </row>
    <row r="464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  <c r="AG464" s="45"/>
      <c r="AH464" s="45"/>
      <c r="AI464" s="45"/>
      <c r="AJ464" s="45"/>
    </row>
    <row r="46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5"/>
      <c r="AH465" s="45"/>
      <c r="AI465" s="45"/>
      <c r="AJ465" s="45"/>
    </row>
    <row r="466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  <c r="AG466" s="45"/>
      <c r="AH466" s="45"/>
      <c r="AI466" s="45"/>
      <c r="AJ466" s="45"/>
    </row>
    <row r="467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  <c r="AG467" s="45"/>
      <c r="AH467" s="45"/>
      <c r="AI467" s="45"/>
      <c r="AJ467" s="45"/>
    </row>
    <row r="468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45"/>
      <c r="AH468" s="45"/>
      <c r="AI468" s="45"/>
      <c r="AJ468" s="45"/>
    </row>
    <row r="469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5"/>
      <c r="AH469" s="45"/>
      <c r="AI469" s="45"/>
      <c r="AJ469" s="45"/>
    </row>
    <row r="470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45"/>
      <c r="AH470" s="45"/>
      <c r="AI470" s="45"/>
      <c r="AJ470" s="45"/>
    </row>
    <row r="47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5"/>
      <c r="AH471" s="45"/>
      <c r="AI471" s="45"/>
      <c r="AJ471" s="45"/>
    </row>
    <row r="47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  <c r="AG472" s="45"/>
      <c r="AH472" s="45"/>
      <c r="AI472" s="45"/>
      <c r="AJ472" s="45"/>
    </row>
    <row r="473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  <c r="AG473" s="45"/>
      <c r="AH473" s="45"/>
      <c r="AI473" s="45"/>
      <c r="AJ473" s="45"/>
    </row>
    <row r="474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  <c r="AG474" s="45"/>
      <c r="AH474" s="45"/>
      <c r="AI474" s="45"/>
      <c r="AJ474" s="45"/>
    </row>
    <row r="4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  <c r="AG475" s="45"/>
      <c r="AH475" s="45"/>
      <c r="AI475" s="45"/>
      <c r="AJ475" s="45"/>
    </row>
    <row r="476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  <c r="AG476" s="45"/>
      <c r="AH476" s="45"/>
      <c r="AI476" s="45"/>
      <c r="AJ476" s="45"/>
    </row>
    <row r="477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  <c r="AG477" s="45"/>
      <c r="AH477" s="45"/>
      <c r="AI477" s="45"/>
      <c r="AJ477" s="45"/>
    </row>
    <row r="478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5"/>
      <c r="AF478" s="45"/>
      <c r="AG478" s="45"/>
      <c r="AH478" s="45"/>
      <c r="AI478" s="45"/>
      <c r="AJ478" s="45"/>
    </row>
    <row r="479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  <c r="AF479" s="45"/>
      <c r="AG479" s="45"/>
      <c r="AH479" s="45"/>
      <c r="AI479" s="45"/>
      <c r="AJ479" s="45"/>
    </row>
    <row r="480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  <c r="AF480" s="45"/>
      <c r="AG480" s="45"/>
      <c r="AH480" s="45"/>
      <c r="AI480" s="45"/>
      <c r="AJ480" s="45"/>
    </row>
    <row r="48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</row>
    <row r="482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  <c r="AG482" s="45"/>
      <c r="AH482" s="45"/>
      <c r="AI482" s="45"/>
      <c r="AJ482" s="45"/>
    </row>
    <row r="483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45"/>
      <c r="AH483" s="45"/>
      <c r="AI483" s="45"/>
      <c r="AJ483" s="45"/>
    </row>
    <row r="484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</row>
    <row r="48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  <c r="AG485" s="45"/>
      <c r="AH485" s="45"/>
      <c r="AI485" s="45"/>
      <c r="AJ485" s="45"/>
    </row>
    <row r="486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  <c r="AG486" s="45"/>
      <c r="AH486" s="45"/>
      <c r="AI486" s="45"/>
      <c r="AJ486" s="45"/>
    </row>
    <row r="487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  <c r="AG487" s="45"/>
      <c r="AH487" s="45"/>
      <c r="AI487" s="45"/>
      <c r="AJ487" s="45"/>
    </row>
    <row r="488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  <c r="AG488" s="45"/>
      <c r="AH488" s="45"/>
      <c r="AI488" s="45"/>
      <c r="AJ488" s="45"/>
    </row>
    <row r="489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45"/>
      <c r="AH489" s="45"/>
      <c r="AI489" s="45"/>
      <c r="AJ489" s="45"/>
    </row>
    <row r="490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  <c r="AG490" s="45"/>
      <c r="AH490" s="45"/>
      <c r="AI490" s="45"/>
      <c r="AJ490" s="45"/>
    </row>
    <row r="49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45"/>
      <c r="AH491" s="45"/>
      <c r="AI491" s="45"/>
      <c r="AJ491" s="45"/>
    </row>
    <row r="49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  <c r="AG492" s="45"/>
      <c r="AH492" s="45"/>
      <c r="AI492" s="45"/>
      <c r="AJ492" s="45"/>
    </row>
    <row r="493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45"/>
      <c r="AH493" s="45"/>
      <c r="AI493" s="45"/>
      <c r="AJ493" s="45"/>
    </row>
    <row r="494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  <c r="AG494" s="45"/>
      <c r="AH494" s="45"/>
      <c r="AI494" s="45"/>
      <c r="AJ494" s="45"/>
    </row>
    <row r="49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5"/>
      <c r="AH495" s="45"/>
      <c r="AI495" s="45"/>
      <c r="AJ495" s="45"/>
    </row>
    <row r="496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  <c r="AG496" s="45"/>
      <c r="AH496" s="45"/>
      <c r="AI496" s="45"/>
      <c r="AJ496" s="45"/>
    </row>
    <row r="497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45"/>
      <c r="AH497" s="45"/>
      <c r="AI497" s="45"/>
      <c r="AJ497" s="45"/>
    </row>
    <row r="498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  <c r="AG498" s="45"/>
      <c r="AH498" s="45"/>
      <c r="AI498" s="45"/>
      <c r="AJ498" s="45"/>
    </row>
    <row r="499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5"/>
      <c r="AH499" s="45"/>
      <c r="AI499" s="45"/>
      <c r="AJ499" s="45"/>
    </row>
    <row r="500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  <c r="AG500" s="45"/>
      <c r="AH500" s="45"/>
      <c r="AI500" s="45"/>
      <c r="AJ500" s="45"/>
    </row>
    <row r="50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5"/>
      <c r="AH501" s="45"/>
      <c r="AI501" s="45"/>
      <c r="AJ501" s="45"/>
    </row>
    <row r="502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45"/>
      <c r="AH502" s="45"/>
      <c r="AI502" s="45"/>
      <c r="AJ502" s="45"/>
    </row>
    <row r="503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5"/>
      <c r="AH503" s="45"/>
      <c r="AI503" s="45"/>
      <c r="AJ503" s="45"/>
    </row>
    <row r="504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45"/>
      <c r="AH504" s="45"/>
      <c r="AI504" s="45"/>
      <c r="AJ504" s="45"/>
    </row>
    <row r="50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5"/>
      <c r="AH505" s="45"/>
      <c r="AI505" s="45"/>
      <c r="AJ505" s="45"/>
    </row>
    <row r="506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  <c r="AG506" s="45"/>
      <c r="AH506" s="45"/>
      <c r="AI506" s="45"/>
      <c r="AJ506" s="45"/>
    </row>
    <row r="507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  <c r="AG507" s="45"/>
      <c r="AH507" s="45"/>
      <c r="AI507" s="45"/>
      <c r="AJ507" s="45"/>
    </row>
    <row r="508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  <c r="AG508" s="45"/>
      <c r="AH508" s="45"/>
      <c r="AI508" s="45"/>
      <c r="AJ508" s="45"/>
    </row>
    <row r="509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45"/>
      <c r="AH509" s="45"/>
      <c r="AI509" s="45"/>
      <c r="AJ509" s="45"/>
    </row>
    <row r="510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  <c r="AG510" s="45"/>
      <c r="AH510" s="45"/>
      <c r="AI510" s="45"/>
      <c r="AJ510" s="45"/>
    </row>
    <row r="51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45"/>
      <c r="AH511" s="45"/>
      <c r="AI511" s="45"/>
      <c r="AJ511" s="45"/>
    </row>
    <row r="512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  <c r="AG512" s="45"/>
      <c r="AH512" s="45"/>
      <c r="AI512" s="45"/>
      <c r="AJ512" s="45"/>
    </row>
    <row r="513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  <c r="AG513" s="45"/>
      <c r="AH513" s="45"/>
      <c r="AI513" s="45"/>
      <c r="AJ513" s="45"/>
    </row>
    <row r="514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  <c r="AG514" s="45"/>
      <c r="AH514" s="45"/>
      <c r="AI514" s="45"/>
      <c r="AJ514" s="45"/>
    </row>
    <row r="51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  <c r="AG515" s="45"/>
      <c r="AH515" s="45"/>
      <c r="AI515" s="45"/>
      <c r="AJ515" s="45"/>
    </row>
    <row r="516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  <c r="AG516" s="45"/>
      <c r="AH516" s="45"/>
      <c r="AI516" s="45"/>
      <c r="AJ516" s="45"/>
    </row>
    <row r="517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45"/>
      <c r="AH517" s="45"/>
      <c r="AI517" s="45"/>
      <c r="AJ517" s="45"/>
    </row>
    <row r="518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  <c r="AG518" s="45"/>
      <c r="AH518" s="45"/>
      <c r="AI518" s="45"/>
      <c r="AJ518" s="45"/>
    </row>
    <row r="519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</row>
    <row r="520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45"/>
      <c r="AH520" s="45"/>
      <c r="AI520" s="45"/>
      <c r="AJ520" s="45"/>
    </row>
    <row r="52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  <c r="AG521" s="45"/>
      <c r="AH521" s="45"/>
      <c r="AI521" s="45"/>
      <c r="AJ521" s="45"/>
    </row>
    <row r="52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</row>
    <row r="523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  <c r="AG523" s="45"/>
      <c r="AH523" s="45"/>
      <c r="AI523" s="45"/>
      <c r="AJ523" s="45"/>
    </row>
    <row r="524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  <c r="AG524" s="45"/>
      <c r="AH524" s="45"/>
      <c r="AI524" s="45"/>
      <c r="AJ524" s="45"/>
    </row>
    <row r="5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  <c r="AG525" s="45"/>
      <c r="AH525" s="45"/>
      <c r="AI525" s="45"/>
      <c r="AJ525" s="45"/>
    </row>
    <row r="526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  <c r="AG526" s="45"/>
      <c r="AH526" s="45"/>
      <c r="AI526" s="45"/>
      <c r="AJ526" s="45"/>
    </row>
    <row r="527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  <c r="AG527" s="45"/>
      <c r="AH527" s="45"/>
      <c r="AI527" s="45"/>
      <c r="AJ527" s="45"/>
    </row>
    <row r="528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  <c r="AE528" s="45"/>
      <c r="AF528" s="45"/>
      <c r="AG528" s="45"/>
      <c r="AH528" s="45"/>
      <c r="AI528" s="45"/>
      <c r="AJ528" s="45"/>
    </row>
    <row r="529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  <c r="AF529" s="45"/>
      <c r="AG529" s="45"/>
      <c r="AH529" s="45"/>
      <c r="AI529" s="45"/>
      <c r="AJ529" s="45"/>
    </row>
    <row r="530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  <c r="AF530" s="45"/>
      <c r="AG530" s="45"/>
      <c r="AH530" s="45"/>
      <c r="AI530" s="45"/>
      <c r="AJ530" s="45"/>
    </row>
    <row r="53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  <c r="AF531" s="45"/>
      <c r="AG531" s="45"/>
      <c r="AH531" s="45"/>
      <c r="AI531" s="45"/>
      <c r="AJ531" s="45"/>
    </row>
    <row r="53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  <c r="AF532" s="45"/>
      <c r="AG532" s="45"/>
      <c r="AH532" s="45"/>
      <c r="AI532" s="45"/>
      <c r="AJ532" s="45"/>
    </row>
    <row r="533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  <c r="AF533" s="45"/>
      <c r="AG533" s="45"/>
      <c r="AH533" s="45"/>
      <c r="AI533" s="45"/>
      <c r="AJ533" s="45"/>
    </row>
    <row r="534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5"/>
      <c r="AF534" s="45"/>
      <c r="AG534" s="45"/>
      <c r="AH534" s="45"/>
      <c r="AI534" s="45"/>
      <c r="AJ534" s="45"/>
    </row>
    <row r="5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  <c r="AF535" s="45"/>
      <c r="AG535" s="45"/>
      <c r="AH535" s="45"/>
      <c r="AI535" s="45"/>
      <c r="AJ535" s="45"/>
    </row>
    <row r="536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  <c r="AE536" s="45"/>
      <c r="AF536" s="45"/>
      <c r="AG536" s="45"/>
      <c r="AH536" s="45"/>
      <c r="AI536" s="45"/>
      <c r="AJ536" s="45"/>
    </row>
    <row r="537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  <c r="AF537" s="45"/>
      <c r="AG537" s="45"/>
      <c r="AH537" s="45"/>
      <c r="AI537" s="45"/>
      <c r="AJ537" s="45"/>
    </row>
    <row r="538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  <c r="AE538" s="45"/>
      <c r="AF538" s="45"/>
      <c r="AG538" s="45"/>
      <c r="AH538" s="45"/>
      <c r="AI538" s="45"/>
      <c r="AJ538" s="45"/>
    </row>
    <row r="539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  <c r="AF539" s="45"/>
      <c r="AG539" s="45"/>
      <c r="AH539" s="45"/>
      <c r="AI539" s="45"/>
      <c r="AJ539" s="45"/>
    </row>
    <row r="540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5"/>
      <c r="AF540" s="45"/>
      <c r="AG540" s="45"/>
      <c r="AH540" s="45"/>
      <c r="AI540" s="45"/>
      <c r="AJ540" s="45"/>
    </row>
    <row r="54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  <c r="AF541" s="45"/>
      <c r="AG541" s="45"/>
      <c r="AH541" s="45"/>
      <c r="AI541" s="45"/>
      <c r="AJ541" s="45"/>
    </row>
    <row r="542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  <c r="AE542" s="45"/>
      <c r="AF542" s="45"/>
      <c r="AG542" s="45"/>
      <c r="AH542" s="45"/>
      <c r="AI542" s="45"/>
      <c r="AJ542" s="45"/>
    </row>
    <row r="543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  <c r="AF543" s="45"/>
      <c r="AG543" s="45"/>
      <c r="AH543" s="45"/>
      <c r="AI543" s="45"/>
      <c r="AJ543" s="45"/>
    </row>
    <row r="544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  <c r="AE544" s="45"/>
      <c r="AF544" s="45"/>
      <c r="AG544" s="45"/>
      <c r="AH544" s="45"/>
      <c r="AI544" s="45"/>
      <c r="AJ544" s="45"/>
    </row>
    <row r="54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  <c r="AF545" s="45"/>
      <c r="AG545" s="45"/>
      <c r="AH545" s="45"/>
      <c r="AI545" s="45"/>
      <c r="AJ545" s="45"/>
    </row>
    <row r="546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5"/>
      <c r="AF546" s="45"/>
      <c r="AG546" s="45"/>
      <c r="AH546" s="45"/>
      <c r="AI546" s="45"/>
      <c r="AJ546" s="45"/>
    </row>
    <row r="547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  <c r="AF547" s="45"/>
      <c r="AG547" s="45"/>
      <c r="AH547" s="45"/>
      <c r="AI547" s="45"/>
      <c r="AJ547" s="45"/>
    </row>
    <row r="548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  <c r="AE548" s="45"/>
      <c r="AF548" s="45"/>
      <c r="AG548" s="45"/>
      <c r="AH548" s="45"/>
      <c r="AI548" s="45"/>
      <c r="AJ548" s="45"/>
    </row>
    <row r="549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5"/>
      <c r="AF549" s="45"/>
      <c r="AG549" s="45"/>
      <c r="AH549" s="45"/>
      <c r="AI549" s="45"/>
      <c r="AJ549" s="45"/>
    </row>
    <row r="550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  <c r="AE550" s="45"/>
      <c r="AF550" s="45"/>
      <c r="AG550" s="45"/>
      <c r="AH550" s="45"/>
      <c r="AI550" s="45"/>
      <c r="AJ550" s="45"/>
    </row>
    <row r="55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5"/>
      <c r="AF551" s="45"/>
      <c r="AG551" s="45"/>
      <c r="AH551" s="45"/>
      <c r="AI551" s="45"/>
      <c r="AJ551" s="45"/>
    </row>
    <row r="55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  <c r="AE552" s="45"/>
      <c r="AF552" s="45"/>
      <c r="AG552" s="45"/>
      <c r="AH552" s="45"/>
      <c r="AI552" s="45"/>
      <c r="AJ552" s="45"/>
    </row>
    <row r="553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  <c r="AF553" s="45"/>
      <c r="AG553" s="45"/>
      <c r="AH553" s="45"/>
      <c r="AI553" s="45"/>
      <c r="AJ553" s="45"/>
    </row>
    <row r="554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  <c r="AE554" s="45"/>
      <c r="AF554" s="45"/>
      <c r="AG554" s="45"/>
      <c r="AH554" s="45"/>
      <c r="AI554" s="45"/>
      <c r="AJ554" s="45"/>
    </row>
    <row r="55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5"/>
      <c r="AF555" s="45"/>
      <c r="AG555" s="45"/>
      <c r="AH555" s="45"/>
      <c r="AI555" s="45"/>
      <c r="AJ555" s="45"/>
    </row>
    <row r="556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5"/>
      <c r="AF556" s="45"/>
      <c r="AG556" s="45"/>
      <c r="AH556" s="45"/>
      <c r="AI556" s="45"/>
      <c r="AJ556" s="45"/>
    </row>
    <row r="557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</row>
    <row r="558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5"/>
      <c r="AF558" s="45"/>
      <c r="AG558" s="45"/>
      <c r="AH558" s="45"/>
      <c r="AI558" s="45"/>
      <c r="AJ558" s="45"/>
    </row>
    <row r="559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  <c r="AF559" s="45"/>
      <c r="AG559" s="45"/>
      <c r="AH559" s="45"/>
      <c r="AI559" s="45"/>
      <c r="AJ559" s="45"/>
    </row>
    <row r="560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</row>
    <row r="56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  <c r="AF561" s="45"/>
      <c r="AG561" s="45"/>
      <c r="AH561" s="45"/>
      <c r="AI561" s="45"/>
      <c r="AJ561" s="45"/>
    </row>
    <row r="56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5"/>
      <c r="AF562" s="45"/>
      <c r="AG562" s="45"/>
      <c r="AH562" s="45"/>
      <c r="AI562" s="45"/>
      <c r="AJ562" s="45"/>
    </row>
    <row r="563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  <c r="AF563" s="45"/>
      <c r="AG563" s="45"/>
      <c r="AH563" s="45"/>
      <c r="AI563" s="45"/>
      <c r="AJ563" s="45"/>
    </row>
    <row r="564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5"/>
      <c r="AF564" s="45"/>
      <c r="AG564" s="45"/>
      <c r="AH564" s="45"/>
      <c r="AI564" s="45"/>
      <c r="AJ564" s="45"/>
    </row>
    <row r="56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  <c r="AG565" s="45"/>
      <c r="AH565" s="45"/>
      <c r="AI565" s="45"/>
      <c r="AJ565" s="45"/>
    </row>
    <row r="566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5"/>
      <c r="AF566" s="45"/>
      <c r="AG566" s="45"/>
      <c r="AH566" s="45"/>
      <c r="AI566" s="45"/>
      <c r="AJ566" s="45"/>
    </row>
    <row r="567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  <c r="AF567" s="45"/>
      <c r="AG567" s="45"/>
      <c r="AH567" s="45"/>
      <c r="AI567" s="45"/>
      <c r="AJ567" s="45"/>
    </row>
    <row r="568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5"/>
      <c r="AF568" s="45"/>
      <c r="AG568" s="45"/>
      <c r="AH568" s="45"/>
      <c r="AI568" s="45"/>
      <c r="AJ568" s="45"/>
    </row>
    <row r="569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5"/>
      <c r="AF569" s="45"/>
      <c r="AG569" s="45"/>
      <c r="AH569" s="45"/>
      <c r="AI569" s="45"/>
      <c r="AJ569" s="45"/>
    </row>
    <row r="570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5"/>
      <c r="AF570" s="45"/>
      <c r="AG570" s="45"/>
      <c r="AH570" s="45"/>
      <c r="AI570" s="45"/>
      <c r="AJ570" s="45"/>
    </row>
    <row r="57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5"/>
      <c r="AF571" s="45"/>
      <c r="AG571" s="45"/>
      <c r="AH571" s="45"/>
      <c r="AI571" s="45"/>
      <c r="AJ571" s="45"/>
    </row>
    <row r="57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5"/>
      <c r="AF572" s="45"/>
      <c r="AG572" s="45"/>
      <c r="AH572" s="45"/>
      <c r="AI572" s="45"/>
      <c r="AJ572" s="45"/>
    </row>
    <row r="573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  <c r="AF573" s="45"/>
      <c r="AG573" s="45"/>
      <c r="AH573" s="45"/>
      <c r="AI573" s="45"/>
      <c r="AJ573" s="45"/>
    </row>
    <row r="574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5"/>
      <c r="AF574" s="45"/>
      <c r="AG574" s="45"/>
      <c r="AH574" s="45"/>
      <c r="AI574" s="45"/>
      <c r="AJ574" s="45"/>
    </row>
    <row r="5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5"/>
      <c r="AF575" s="45"/>
      <c r="AG575" s="45"/>
      <c r="AH575" s="45"/>
      <c r="AI575" s="45"/>
      <c r="AJ575" s="45"/>
    </row>
    <row r="576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5"/>
      <c r="AF576" s="45"/>
      <c r="AG576" s="45"/>
      <c r="AH576" s="45"/>
      <c r="AI576" s="45"/>
      <c r="AJ576" s="45"/>
    </row>
    <row r="577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  <c r="AF577" s="45"/>
      <c r="AG577" s="45"/>
      <c r="AH577" s="45"/>
      <c r="AI577" s="45"/>
      <c r="AJ577" s="45"/>
    </row>
    <row r="578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5"/>
      <c r="AF578" s="45"/>
      <c r="AG578" s="45"/>
      <c r="AH578" s="45"/>
      <c r="AI578" s="45"/>
      <c r="AJ578" s="45"/>
    </row>
    <row r="579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  <c r="AF579" s="45"/>
      <c r="AG579" s="45"/>
      <c r="AH579" s="45"/>
      <c r="AI579" s="45"/>
      <c r="AJ579" s="45"/>
    </row>
    <row r="580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5"/>
      <c r="AF580" s="45"/>
      <c r="AG580" s="45"/>
      <c r="AH580" s="45"/>
      <c r="AI580" s="45"/>
      <c r="AJ580" s="45"/>
    </row>
    <row r="58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  <c r="AF581" s="45"/>
      <c r="AG581" s="45"/>
      <c r="AH581" s="45"/>
      <c r="AI581" s="45"/>
      <c r="AJ581" s="45"/>
    </row>
    <row r="58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5"/>
      <c r="AF582" s="45"/>
      <c r="AG582" s="45"/>
      <c r="AH582" s="45"/>
      <c r="AI582" s="45"/>
      <c r="AJ582" s="45"/>
    </row>
    <row r="583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  <c r="AF583" s="45"/>
      <c r="AG583" s="45"/>
      <c r="AH583" s="45"/>
      <c r="AI583" s="45"/>
      <c r="AJ583" s="45"/>
    </row>
    <row r="584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5"/>
      <c r="AF584" s="45"/>
      <c r="AG584" s="45"/>
      <c r="AH584" s="45"/>
      <c r="AI584" s="45"/>
      <c r="AJ584" s="45"/>
    </row>
    <row r="58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5"/>
      <c r="AF585" s="45"/>
      <c r="AG585" s="45"/>
      <c r="AH585" s="45"/>
      <c r="AI585" s="45"/>
      <c r="AJ585" s="45"/>
    </row>
    <row r="586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  <c r="AE586" s="45"/>
      <c r="AF586" s="45"/>
      <c r="AG586" s="45"/>
      <c r="AH586" s="45"/>
      <c r="AI586" s="45"/>
      <c r="AJ586" s="45"/>
    </row>
    <row r="587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  <c r="AF587" s="45"/>
      <c r="AG587" s="45"/>
      <c r="AH587" s="45"/>
      <c r="AI587" s="45"/>
      <c r="AJ587" s="45"/>
    </row>
    <row r="588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5"/>
      <c r="AF588" s="45"/>
      <c r="AG588" s="45"/>
      <c r="AH588" s="45"/>
      <c r="AI588" s="45"/>
      <c r="AJ588" s="45"/>
    </row>
    <row r="589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  <c r="AF589" s="45"/>
      <c r="AG589" s="45"/>
      <c r="AH589" s="45"/>
      <c r="AI589" s="45"/>
      <c r="AJ589" s="45"/>
    </row>
    <row r="590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5"/>
      <c r="AF590" s="45"/>
      <c r="AG590" s="45"/>
      <c r="AH590" s="45"/>
      <c r="AI590" s="45"/>
      <c r="AJ590" s="45"/>
    </row>
    <row r="59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  <c r="AF591" s="45"/>
      <c r="AG591" s="45"/>
      <c r="AH591" s="45"/>
      <c r="AI591" s="45"/>
      <c r="AJ591" s="45"/>
    </row>
    <row r="59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5"/>
      <c r="AF592" s="45"/>
      <c r="AG592" s="45"/>
      <c r="AH592" s="45"/>
      <c r="AI592" s="45"/>
      <c r="AJ592" s="45"/>
    </row>
    <row r="593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5"/>
      <c r="AF593" s="45"/>
      <c r="AG593" s="45"/>
      <c r="AH593" s="45"/>
      <c r="AI593" s="45"/>
      <c r="AJ593" s="45"/>
    </row>
    <row r="594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45"/>
      <c r="AF594" s="45"/>
      <c r="AG594" s="45"/>
      <c r="AH594" s="45"/>
      <c r="AI594" s="45"/>
      <c r="AJ594" s="45"/>
    </row>
    <row r="59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</row>
    <row r="596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5"/>
      <c r="AF596" s="45"/>
      <c r="AG596" s="45"/>
      <c r="AH596" s="45"/>
      <c r="AI596" s="45"/>
      <c r="AJ596" s="45"/>
    </row>
    <row r="597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5"/>
      <c r="AF597" s="45"/>
      <c r="AG597" s="45"/>
      <c r="AH597" s="45"/>
      <c r="AI597" s="45"/>
      <c r="AJ597" s="45"/>
    </row>
    <row r="598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</row>
    <row r="599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  <c r="AF599" s="45"/>
      <c r="AG599" s="45"/>
      <c r="AH599" s="45"/>
      <c r="AI599" s="45"/>
      <c r="AJ599" s="45"/>
    </row>
    <row r="600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5"/>
      <c r="AF600" s="45"/>
      <c r="AG600" s="45"/>
      <c r="AH600" s="45"/>
      <c r="AI600" s="45"/>
      <c r="AJ600" s="45"/>
    </row>
    <row r="60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  <c r="AF601" s="45"/>
      <c r="AG601" s="45"/>
      <c r="AH601" s="45"/>
      <c r="AI601" s="45"/>
      <c r="AJ601" s="45"/>
    </row>
    <row r="60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  <c r="AE602" s="45"/>
      <c r="AF602" s="45"/>
      <c r="AG602" s="45"/>
      <c r="AH602" s="45"/>
      <c r="AI602" s="45"/>
      <c r="AJ602" s="45"/>
    </row>
    <row r="603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5"/>
      <c r="AF603" s="45"/>
      <c r="AG603" s="45"/>
      <c r="AH603" s="45"/>
      <c r="AI603" s="45"/>
      <c r="AJ603" s="45"/>
    </row>
    <row r="604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  <c r="AE604" s="45"/>
      <c r="AF604" s="45"/>
      <c r="AG604" s="45"/>
      <c r="AH604" s="45"/>
      <c r="AI604" s="45"/>
      <c r="AJ604" s="45"/>
    </row>
    <row r="60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5"/>
      <c r="AF605" s="45"/>
      <c r="AG605" s="45"/>
      <c r="AH605" s="45"/>
      <c r="AI605" s="45"/>
      <c r="AJ605" s="45"/>
    </row>
    <row r="606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  <c r="AE606" s="45"/>
      <c r="AF606" s="45"/>
      <c r="AG606" s="45"/>
      <c r="AH606" s="45"/>
      <c r="AI606" s="45"/>
      <c r="AJ606" s="45"/>
    </row>
    <row r="607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  <c r="AE607" s="45"/>
      <c r="AF607" s="45"/>
      <c r="AG607" s="45"/>
      <c r="AH607" s="45"/>
      <c r="AI607" s="45"/>
      <c r="AJ607" s="45"/>
    </row>
    <row r="608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  <c r="AE608" s="45"/>
      <c r="AF608" s="45"/>
      <c r="AG608" s="45"/>
      <c r="AH608" s="45"/>
      <c r="AI608" s="45"/>
      <c r="AJ608" s="45"/>
    </row>
    <row r="609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5"/>
      <c r="AF609" s="45"/>
      <c r="AG609" s="45"/>
      <c r="AH609" s="45"/>
      <c r="AI609" s="45"/>
      <c r="AJ609" s="45"/>
    </row>
    <row r="610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  <c r="AE610" s="45"/>
      <c r="AF610" s="45"/>
      <c r="AG610" s="45"/>
      <c r="AH610" s="45"/>
      <c r="AI610" s="45"/>
      <c r="AJ610" s="45"/>
    </row>
    <row r="61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  <c r="AE611" s="45"/>
      <c r="AF611" s="45"/>
      <c r="AG611" s="45"/>
      <c r="AH611" s="45"/>
      <c r="AI611" s="45"/>
      <c r="AJ611" s="45"/>
    </row>
    <row r="61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  <c r="AE612" s="45"/>
      <c r="AF612" s="45"/>
      <c r="AG612" s="45"/>
      <c r="AH612" s="45"/>
      <c r="AI612" s="45"/>
      <c r="AJ612" s="45"/>
    </row>
    <row r="613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  <c r="AE613" s="45"/>
      <c r="AF613" s="45"/>
      <c r="AG613" s="45"/>
      <c r="AH613" s="45"/>
      <c r="AI613" s="45"/>
      <c r="AJ613" s="45"/>
    </row>
    <row r="614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  <c r="AE614" s="45"/>
      <c r="AF614" s="45"/>
      <c r="AG614" s="45"/>
      <c r="AH614" s="45"/>
      <c r="AI614" s="45"/>
      <c r="AJ614" s="45"/>
    </row>
    <row r="61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  <c r="AE615" s="45"/>
      <c r="AF615" s="45"/>
      <c r="AG615" s="45"/>
      <c r="AH615" s="45"/>
      <c r="AI615" s="45"/>
      <c r="AJ615" s="45"/>
    </row>
    <row r="616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  <c r="AE616" s="45"/>
      <c r="AF616" s="45"/>
      <c r="AG616" s="45"/>
      <c r="AH616" s="45"/>
      <c r="AI616" s="45"/>
      <c r="AJ616" s="45"/>
    </row>
    <row r="617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  <c r="AE617" s="45"/>
      <c r="AF617" s="45"/>
      <c r="AG617" s="45"/>
      <c r="AH617" s="45"/>
      <c r="AI617" s="45"/>
      <c r="AJ617" s="45"/>
    </row>
    <row r="618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  <c r="AE618" s="45"/>
      <c r="AF618" s="45"/>
      <c r="AG618" s="45"/>
      <c r="AH618" s="45"/>
      <c r="AI618" s="45"/>
      <c r="AJ618" s="45"/>
    </row>
    <row r="619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  <c r="AE619" s="45"/>
      <c r="AF619" s="45"/>
      <c r="AG619" s="45"/>
      <c r="AH619" s="45"/>
      <c r="AI619" s="45"/>
      <c r="AJ619" s="45"/>
    </row>
    <row r="620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  <c r="AE620" s="45"/>
      <c r="AF620" s="45"/>
      <c r="AG620" s="45"/>
      <c r="AH620" s="45"/>
      <c r="AI620" s="45"/>
      <c r="AJ620" s="45"/>
    </row>
    <row r="62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5"/>
      <c r="AF621" s="45"/>
      <c r="AG621" s="45"/>
      <c r="AH621" s="45"/>
      <c r="AI621" s="45"/>
      <c r="AJ621" s="45"/>
    </row>
    <row r="62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  <c r="AE622" s="45"/>
      <c r="AF622" s="45"/>
      <c r="AG622" s="45"/>
      <c r="AH622" s="45"/>
      <c r="AI622" s="45"/>
      <c r="AJ622" s="45"/>
    </row>
    <row r="623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  <c r="AE623" s="45"/>
      <c r="AF623" s="45"/>
      <c r="AG623" s="45"/>
      <c r="AH623" s="45"/>
      <c r="AI623" s="45"/>
      <c r="AJ623" s="45"/>
    </row>
    <row r="624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  <c r="AE624" s="45"/>
      <c r="AF624" s="45"/>
      <c r="AG624" s="45"/>
      <c r="AH624" s="45"/>
      <c r="AI624" s="45"/>
      <c r="AJ624" s="45"/>
    </row>
    <row r="6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5"/>
      <c r="AF625" s="45"/>
      <c r="AG625" s="45"/>
      <c r="AH625" s="45"/>
      <c r="AI625" s="45"/>
      <c r="AJ625" s="45"/>
    </row>
    <row r="626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  <c r="AE626" s="45"/>
      <c r="AF626" s="45"/>
      <c r="AG626" s="45"/>
      <c r="AH626" s="45"/>
      <c r="AI626" s="45"/>
      <c r="AJ626" s="45"/>
    </row>
    <row r="627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  <c r="AE627" s="45"/>
      <c r="AF627" s="45"/>
      <c r="AG627" s="45"/>
      <c r="AH627" s="45"/>
      <c r="AI627" s="45"/>
      <c r="AJ627" s="45"/>
    </row>
    <row r="628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  <c r="AE628" s="45"/>
      <c r="AF628" s="45"/>
      <c r="AG628" s="45"/>
      <c r="AH628" s="45"/>
      <c r="AI628" s="45"/>
      <c r="AJ628" s="45"/>
    </row>
    <row r="629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  <c r="AE629" s="45"/>
      <c r="AF629" s="45"/>
      <c r="AG629" s="45"/>
      <c r="AH629" s="45"/>
      <c r="AI629" s="45"/>
      <c r="AJ629" s="45"/>
    </row>
    <row r="630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  <c r="AE630" s="45"/>
      <c r="AF630" s="45"/>
      <c r="AG630" s="45"/>
      <c r="AH630" s="45"/>
      <c r="AI630" s="45"/>
      <c r="AJ630" s="45"/>
    </row>
    <row r="63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5"/>
      <c r="AF631" s="45"/>
      <c r="AG631" s="45"/>
      <c r="AH631" s="45"/>
      <c r="AI631" s="45"/>
      <c r="AJ631" s="45"/>
    </row>
    <row r="632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  <c r="AE632" s="45"/>
      <c r="AF632" s="45"/>
      <c r="AG632" s="45"/>
      <c r="AH632" s="45"/>
      <c r="AI632" s="45"/>
      <c r="AJ632" s="45"/>
    </row>
    <row r="633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</row>
    <row r="634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  <c r="AE634" s="45"/>
      <c r="AF634" s="45"/>
      <c r="AG634" s="45"/>
      <c r="AH634" s="45"/>
      <c r="AI634" s="45"/>
      <c r="AJ634" s="45"/>
    </row>
    <row r="6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  <c r="AE635" s="45"/>
      <c r="AF635" s="45"/>
      <c r="AG635" s="45"/>
      <c r="AH635" s="45"/>
      <c r="AI635" s="45"/>
      <c r="AJ635" s="45"/>
    </row>
    <row r="636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</row>
    <row r="637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  <c r="AE637" s="45"/>
      <c r="AF637" s="45"/>
      <c r="AG637" s="45"/>
      <c r="AH637" s="45"/>
      <c r="AI637" s="45"/>
      <c r="AJ637" s="45"/>
    </row>
    <row r="638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  <c r="AE638" s="45"/>
      <c r="AF638" s="45"/>
      <c r="AG638" s="45"/>
      <c r="AH638" s="45"/>
      <c r="AI638" s="45"/>
      <c r="AJ638" s="45"/>
    </row>
    <row r="639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  <c r="AE639" s="45"/>
      <c r="AF639" s="45"/>
      <c r="AG639" s="45"/>
      <c r="AH639" s="45"/>
      <c r="AI639" s="45"/>
      <c r="AJ639" s="45"/>
    </row>
    <row r="640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  <c r="AE640" s="45"/>
      <c r="AF640" s="45"/>
      <c r="AG640" s="45"/>
      <c r="AH640" s="45"/>
      <c r="AI640" s="45"/>
      <c r="AJ640" s="45"/>
    </row>
    <row r="64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  <c r="AE641" s="45"/>
      <c r="AF641" s="45"/>
      <c r="AG641" s="45"/>
      <c r="AH641" s="45"/>
      <c r="AI641" s="45"/>
      <c r="AJ641" s="45"/>
    </row>
    <row r="64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  <c r="AE642" s="45"/>
      <c r="AF642" s="45"/>
      <c r="AG642" s="45"/>
      <c r="AH642" s="45"/>
      <c r="AI642" s="45"/>
      <c r="AJ642" s="45"/>
    </row>
    <row r="643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  <c r="AE643" s="45"/>
      <c r="AF643" s="45"/>
      <c r="AG643" s="45"/>
      <c r="AH643" s="45"/>
      <c r="AI643" s="45"/>
      <c r="AJ643" s="45"/>
    </row>
    <row r="644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  <c r="AE644" s="45"/>
      <c r="AF644" s="45"/>
      <c r="AG644" s="45"/>
      <c r="AH644" s="45"/>
      <c r="AI644" s="45"/>
      <c r="AJ644" s="45"/>
    </row>
    <row r="64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  <c r="AE645" s="45"/>
      <c r="AF645" s="45"/>
      <c r="AG645" s="45"/>
      <c r="AH645" s="45"/>
      <c r="AI645" s="45"/>
      <c r="AJ645" s="45"/>
    </row>
    <row r="646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  <c r="AE646" s="45"/>
      <c r="AF646" s="45"/>
      <c r="AG646" s="45"/>
      <c r="AH646" s="45"/>
      <c r="AI646" s="45"/>
      <c r="AJ646" s="45"/>
    </row>
    <row r="647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  <c r="AE647" s="45"/>
      <c r="AF647" s="45"/>
      <c r="AG647" s="45"/>
      <c r="AH647" s="45"/>
      <c r="AI647" s="45"/>
      <c r="AJ647" s="45"/>
    </row>
    <row r="648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  <c r="AE648" s="45"/>
      <c r="AF648" s="45"/>
      <c r="AG648" s="45"/>
      <c r="AH648" s="45"/>
      <c r="AI648" s="45"/>
      <c r="AJ648" s="45"/>
    </row>
    <row r="649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  <c r="AE649" s="45"/>
      <c r="AF649" s="45"/>
      <c r="AG649" s="45"/>
      <c r="AH649" s="45"/>
      <c r="AI649" s="45"/>
      <c r="AJ649" s="45"/>
    </row>
    <row r="650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  <c r="AE650" s="45"/>
      <c r="AF650" s="45"/>
      <c r="AG650" s="45"/>
      <c r="AH650" s="45"/>
      <c r="AI650" s="45"/>
      <c r="AJ650" s="45"/>
    </row>
    <row r="65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5"/>
      <c r="AF651" s="45"/>
      <c r="AG651" s="45"/>
      <c r="AH651" s="45"/>
      <c r="AI651" s="45"/>
      <c r="AJ651" s="45"/>
    </row>
    <row r="65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  <c r="AE652" s="45"/>
      <c r="AF652" s="45"/>
      <c r="AG652" s="45"/>
      <c r="AH652" s="45"/>
      <c r="AI652" s="45"/>
      <c r="AJ652" s="45"/>
    </row>
    <row r="653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  <c r="AE653" s="45"/>
      <c r="AF653" s="45"/>
      <c r="AG653" s="45"/>
      <c r="AH653" s="45"/>
      <c r="AI653" s="45"/>
      <c r="AJ653" s="45"/>
    </row>
    <row r="654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  <c r="AE654" s="45"/>
      <c r="AF654" s="45"/>
      <c r="AG654" s="45"/>
      <c r="AH654" s="45"/>
      <c r="AI654" s="45"/>
      <c r="AJ654" s="45"/>
    </row>
    <row r="65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5"/>
      <c r="AF655" s="45"/>
      <c r="AG655" s="45"/>
      <c r="AH655" s="45"/>
      <c r="AI655" s="45"/>
      <c r="AJ655" s="45"/>
    </row>
    <row r="656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  <c r="AE656" s="45"/>
      <c r="AF656" s="45"/>
      <c r="AG656" s="45"/>
      <c r="AH656" s="45"/>
      <c r="AI656" s="45"/>
      <c r="AJ656" s="45"/>
    </row>
    <row r="657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  <c r="AF657" s="45"/>
      <c r="AG657" s="45"/>
      <c r="AH657" s="45"/>
      <c r="AI657" s="45"/>
      <c r="AJ657" s="45"/>
    </row>
    <row r="658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  <c r="AE658" s="45"/>
      <c r="AF658" s="45"/>
      <c r="AG658" s="45"/>
      <c r="AH658" s="45"/>
      <c r="AI658" s="45"/>
      <c r="AJ658" s="45"/>
    </row>
    <row r="659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5"/>
      <c r="AF659" s="45"/>
      <c r="AG659" s="45"/>
      <c r="AH659" s="45"/>
      <c r="AI659" s="45"/>
      <c r="AJ659" s="45"/>
    </row>
    <row r="660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  <c r="AE660" s="45"/>
      <c r="AF660" s="45"/>
      <c r="AG660" s="45"/>
      <c r="AH660" s="45"/>
      <c r="AI660" s="45"/>
      <c r="AJ660" s="45"/>
    </row>
    <row r="66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5"/>
      <c r="AF661" s="45"/>
      <c r="AG661" s="45"/>
      <c r="AH661" s="45"/>
      <c r="AI661" s="45"/>
      <c r="AJ661" s="45"/>
    </row>
    <row r="66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  <c r="AE662" s="45"/>
      <c r="AF662" s="45"/>
      <c r="AG662" s="45"/>
      <c r="AH662" s="45"/>
      <c r="AI662" s="45"/>
      <c r="AJ662" s="45"/>
    </row>
    <row r="663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  <c r="AE663" s="45"/>
      <c r="AF663" s="45"/>
      <c r="AG663" s="45"/>
      <c r="AH663" s="45"/>
      <c r="AI663" s="45"/>
      <c r="AJ663" s="45"/>
    </row>
    <row r="664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  <c r="AE664" s="45"/>
      <c r="AF664" s="45"/>
      <c r="AG664" s="45"/>
      <c r="AH664" s="45"/>
      <c r="AI664" s="45"/>
      <c r="AJ664" s="45"/>
    </row>
    <row r="66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  <c r="AE665" s="45"/>
      <c r="AF665" s="45"/>
      <c r="AG665" s="45"/>
      <c r="AH665" s="45"/>
      <c r="AI665" s="45"/>
      <c r="AJ665" s="45"/>
    </row>
    <row r="666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  <c r="AE666" s="45"/>
      <c r="AF666" s="45"/>
      <c r="AG666" s="45"/>
      <c r="AH666" s="45"/>
      <c r="AI666" s="45"/>
      <c r="AJ666" s="45"/>
    </row>
    <row r="667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  <c r="AE667" s="45"/>
      <c r="AF667" s="45"/>
      <c r="AG667" s="45"/>
      <c r="AH667" s="45"/>
      <c r="AI667" s="45"/>
      <c r="AJ667" s="45"/>
    </row>
    <row r="668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  <c r="AE668" s="45"/>
      <c r="AF668" s="45"/>
      <c r="AG668" s="45"/>
      <c r="AH668" s="45"/>
      <c r="AI668" s="45"/>
      <c r="AJ668" s="45"/>
    </row>
    <row r="669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  <c r="AE669" s="45"/>
      <c r="AF669" s="45"/>
      <c r="AG669" s="45"/>
      <c r="AH669" s="45"/>
      <c r="AI669" s="45"/>
      <c r="AJ669" s="45"/>
    </row>
    <row r="670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  <c r="AE670" s="45"/>
      <c r="AF670" s="45"/>
      <c r="AG670" s="45"/>
      <c r="AH670" s="45"/>
      <c r="AI670" s="45"/>
      <c r="AJ670" s="45"/>
    </row>
    <row r="67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</row>
    <row r="67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  <c r="AE672" s="45"/>
      <c r="AF672" s="45"/>
      <c r="AG672" s="45"/>
      <c r="AH672" s="45"/>
      <c r="AI672" s="45"/>
      <c r="AJ672" s="45"/>
    </row>
    <row r="673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  <c r="AE673" s="45"/>
      <c r="AF673" s="45"/>
      <c r="AG673" s="45"/>
      <c r="AH673" s="45"/>
      <c r="AI673" s="45"/>
      <c r="AJ673" s="45"/>
    </row>
    <row r="674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</row>
    <row r="67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  <c r="AE675" s="45"/>
      <c r="AF675" s="45"/>
      <c r="AG675" s="45"/>
      <c r="AH675" s="45"/>
      <c r="AI675" s="45"/>
      <c r="AJ675" s="45"/>
    </row>
    <row r="676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  <c r="AE676" s="45"/>
      <c r="AF676" s="45"/>
      <c r="AG676" s="45"/>
      <c r="AH676" s="45"/>
      <c r="AI676" s="45"/>
      <c r="AJ676" s="45"/>
    </row>
    <row r="677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  <c r="AE677" s="45"/>
      <c r="AF677" s="45"/>
      <c r="AG677" s="45"/>
      <c r="AH677" s="45"/>
      <c r="AI677" s="45"/>
      <c r="AJ677" s="45"/>
    </row>
    <row r="678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  <c r="AE678" s="45"/>
      <c r="AF678" s="45"/>
      <c r="AG678" s="45"/>
      <c r="AH678" s="45"/>
      <c r="AI678" s="45"/>
      <c r="AJ678" s="45"/>
    </row>
    <row r="679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  <c r="AE679" s="45"/>
      <c r="AF679" s="45"/>
      <c r="AG679" s="45"/>
      <c r="AH679" s="45"/>
      <c r="AI679" s="45"/>
      <c r="AJ679" s="45"/>
    </row>
    <row r="680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  <c r="AE680" s="45"/>
      <c r="AF680" s="45"/>
      <c r="AG680" s="45"/>
      <c r="AH680" s="45"/>
      <c r="AI680" s="45"/>
      <c r="AJ680" s="45"/>
    </row>
    <row r="68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  <c r="AE681" s="45"/>
      <c r="AF681" s="45"/>
      <c r="AG681" s="45"/>
      <c r="AH681" s="45"/>
      <c r="AI681" s="45"/>
      <c r="AJ681" s="45"/>
    </row>
    <row r="68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  <c r="AE682" s="45"/>
      <c r="AF682" s="45"/>
      <c r="AG682" s="45"/>
      <c r="AH682" s="45"/>
      <c r="AI682" s="45"/>
      <c r="AJ682" s="45"/>
    </row>
    <row r="683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5"/>
      <c r="AF683" s="45"/>
      <c r="AG683" s="45"/>
      <c r="AH683" s="45"/>
      <c r="AI683" s="45"/>
      <c r="AJ683" s="45"/>
    </row>
    <row r="684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  <c r="AE684" s="45"/>
      <c r="AF684" s="45"/>
      <c r="AG684" s="45"/>
      <c r="AH684" s="45"/>
      <c r="AI684" s="45"/>
      <c r="AJ684" s="45"/>
    </row>
    <row r="68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  <c r="AE685" s="45"/>
      <c r="AF685" s="45"/>
      <c r="AG685" s="45"/>
      <c r="AH685" s="45"/>
      <c r="AI685" s="45"/>
      <c r="AJ685" s="45"/>
    </row>
    <row r="686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  <c r="AE686" s="45"/>
      <c r="AF686" s="45"/>
      <c r="AG686" s="45"/>
      <c r="AH686" s="45"/>
      <c r="AI686" s="45"/>
      <c r="AJ686" s="45"/>
    </row>
    <row r="687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5"/>
      <c r="AF687" s="45"/>
      <c r="AG687" s="45"/>
      <c r="AH687" s="45"/>
      <c r="AI687" s="45"/>
      <c r="AJ687" s="45"/>
    </row>
    <row r="688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  <c r="AE688" s="45"/>
      <c r="AF688" s="45"/>
      <c r="AG688" s="45"/>
      <c r="AH688" s="45"/>
      <c r="AI688" s="45"/>
      <c r="AJ688" s="45"/>
    </row>
    <row r="689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  <c r="AE689" s="45"/>
      <c r="AF689" s="45"/>
      <c r="AG689" s="45"/>
      <c r="AH689" s="45"/>
      <c r="AI689" s="45"/>
      <c r="AJ689" s="45"/>
    </row>
    <row r="690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  <c r="AE690" s="45"/>
      <c r="AF690" s="45"/>
      <c r="AG690" s="45"/>
      <c r="AH690" s="45"/>
      <c r="AI690" s="45"/>
      <c r="AJ690" s="45"/>
    </row>
    <row r="69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  <c r="AE691" s="45"/>
      <c r="AF691" s="45"/>
      <c r="AG691" s="45"/>
      <c r="AH691" s="45"/>
      <c r="AI691" s="45"/>
      <c r="AJ691" s="45"/>
    </row>
    <row r="69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  <c r="AE692" s="45"/>
      <c r="AF692" s="45"/>
      <c r="AG692" s="45"/>
      <c r="AH692" s="45"/>
      <c r="AI692" s="45"/>
      <c r="AJ692" s="45"/>
    </row>
    <row r="693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  <c r="AE693" s="45"/>
      <c r="AF693" s="45"/>
      <c r="AG693" s="45"/>
      <c r="AH693" s="45"/>
      <c r="AI693" s="45"/>
      <c r="AJ693" s="45"/>
    </row>
    <row r="694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  <c r="AE694" s="45"/>
      <c r="AF694" s="45"/>
      <c r="AG694" s="45"/>
      <c r="AH694" s="45"/>
      <c r="AI694" s="45"/>
      <c r="AJ694" s="45"/>
    </row>
    <row r="69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  <c r="AE695" s="45"/>
      <c r="AF695" s="45"/>
      <c r="AG695" s="45"/>
      <c r="AH695" s="45"/>
      <c r="AI695" s="45"/>
      <c r="AJ695" s="45"/>
    </row>
    <row r="696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  <c r="AE696" s="45"/>
      <c r="AF696" s="45"/>
      <c r="AG696" s="45"/>
      <c r="AH696" s="45"/>
      <c r="AI696" s="45"/>
      <c r="AJ696" s="45"/>
    </row>
    <row r="697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  <c r="AE697" s="45"/>
      <c r="AF697" s="45"/>
      <c r="AG697" s="45"/>
      <c r="AH697" s="45"/>
      <c r="AI697" s="45"/>
      <c r="AJ697" s="45"/>
    </row>
    <row r="698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  <c r="AE698" s="45"/>
      <c r="AF698" s="45"/>
      <c r="AG698" s="45"/>
      <c r="AH698" s="45"/>
      <c r="AI698" s="45"/>
      <c r="AJ698" s="45"/>
    </row>
    <row r="699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  <c r="AE699" s="45"/>
      <c r="AF699" s="45"/>
      <c r="AG699" s="45"/>
      <c r="AH699" s="45"/>
      <c r="AI699" s="45"/>
      <c r="AJ699" s="45"/>
    </row>
    <row r="700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  <c r="AE700" s="45"/>
      <c r="AF700" s="45"/>
      <c r="AG700" s="45"/>
      <c r="AH700" s="45"/>
      <c r="AI700" s="45"/>
      <c r="AJ700" s="45"/>
    </row>
    <row r="70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  <c r="AE701" s="45"/>
      <c r="AF701" s="45"/>
      <c r="AG701" s="45"/>
      <c r="AH701" s="45"/>
      <c r="AI701" s="45"/>
      <c r="AJ701" s="45"/>
    </row>
    <row r="70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  <c r="AE702" s="45"/>
      <c r="AF702" s="45"/>
      <c r="AG702" s="45"/>
      <c r="AH702" s="45"/>
      <c r="AI702" s="45"/>
      <c r="AJ702" s="45"/>
    </row>
    <row r="703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  <c r="AE703" s="45"/>
      <c r="AF703" s="45"/>
      <c r="AG703" s="45"/>
      <c r="AH703" s="45"/>
      <c r="AI703" s="45"/>
      <c r="AJ703" s="45"/>
    </row>
    <row r="704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  <c r="AE704" s="45"/>
      <c r="AF704" s="45"/>
      <c r="AG704" s="45"/>
      <c r="AH704" s="45"/>
      <c r="AI704" s="45"/>
      <c r="AJ704" s="45"/>
    </row>
    <row r="70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  <c r="AE705" s="45"/>
      <c r="AF705" s="45"/>
      <c r="AG705" s="45"/>
      <c r="AH705" s="45"/>
      <c r="AI705" s="45"/>
      <c r="AJ705" s="45"/>
    </row>
    <row r="706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  <c r="AE706" s="45"/>
      <c r="AF706" s="45"/>
      <c r="AG706" s="45"/>
      <c r="AH706" s="45"/>
      <c r="AI706" s="45"/>
      <c r="AJ706" s="45"/>
    </row>
    <row r="707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  <c r="AE707" s="45"/>
      <c r="AF707" s="45"/>
      <c r="AG707" s="45"/>
      <c r="AH707" s="45"/>
      <c r="AI707" s="45"/>
      <c r="AJ707" s="45"/>
    </row>
    <row r="708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  <c r="AE708" s="45"/>
      <c r="AF708" s="45"/>
      <c r="AG708" s="45"/>
      <c r="AH708" s="45"/>
      <c r="AI708" s="45"/>
      <c r="AJ708" s="45"/>
    </row>
    <row r="709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</row>
    <row r="710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  <c r="AE710" s="45"/>
      <c r="AF710" s="45"/>
      <c r="AG710" s="45"/>
      <c r="AH710" s="45"/>
      <c r="AI710" s="45"/>
      <c r="AJ710" s="45"/>
    </row>
    <row r="71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  <c r="AF711" s="45"/>
      <c r="AG711" s="45"/>
      <c r="AH711" s="45"/>
      <c r="AI711" s="45"/>
      <c r="AJ711" s="45"/>
    </row>
    <row r="71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</row>
    <row r="713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5"/>
      <c r="AF713" s="45"/>
      <c r="AG713" s="45"/>
      <c r="AH713" s="45"/>
      <c r="AI713" s="45"/>
      <c r="AJ713" s="45"/>
    </row>
    <row r="714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  <c r="AE714" s="45"/>
      <c r="AF714" s="45"/>
      <c r="AG714" s="45"/>
      <c r="AH714" s="45"/>
      <c r="AI714" s="45"/>
      <c r="AJ714" s="45"/>
    </row>
    <row r="71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  <c r="AE715" s="45"/>
      <c r="AF715" s="45"/>
      <c r="AG715" s="45"/>
      <c r="AH715" s="45"/>
      <c r="AI715" s="45"/>
      <c r="AJ715" s="45"/>
    </row>
    <row r="716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  <c r="AE716" s="45"/>
      <c r="AF716" s="45"/>
      <c r="AG716" s="45"/>
      <c r="AH716" s="45"/>
      <c r="AI716" s="45"/>
      <c r="AJ716" s="45"/>
    </row>
    <row r="717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  <c r="AE717" s="45"/>
      <c r="AF717" s="45"/>
      <c r="AG717" s="45"/>
      <c r="AH717" s="45"/>
      <c r="AI717" s="45"/>
      <c r="AJ717" s="45"/>
    </row>
    <row r="718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  <c r="AE718" s="45"/>
      <c r="AF718" s="45"/>
      <c r="AG718" s="45"/>
      <c r="AH718" s="45"/>
      <c r="AI718" s="45"/>
      <c r="AJ718" s="45"/>
    </row>
    <row r="719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  <c r="AE719" s="45"/>
      <c r="AF719" s="45"/>
      <c r="AG719" s="45"/>
      <c r="AH719" s="45"/>
      <c r="AI719" s="45"/>
      <c r="AJ719" s="45"/>
    </row>
    <row r="720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  <c r="AE720" s="45"/>
      <c r="AF720" s="45"/>
      <c r="AG720" s="45"/>
      <c r="AH720" s="45"/>
      <c r="AI720" s="45"/>
      <c r="AJ720" s="45"/>
    </row>
    <row r="72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  <c r="AE721" s="45"/>
      <c r="AF721" s="45"/>
      <c r="AG721" s="45"/>
      <c r="AH721" s="45"/>
      <c r="AI721" s="45"/>
      <c r="AJ721" s="45"/>
    </row>
    <row r="72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  <c r="AE722" s="45"/>
      <c r="AF722" s="45"/>
      <c r="AG722" s="45"/>
      <c r="AH722" s="45"/>
      <c r="AI722" s="45"/>
      <c r="AJ722" s="45"/>
    </row>
    <row r="723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  <c r="AE723" s="45"/>
      <c r="AF723" s="45"/>
      <c r="AG723" s="45"/>
      <c r="AH723" s="45"/>
      <c r="AI723" s="45"/>
      <c r="AJ723" s="45"/>
    </row>
    <row r="724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  <c r="AE724" s="45"/>
      <c r="AF724" s="45"/>
      <c r="AG724" s="45"/>
      <c r="AH724" s="45"/>
      <c r="AI724" s="45"/>
      <c r="AJ724" s="45"/>
    </row>
    <row r="7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  <c r="AE725" s="45"/>
      <c r="AF725" s="45"/>
      <c r="AG725" s="45"/>
      <c r="AH725" s="45"/>
      <c r="AI725" s="45"/>
      <c r="AJ725" s="45"/>
    </row>
    <row r="726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  <c r="AE726" s="45"/>
      <c r="AF726" s="45"/>
      <c r="AG726" s="45"/>
      <c r="AH726" s="45"/>
      <c r="AI726" s="45"/>
      <c r="AJ726" s="45"/>
    </row>
    <row r="727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  <c r="AE727" s="45"/>
      <c r="AF727" s="45"/>
      <c r="AG727" s="45"/>
      <c r="AH727" s="45"/>
      <c r="AI727" s="45"/>
      <c r="AJ727" s="45"/>
    </row>
    <row r="728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  <c r="AE728" s="45"/>
      <c r="AF728" s="45"/>
      <c r="AG728" s="45"/>
      <c r="AH728" s="45"/>
      <c r="AI728" s="45"/>
      <c r="AJ728" s="45"/>
    </row>
    <row r="729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  <c r="AE729" s="45"/>
      <c r="AF729" s="45"/>
      <c r="AG729" s="45"/>
      <c r="AH729" s="45"/>
      <c r="AI729" s="45"/>
      <c r="AJ729" s="45"/>
    </row>
    <row r="730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  <c r="AE730" s="45"/>
      <c r="AF730" s="45"/>
      <c r="AG730" s="45"/>
      <c r="AH730" s="45"/>
      <c r="AI730" s="45"/>
      <c r="AJ730" s="45"/>
    </row>
    <row r="73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  <c r="AE731" s="45"/>
      <c r="AF731" s="45"/>
      <c r="AG731" s="45"/>
      <c r="AH731" s="45"/>
      <c r="AI731" s="45"/>
      <c r="AJ731" s="45"/>
    </row>
    <row r="73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  <c r="AE732" s="45"/>
      <c r="AF732" s="45"/>
      <c r="AG732" s="45"/>
      <c r="AH732" s="45"/>
      <c r="AI732" s="45"/>
      <c r="AJ732" s="45"/>
    </row>
    <row r="733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  <c r="AE733" s="45"/>
      <c r="AF733" s="45"/>
      <c r="AG733" s="45"/>
      <c r="AH733" s="45"/>
      <c r="AI733" s="45"/>
      <c r="AJ733" s="45"/>
    </row>
    <row r="734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  <c r="AE734" s="45"/>
      <c r="AF734" s="45"/>
      <c r="AG734" s="45"/>
      <c r="AH734" s="45"/>
      <c r="AI734" s="45"/>
      <c r="AJ734" s="45"/>
    </row>
    <row r="7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  <c r="AE735" s="45"/>
      <c r="AF735" s="45"/>
      <c r="AG735" s="45"/>
      <c r="AH735" s="45"/>
      <c r="AI735" s="45"/>
      <c r="AJ735" s="45"/>
    </row>
    <row r="736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  <c r="AE736" s="45"/>
      <c r="AF736" s="45"/>
      <c r="AG736" s="45"/>
      <c r="AH736" s="45"/>
      <c r="AI736" s="45"/>
      <c r="AJ736" s="45"/>
    </row>
    <row r="737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  <c r="AE737" s="45"/>
      <c r="AF737" s="45"/>
      <c r="AG737" s="45"/>
      <c r="AH737" s="45"/>
      <c r="AI737" s="45"/>
      <c r="AJ737" s="45"/>
    </row>
    <row r="738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  <c r="AE738" s="45"/>
      <c r="AF738" s="45"/>
      <c r="AG738" s="45"/>
      <c r="AH738" s="45"/>
      <c r="AI738" s="45"/>
      <c r="AJ738" s="45"/>
    </row>
    <row r="739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5"/>
      <c r="AF739" s="45"/>
      <c r="AG739" s="45"/>
      <c r="AH739" s="45"/>
      <c r="AI739" s="45"/>
      <c r="AJ739" s="45"/>
    </row>
    <row r="740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  <c r="AE740" s="45"/>
      <c r="AF740" s="45"/>
      <c r="AG740" s="45"/>
      <c r="AH740" s="45"/>
      <c r="AI740" s="45"/>
      <c r="AJ740" s="45"/>
    </row>
    <row r="74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  <c r="AE741" s="45"/>
      <c r="AF741" s="45"/>
      <c r="AG741" s="45"/>
      <c r="AH741" s="45"/>
      <c r="AI741" s="45"/>
      <c r="AJ741" s="45"/>
    </row>
    <row r="742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  <c r="AE742" s="45"/>
      <c r="AF742" s="45"/>
      <c r="AG742" s="45"/>
      <c r="AH742" s="45"/>
      <c r="AI742" s="45"/>
      <c r="AJ742" s="45"/>
    </row>
    <row r="743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  <c r="AE743" s="45"/>
      <c r="AF743" s="45"/>
      <c r="AG743" s="45"/>
      <c r="AH743" s="45"/>
      <c r="AI743" s="45"/>
      <c r="AJ743" s="45"/>
    </row>
    <row r="744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  <c r="AE744" s="45"/>
      <c r="AF744" s="45"/>
      <c r="AG744" s="45"/>
      <c r="AH744" s="45"/>
      <c r="AI744" s="45"/>
      <c r="AJ744" s="45"/>
    </row>
    <row r="74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  <c r="AE745" s="45"/>
      <c r="AF745" s="45"/>
      <c r="AG745" s="45"/>
      <c r="AH745" s="45"/>
      <c r="AI745" s="45"/>
      <c r="AJ745" s="45"/>
    </row>
    <row r="746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  <c r="AE746" s="45"/>
      <c r="AF746" s="45"/>
      <c r="AG746" s="45"/>
      <c r="AH746" s="45"/>
      <c r="AI746" s="45"/>
      <c r="AJ746" s="45"/>
    </row>
    <row r="747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</row>
    <row r="748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  <c r="AE748" s="45"/>
      <c r="AF748" s="45"/>
      <c r="AG748" s="45"/>
      <c r="AH748" s="45"/>
      <c r="AI748" s="45"/>
      <c r="AJ748" s="45"/>
    </row>
    <row r="749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  <c r="AE749" s="45"/>
      <c r="AF749" s="45"/>
      <c r="AG749" s="45"/>
      <c r="AH749" s="45"/>
      <c r="AI749" s="45"/>
      <c r="AJ749" s="45"/>
    </row>
    <row r="750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</row>
    <row r="75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  <c r="AE751" s="45"/>
      <c r="AF751" s="45"/>
      <c r="AG751" s="45"/>
      <c r="AH751" s="45"/>
      <c r="AI751" s="45"/>
      <c r="AJ751" s="45"/>
    </row>
    <row r="75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  <c r="AE752" s="45"/>
      <c r="AF752" s="45"/>
      <c r="AG752" s="45"/>
      <c r="AH752" s="45"/>
      <c r="AI752" s="45"/>
      <c r="AJ752" s="45"/>
    </row>
    <row r="753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  <c r="AE753" s="45"/>
      <c r="AF753" s="45"/>
      <c r="AG753" s="45"/>
      <c r="AH753" s="45"/>
      <c r="AI753" s="45"/>
      <c r="AJ753" s="45"/>
    </row>
    <row r="754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  <c r="AE754" s="45"/>
      <c r="AF754" s="45"/>
      <c r="AG754" s="45"/>
      <c r="AH754" s="45"/>
      <c r="AI754" s="45"/>
      <c r="AJ754" s="45"/>
    </row>
    <row r="75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  <c r="AE755" s="45"/>
      <c r="AF755" s="45"/>
      <c r="AG755" s="45"/>
      <c r="AH755" s="45"/>
      <c r="AI755" s="45"/>
      <c r="AJ755" s="45"/>
    </row>
    <row r="756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  <c r="AE756" s="45"/>
      <c r="AF756" s="45"/>
      <c r="AG756" s="45"/>
      <c r="AH756" s="45"/>
      <c r="AI756" s="45"/>
      <c r="AJ756" s="45"/>
    </row>
    <row r="757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5"/>
      <c r="AE757" s="45"/>
      <c r="AF757" s="45"/>
      <c r="AG757" s="45"/>
      <c r="AH757" s="45"/>
      <c r="AI757" s="45"/>
      <c r="AJ757" s="45"/>
    </row>
    <row r="758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  <c r="AE758" s="45"/>
      <c r="AF758" s="45"/>
      <c r="AG758" s="45"/>
      <c r="AH758" s="45"/>
      <c r="AI758" s="45"/>
      <c r="AJ758" s="45"/>
    </row>
    <row r="759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  <c r="AE759" s="45"/>
      <c r="AF759" s="45"/>
      <c r="AG759" s="45"/>
      <c r="AH759" s="45"/>
      <c r="AI759" s="45"/>
      <c r="AJ759" s="45"/>
    </row>
    <row r="760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  <c r="AE760" s="45"/>
      <c r="AF760" s="45"/>
      <c r="AG760" s="45"/>
      <c r="AH760" s="45"/>
      <c r="AI760" s="45"/>
      <c r="AJ760" s="45"/>
    </row>
    <row r="76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  <c r="AE761" s="45"/>
      <c r="AF761" s="45"/>
      <c r="AG761" s="45"/>
      <c r="AH761" s="45"/>
      <c r="AI761" s="45"/>
      <c r="AJ761" s="45"/>
    </row>
    <row r="76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  <c r="AE762" s="45"/>
      <c r="AF762" s="45"/>
      <c r="AG762" s="45"/>
      <c r="AH762" s="45"/>
      <c r="AI762" s="45"/>
      <c r="AJ762" s="45"/>
    </row>
    <row r="763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  <c r="AE763" s="45"/>
      <c r="AF763" s="45"/>
      <c r="AG763" s="45"/>
      <c r="AH763" s="45"/>
      <c r="AI763" s="45"/>
      <c r="AJ763" s="45"/>
    </row>
    <row r="764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  <c r="AE764" s="45"/>
      <c r="AF764" s="45"/>
      <c r="AG764" s="45"/>
      <c r="AH764" s="45"/>
      <c r="AI764" s="45"/>
      <c r="AJ764" s="45"/>
    </row>
    <row r="76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  <c r="AE765" s="45"/>
      <c r="AF765" s="45"/>
      <c r="AG765" s="45"/>
      <c r="AH765" s="45"/>
      <c r="AI765" s="45"/>
      <c r="AJ765" s="45"/>
    </row>
    <row r="766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  <c r="AE766" s="45"/>
      <c r="AF766" s="45"/>
      <c r="AG766" s="45"/>
      <c r="AH766" s="45"/>
      <c r="AI766" s="45"/>
      <c r="AJ766" s="45"/>
    </row>
    <row r="767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  <c r="AE767" s="45"/>
      <c r="AF767" s="45"/>
      <c r="AG767" s="45"/>
      <c r="AH767" s="45"/>
      <c r="AI767" s="45"/>
      <c r="AJ767" s="45"/>
    </row>
    <row r="768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  <c r="AE768" s="45"/>
      <c r="AF768" s="45"/>
      <c r="AG768" s="45"/>
      <c r="AH768" s="45"/>
      <c r="AI768" s="45"/>
      <c r="AJ768" s="45"/>
    </row>
    <row r="769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  <c r="AE769" s="45"/>
      <c r="AF769" s="45"/>
      <c r="AG769" s="45"/>
      <c r="AH769" s="45"/>
      <c r="AI769" s="45"/>
      <c r="AJ769" s="45"/>
    </row>
    <row r="770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  <c r="AE770" s="45"/>
      <c r="AF770" s="45"/>
      <c r="AG770" s="45"/>
      <c r="AH770" s="45"/>
      <c r="AI770" s="45"/>
      <c r="AJ770" s="45"/>
    </row>
    <row r="77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  <c r="AE771" s="45"/>
      <c r="AF771" s="45"/>
      <c r="AG771" s="45"/>
      <c r="AH771" s="45"/>
      <c r="AI771" s="45"/>
      <c r="AJ771" s="45"/>
    </row>
    <row r="77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  <c r="AE772" s="45"/>
      <c r="AF772" s="45"/>
      <c r="AG772" s="45"/>
      <c r="AH772" s="45"/>
      <c r="AI772" s="45"/>
      <c r="AJ772" s="45"/>
    </row>
    <row r="773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  <c r="AE773" s="45"/>
      <c r="AF773" s="45"/>
      <c r="AG773" s="45"/>
      <c r="AH773" s="45"/>
      <c r="AI773" s="45"/>
      <c r="AJ773" s="45"/>
    </row>
    <row r="774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  <c r="AE774" s="45"/>
      <c r="AF774" s="45"/>
      <c r="AG774" s="45"/>
      <c r="AH774" s="45"/>
      <c r="AI774" s="45"/>
      <c r="AJ774" s="45"/>
    </row>
    <row r="77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  <c r="AE775" s="45"/>
      <c r="AF775" s="45"/>
      <c r="AG775" s="45"/>
      <c r="AH775" s="45"/>
      <c r="AI775" s="45"/>
      <c r="AJ775" s="45"/>
    </row>
    <row r="776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  <c r="AE776" s="45"/>
      <c r="AF776" s="45"/>
      <c r="AG776" s="45"/>
      <c r="AH776" s="45"/>
      <c r="AI776" s="45"/>
      <c r="AJ776" s="45"/>
    </row>
    <row r="777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  <c r="AE777" s="45"/>
      <c r="AF777" s="45"/>
      <c r="AG777" s="45"/>
      <c r="AH777" s="45"/>
      <c r="AI777" s="45"/>
      <c r="AJ777" s="45"/>
    </row>
    <row r="778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  <c r="AE778" s="45"/>
      <c r="AF778" s="45"/>
      <c r="AG778" s="45"/>
      <c r="AH778" s="45"/>
      <c r="AI778" s="45"/>
      <c r="AJ778" s="45"/>
    </row>
    <row r="779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  <c r="AE779" s="45"/>
      <c r="AF779" s="45"/>
      <c r="AG779" s="45"/>
      <c r="AH779" s="45"/>
      <c r="AI779" s="45"/>
      <c r="AJ779" s="45"/>
    </row>
    <row r="780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  <c r="AE780" s="45"/>
      <c r="AF780" s="45"/>
      <c r="AG780" s="45"/>
      <c r="AH780" s="45"/>
      <c r="AI780" s="45"/>
      <c r="AJ780" s="45"/>
    </row>
    <row r="78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  <c r="AE781" s="45"/>
      <c r="AF781" s="45"/>
      <c r="AG781" s="45"/>
      <c r="AH781" s="45"/>
      <c r="AI781" s="45"/>
      <c r="AJ781" s="45"/>
    </row>
    <row r="78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  <c r="AE782" s="45"/>
      <c r="AF782" s="45"/>
      <c r="AG782" s="45"/>
      <c r="AH782" s="45"/>
      <c r="AI782" s="45"/>
      <c r="AJ782" s="45"/>
    </row>
    <row r="783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  <c r="AE783" s="45"/>
      <c r="AF783" s="45"/>
      <c r="AG783" s="45"/>
      <c r="AH783" s="45"/>
      <c r="AI783" s="45"/>
      <c r="AJ783" s="45"/>
    </row>
    <row r="784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  <c r="AE784" s="45"/>
      <c r="AF784" s="45"/>
      <c r="AG784" s="45"/>
      <c r="AH784" s="45"/>
      <c r="AI784" s="45"/>
      <c r="AJ784" s="45"/>
    </row>
    <row r="78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</row>
    <row r="786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  <c r="AE786" s="45"/>
      <c r="AF786" s="45"/>
      <c r="AG786" s="45"/>
      <c r="AH786" s="45"/>
      <c r="AI786" s="45"/>
      <c r="AJ786" s="45"/>
    </row>
    <row r="787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5"/>
      <c r="AF787" s="45"/>
      <c r="AG787" s="45"/>
      <c r="AH787" s="45"/>
      <c r="AI787" s="45"/>
      <c r="AJ787" s="45"/>
    </row>
    <row r="788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</row>
    <row r="789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  <c r="AE789" s="45"/>
      <c r="AF789" s="45"/>
      <c r="AG789" s="45"/>
      <c r="AH789" s="45"/>
      <c r="AI789" s="45"/>
      <c r="AJ789" s="45"/>
    </row>
    <row r="790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  <c r="AE790" s="45"/>
      <c r="AF790" s="45"/>
      <c r="AG790" s="45"/>
      <c r="AH790" s="45"/>
      <c r="AI790" s="45"/>
      <c r="AJ790" s="45"/>
    </row>
    <row r="79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  <c r="AE791" s="45"/>
      <c r="AF791" s="45"/>
      <c r="AG791" s="45"/>
      <c r="AH791" s="45"/>
      <c r="AI791" s="45"/>
      <c r="AJ791" s="45"/>
    </row>
    <row r="79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  <c r="AE792" s="45"/>
      <c r="AF792" s="45"/>
      <c r="AG792" s="45"/>
      <c r="AH792" s="45"/>
      <c r="AI792" s="45"/>
      <c r="AJ792" s="45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  <c r="AE793" s="45"/>
      <c r="AF793" s="45"/>
      <c r="AG793" s="45"/>
      <c r="AH793" s="45"/>
      <c r="AI793" s="45"/>
      <c r="AJ793" s="45"/>
    </row>
    <row r="794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  <c r="AE794" s="45"/>
      <c r="AF794" s="45"/>
      <c r="AG794" s="45"/>
      <c r="AH794" s="45"/>
      <c r="AI794" s="45"/>
      <c r="AJ794" s="45"/>
    </row>
    <row r="79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  <c r="AE795" s="45"/>
      <c r="AF795" s="45"/>
      <c r="AG795" s="45"/>
      <c r="AH795" s="45"/>
      <c r="AI795" s="45"/>
      <c r="AJ795" s="45"/>
    </row>
    <row r="796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  <c r="AE796" s="45"/>
      <c r="AF796" s="45"/>
      <c r="AG796" s="45"/>
      <c r="AH796" s="45"/>
      <c r="AI796" s="45"/>
      <c r="AJ796" s="45"/>
    </row>
    <row r="797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  <c r="AE797" s="45"/>
      <c r="AF797" s="45"/>
      <c r="AG797" s="45"/>
      <c r="AH797" s="45"/>
      <c r="AI797" s="45"/>
      <c r="AJ797" s="45"/>
    </row>
    <row r="798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  <c r="AE798" s="45"/>
      <c r="AF798" s="45"/>
      <c r="AG798" s="45"/>
      <c r="AH798" s="45"/>
      <c r="AI798" s="45"/>
      <c r="AJ798" s="45"/>
    </row>
    <row r="799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  <c r="AE799" s="45"/>
      <c r="AF799" s="45"/>
      <c r="AG799" s="45"/>
      <c r="AH799" s="45"/>
      <c r="AI799" s="45"/>
      <c r="AJ799" s="45"/>
    </row>
    <row r="800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  <c r="AE800" s="45"/>
      <c r="AF800" s="45"/>
      <c r="AG800" s="45"/>
      <c r="AH800" s="45"/>
      <c r="AI800" s="45"/>
      <c r="AJ800" s="45"/>
    </row>
    <row r="80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  <c r="AE801" s="45"/>
      <c r="AF801" s="45"/>
      <c r="AG801" s="45"/>
      <c r="AH801" s="45"/>
      <c r="AI801" s="45"/>
      <c r="AJ801" s="45"/>
    </row>
    <row r="80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  <c r="AE802" s="45"/>
      <c r="AF802" s="45"/>
      <c r="AG802" s="45"/>
      <c r="AH802" s="45"/>
      <c r="AI802" s="45"/>
      <c r="AJ802" s="45"/>
    </row>
    <row r="803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  <c r="AE803" s="45"/>
      <c r="AF803" s="45"/>
      <c r="AG803" s="45"/>
      <c r="AH803" s="45"/>
      <c r="AI803" s="45"/>
      <c r="AJ803" s="45"/>
    </row>
    <row r="804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  <c r="AE804" s="45"/>
      <c r="AF804" s="45"/>
      <c r="AG804" s="45"/>
      <c r="AH804" s="45"/>
      <c r="AI804" s="45"/>
      <c r="AJ804" s="45"/>
    </row>
    <row r="80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  <c r="AE805" s="45"/>
      <c r="AF805" s="45"/>
      <c r="AG805" s="45"/>
      <c r="AH805" s="45"/>
      <c r="AI805" s="45"/>
      <c r="AJ805" s="45"/>
    </row>
    <row r="806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  <c r="AE806" s="45"/>
      <c r="AF806" s="45"/>
      <c r="AG806" s="45"/>
      <c r="AH806" s="45"/>
      <c r="AI806" s="45"/>
      <c r="AJ806" s="45"/>
    </row>
    <row r="807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  <c r="AE807" s="45"/>
      <c r="AF807" s="45"/>
      <c r="AG807" s="45"/>
      <c r="AH807" s="45"/>
      <c r="AI807" s="45"/>
      <c r="AJ807" s="45"/>
    </row>
    <row r="808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  <c r="AE808" s="45"/>
      <c r="AF808" s="45"/>
      <c r="AG808" s="45"/>
      <c r="AH808" s="45"/>
      <c r="AI808" s="45"/>
      <c r="AJ808" s="45"/>
    </row>
    <row r="809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  <c r="AE809" s="45"/>
      <c r="AF809" s="45"/>
      <c r="AG809" s="45"/>
      <c r="AH809" s="45"/>
      <c r="AI809" s="45"/>
      <c r="AJ809" s="45"/>
    </row>
    <row r="810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  <c r="AE810" s="45"/>
      <c r="AF810" s="45"/>
      <c r="AG810" s="45"/>
      <c r="AH810" s="45"/>
      <c r="AI810" s="45"/>
      <c r="AJ810" s="45"/>
    </row>
    <row r="81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  <c r="AE811" s="45"/>
      <c r="AF811" s="45"/>
      <c r="AG811" s="45"/>
      <c r="AH811" s="45"/>
      <c r="AI811" s="45"/>
      <c r="AJ811" s="45"/>
    </row>
    <row r="81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  <c r="AE812" s="45"/>
      <c r="AF812" s="45"/>
      <c r="AG812" s="45"/>
      <c r="AH812" s="45"/>
      <c r="AI812" s="45"/>
      <c r="AJ812" s="45"/>
    </row>
    <row r="813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  <c r="AE813" s="45"/>
      <c r="AF813" s="45"/>
      <c r="AG813" s="45"/>
      <c r="AH813" s="45"/>
      <c r="AI813" s="45"/>
      <c r="AJ813" s="45"/>
    </row>
    <row r="814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  <c r="AE814" s="45"/>
      <c r="AF814" s="45"/>
      <c r="AG814" s="45"/>
      <c r="AH814" s="45"/>
      <c r="AI814" s="45"/>
      <c r="AJ814" s="45"/>
    </row>
    <row r="81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  <c r="AE815" s="45"/>
      <c r="AF815" s="45"/>
      <c r="AG815" s="45"/>
      <c r="AH815" s="45"/>
      <c r="AI815" s="45"/>
      <c r="AJ815" s="45"/>
    </row>
    <row r="816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  <c r="AE816" s="45"/>
      <c r="AF816" s="45"/>
      <c r="AG816" s="45"/>
      <c r="AH816" s="45"/>
      <c r="AI816" s="45"/>
      <c r="AJ816" s="45"/>
    </row>
    <row r="817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  <c r="AE817" s="45"/>
      <c r="AF817" s="45"/>
      <c r="AG817" s="45"/>
      <c r="AH817" s="45"/>
      <c r="AI817" s="45"/>
      <c r="AJ817" s="45"/>
    </row>
    <row r="818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  <c r="AE818" s="45"/>
      <c r="AF818" s="45"/>
      <c r="AG818" s="45"/>
      <c r="AH818" s="45"/>
      <c r="AI818" s="45"/>
      <c r="AJ818" s="45"/>
    </row>
    <row r="819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  <c r="AE819" s="45"/>
      <c r="AF819" s="45"/>
      <c r="AG819" s="45"/>
      <c r="AH819" s="45"/>
      <c r="AI819" s="45"/>
      <c r="AJ819" s="45"/>
    </row>
    <row r="820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  <c r="AE820" s="45"/>
      <c r="AF820" s="45"/>
      <c r="AG820" s="45"/>
      <c r="AH820" s="45"/>
      <c r="AI820" s="45"/>
      <c r="AJ820" s="45"/>
    </row>
    <row r="82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  <c r="AE821" s="45"/>
      <c r="AF821" s="45"/>
      <c r="AG821" s="45"/>
      <c r="AH821" s="45"/>
      <c r="AI821" s="45"/>
      <c r="AJ821" s="45"/>
    </row>
    <row r="82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  <c r="AE822" s="45"/>
      <c r="AF822" s="45"/>
      <c r="AG822" s="45"/>
      <c r="AH822" s="45"/>
      <c r="AI822" s="45"/>
      <c r="AJ822" s="45"/>
    </row>
    <row r="823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</row>
    <row r="824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  <c r="AE824" s="45"/>
      <c r="AF824" s="45"/>
      <c r="AG824" s="45"/>
      <c r="AH824" s="45"/>
      <c r="AI824" s="45"/>
      <c r="AJ824" s="45"/>
    </row>
    <row r="8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  <c r="AE825" s="45"/>
      <c r="AF825" s="45"/>
      <c r="AG825" s="45"/>
      <c r="AH825" s="45"/>
      <c r="AI825" s="45"/>
      <c r="AJ825" s="45"/>
    </row>
    <row r="826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</row>
    <row r="827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  <c r="AE827" s="45"/>
      <c r="AF827" s="45"/>
      <c r="AG827" s="45"/>
      <c r="AH827" s="45"/>
      <c r="AI827" s="45"/>
      <c r="AJ827" s="45"/>
    </row>
    <row r="828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  <c r="AE828" s="45"/>
      <c r="AF828" s="45"/>
      <c r="AG828" s="45"/>
      <c r="AH828" s="45"/>
      <c r="AI828" s="45"/>
      <c r="AJ828" s="45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  <c r="AE829" s="45"/>
      <c r="AF829" s="45"/>
      <c r="AG829" s="45"/>
      <c r="AH829" s="45"/>
      <c r="AI829" s="45"/>
      <c r="AJ829" s="45"/>
    </row>
    <row r="830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  <c r="AE830" s="45"/>
      <c r="AF830" s="45"/>
      <c r="AG830" s="45"/>
      <c r="AH830" s="45"/>
      <c r="AI830" s="45"/>
      <c r="AJ830" s="45"/>
    </row>
    <row r="83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  <c r="AE831" s="45"/>
      <c r="AF831" s="45"/>
      <c r="AG831" s="45"/>
      <c r="AH831" s="45"/>
      <c r="AI831" s="45"/>
      <c r="AJ831" s="45"/>
    </row>
    <row r="83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  <c r="AE832" s="45"/>
      <c r="AF832" s="45"/>
      <c r="AG832" s="45"/>
      <c r="AH832" s="45"/>
      <c r="AI832" s="45"/>
      <c r="AJ832" s="45"/>
    </row>
    <row r="833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  <c r="AE833" s="45"/>
      <c r="AF833" s="45"/>
      <c r="AG833" s="45"/>
      <c r="AH833" s="45"/>
      <c r="AI833" s="45"/>
      <c r="AJ833" s="45"/>
    </row>
    <row r="834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  <c r="AE834" s="45"/>
      <c r="AF834" s="45"/>
      <c r="AG834" s="45"/>
      <c r="AH834" s="45"/>
      <c r="AI834" s="45"/>
      <c r="AJ834" s="45"/>
    </row>
    <row r="8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  <c r="AE835" s="45"/>
      <c r="AF835" s="45"/>
      <c r="AG835" s="45"/>
      <c r="AH835" s="45"/>
      <c r="AI835" s="45"/>
      <c r="AJ835" s="45"/>
    </row>
    <row r="836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  <c r="AE836" s="45"/>
      <c r="AF836" s="45"/>
      <c r="AG836" s="45"/>
      <c r="AH836" s="45"/>
      <c r="AI836" s="45"/>
      <c r="AJ836" s="45"/>
    </row>
    <row r="837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  <c r="AE837" s="45"/>
      <c r="AF837" s="45"/>
      <c r="AG837" s="45"/>
      <c r="AH837" s="45"/>
      <c r="AI837" s="45"/>
      <c r="AJ837" s="45"/>
    </row>
    <row r="838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  <c r="AE838" s="45"/>
      <c r="AF838" s="45"/>
      <c r="AG838" s="45"/>
      <c r="AH838" s="45"/>
      <c r="AI838" s="45"/>
      <c r="AJ838" s="45"/>
    </row>
    <row r="839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  <c r="AE839" s="45"/>
      <c r="AF839" s="45"/>
      <c r="AG839" s="45"/>
      <c r="AH839" s="45"/>
      <c r="AI839" s="45"/>
      <c r="AJ839" s="45"/>
    </row>
    <row r="840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  <c r="AE840" s="45"/>
      <c r="AF840" s="45"/>
      <c r="AG840" s="45"/>
      <c r="AH840" s="45"/>
      <c r="AI840" s="45"/>
      <c r="AJ840" s="45"/>
    </row>
    <row r="84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  <c r="AE841" s="45"/>
      <c r="AF841" s="45"/>
      <c r="AG841" s="45"/>
      <c r="AH841" s="45"/>
      <c r="AI841" s="45"/>
      <c r="AJ841" s="45"/>
    </row>
    <row r="84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  <c r="AE842" s="45"/>
      <c r="AF842" s="45"/>
      <c r="AG842" s="45"/>
      <c r="AH842" s="45"/>
      <c r="AI842" s="45"/>
      <c r="AJ842" s="45"/>
    </row>
    <row r="843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  <c r="AE843" s="45"/>
      <c r="AF843" s="45"/>
      <c r="AG843" s="45"/>
      <c r="AH843" s="45"/>
      <c r="AI843" s="45"/>
      <c r="AJ843" s="45"/>
    </row>
    <row r="844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  <c r="AE844" s="45"/>
      <c r="AF844" s="45"/>
      <c r="AG844" s="45"/>
      <c r="AH844" s="45"/>
      <c r="AI844" s="45"/>
      <c r="AJ844" s="45"/>
    </row>
    <row r="84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  <c r="AE845" s="45"/>
      <c r="AF845" s="45"/>
      <c r="AG845" s="45"/>
      <c r="AH845" s="45"/>
      <c r="AI845" s="45"/>
      <c r="AJ845" s="45"/>
    </row>
    <row r="846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  <c r="AE846" s="45"/>
      <c r="AF846" s="45"/>
      <c r="AG846" s="45"/>
      <c r="AH846" s="45"/>
      <c r="AI846" s="45"/>
      <c r="AJ846" s="45"/>
    </row>
    <row r="847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  <c r="AE847" s="45"/>
      <c r="AF847" s="45"/>
      <c r="AG847" s="45"/>
      <c r="AH847" s="45"/>
      <c r="AI847" s="45"/>
      <c r="AJ847" s="45"/>
    </row>
    <row r="848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  <c r="AE848" s="45"/>
      <c r="AF848" s="45"/>
      <c r="AG848" s="45"/>
      <c r="AH848" s="45"/>
      <c r="AI848" s="45"/>
      <c r="AJ848" s="45"/>
    </row>
    <row r="849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  <c r="AE849" s="45"/>
      <c r="AF849" s="45"/>
      <c r="AG849" s="45"/>
      <c r="AH849" s="45"/>
      <c r="AI849" s="45"/>
      <c r="AJ849" s="45"/>
    </row>
    <row r="850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  <c r="AE850" s="45"/>
      <c r="AF850" s="45"/>
      <c r="AG850" s="45"/>
      <c r="AH850" s="45"/>
      <c r="AI850" s="45"/>
      <c r="AJ850" s="45"/>
    </row>
    <row r="85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  <c r="AE851" s="45"/>
      <c r="AF851" s="45"/>
      <c r="AG851" s="45"/>
      <c r="AH851" s="45"/>
      <c r="AI851" s="45"/>
      <c r="AJ851" s="45"/>
    </row>
    <row r="85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  <c r="AE852" s="45"/>
      <c r="AF852" s="45"/>
      <c r="AG852" s="45"/>
      <c r="AH852" s="45"/>
      <c r="AI852" s="45"/>
      <c r="AJ852" s="45"/>
    </row>
    <row r="853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  <c r="AE853" s="45"/>
      <c r="AF853" s="45"/>
      <c r="AG853" s="45"/>
      <c r="AH853" s="45"/>
      <c r="AI853" s="45"/>
      <c r="AJ853" s="45"/>
    </row>
    <row r="854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  <c r="AE854" s="45"/>
      <c r="AF854" s="45"/>
      <c r="AG854" s="45"/>
      <c r="AH854" s="45"/>
      <c r="AI854" s="45"/>
      <c r="AJ854" s="45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  <c r="AE855" s="45"/>
      <c r="AF855" s="45"/>
      <c r="AG855" s="45"/>
      <c r="AH855" s="45"/>
      <c r="AI855" s="45"/>
      <c r="AJ855" s="45"/>
    </row>
    <row r="856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  <c r="AE856" s="45"/>
      <c r="AF856" s="45"/>
      <c r="AG856" s="45"/>
      <c r="AH856" s="45"/>
      <c r="AI856" s="45"/>
      <c r="AJ856" s="45"/>
    </row>
    <row r="857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  <c r="AE857" s="45"/>
      <c r="AF857" s="45"/>
      <c r="AG857" s="45"/>
      <c r="AH857" s="45"/>
      <c r="AI857" s="45"/>
      <c r="AJ857" s="45"/>
    </row>
    <row r="858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  <c r="AE858" s="45"/>
      <c r="AF858" s="45"/>
      <c r="AG858" s="45"/>
      <c r="AH858" s="45"/>
      <c r="AI858" s="45"/>
      <c r="AJ858" s="45"/>
    </row>
    <row r="859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  <c r="AE859" s="45"/>
      <c r="AF859" s="45"/>
      <c r="AG859" s="45"/>
      <c r="AH859" s="45"/>
      <c r="AI859" s="45"/>
      <c r="AJ859" s="45"/>
    </row>
    <row r="860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  <c r="AE860" s="45"/>
      <c r="AF860" s="45"/>
      <c r="AG860" s="45"/>
      <c r="AH860" s="45"/>
      <c r="AI860" s="45"/>
      <c r="AJ860" s="45"/>
    </row>
    <row r="86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</row>
    <row r="86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  <c r="AE862" s="45"/>
      <c r="AF862" s="45"/>
      <c r="AG862" s="45"/>
      <c r="AH862" s="45"/>
      <c r="AI862" s="45"/>
      <c r="AJ862" s="45"/>
    </row>
    <row r="863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  <c r="AE863" s="45"/>
      <c r="AF863" s="45"/>
      <c r="AG863" s="45"/>
      <c r="AH863" s="45"/>
      <c r="AI863" s="45"/>
      <c r="AJ863" s="45"/>
    </row>
    <row r="864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</row>
    <row r="86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5"/>
      <c r="AF865" s="45"/>
      <c r="AG865" s="45"/>
      <c r="AH865" s="45"/>
      <c r="AI865" s="45"/>
      <c r="AJ865" s="45"/>
    </row>
    <row r="866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5"/>
      <c r="AF866" s="45"/>
      <c r="AG866" s="45"/>
      <c r="AH866" s="45"/>
      <c r="AI866" s="45"/>
      <c r="AJ866" s="45"/>
    </row>
    <row r="867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5"/>
      <c r="AF867" s="45"/>
      <c r="AG867" s="45"/>
      <c r="AH867" s="45"/>
      <c r="AI867" s="45"/>
      <c r="AJ867" s="45"/>
    </row>
    <row r="868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  <c r="AE868" s="45"/>
      <c r="AF868" s="45"/>
      <c r="AG868" s="45"/>
      <c r="AH868" s="45"/>
      <c r="AI868" s="45"/>
      <c r="AJ868" s="45"/>
    </row>
    <row r="869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  <c r="AF869" s="45"/>
      <c r="AG869" s="45"/>
      <c r="AH869" s="45"/>
      <c r="AI869" s="45"/>
      <c r="AJ869" s="45"/>
    </row>
    <row r="870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5"/>
      <c r="AF870" s="45"/>
      <c r="AG870" s="45"/>
      <c r="AH870" s="45"/>
      <c r="AI870" s="45"/>
      <c r="AJ870" s="45"/>
    </row>
    <row r="87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5"/>
      <c r="AF871" s="45"/>
      <c r="AG871" s="45"/>
      <c r="AH871" s="45"/>
      <c r="AI871" s="45"/>
      <c r="AJ871" s="45"/>
    </row>
    <row r="87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5"/>
      <c r="AF872" s="45"/>
      <c r="AG872" s="45"/>
      <c r="AH872" s="45"/>
      <c r="AI872" s="45"/>
      <c r="AJ872" s="45"/>
    </row>
    <row r="873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  <c r="AF873" s="45"/>
      <c r="AG873" s="45"/>
      <c r="AH873" s="45"/>
      <c r="AI873" s="45"/>
      <c r="AJ873" s="45"/>
    </row>
    <row r="874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  <c r="AE874" s="45"/>
      <c r="AF874" s="45"/>
      <c r="AG874" s="45"/>
      <c r="AH874" s="45"/>
      <c r="AI874" s="45"/>
      <c r="AJ874" s="45"/>
    </row>
    <row r="87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  <c r="AE875" s="45"/>
      <c r="AF875" s="45"/>
      <c r="AG875" s="45"/>
      <c r="AH875" s="45"/>
      <c r="AI875" s="45"/>
      <c r="AJ875" s="45"/>
    </row>
    <row r="876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  <c r="AE876" s="45"/>
      <c r="AF876" s="45"/>
      <c r="AG876" s="45"/>
      <c r="AH876" s="45"/>
      <c r="AI876" s="45"/>
      <c r="AJ876" s="45"/>
    </row>
    <row r="877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5"/>
      <c r="AF877" s="45"/>
      <c r="AG877" s="45"/>
      <c r="AH877" s="45"/>
      <c r="AI877" s="45"/>
      <c r="AJ877" s="45"/>
    </row>
    <row r="878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5"/>
      <c r="AF878" s="45"/>
      <c r="AG878" s="45"/>
      <c r="AH878" s="45"/>
      <c r="AI878" s="45"/>
      <c r="AJ878" s="45"/>
    </row>
    <row r="879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  <c r="AE879" s="45"/>
      <c r="AF879" s="45"/>
      <c r="AG879" s="45"/>
      <c r="AH879" s="45"/>
      <c r="AI879" s="45"/>
      <c r="AJ879" s="45"/>
    </row>
    <row r="880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  <c r="AE880" s="45"/>
      <c r="AF880" s="45"/>
      <c r="AG880" s="45"/>
      <c r="AH880" s="45"/>
      <c r="AI880" s="45"/>
      <c r="AJ880" s="45"/>
    </row>
    <row r="88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  <c r="AE881" s="45"/>
      <c r="AF881" s="45"/>
      <c r="AG881" s="45"/>
      <c r="AH881" s="45"/>
      <c r="AI881" s="45"/>
      <c r="AJ881" s="45"/>
    </row>
    <row r="88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  <c r="AE882" s="45"/>
      <c r="AF882" s="45"/>
      <c r="AG882" s="45"/>
      <c r="AH882" s="45"/>
      <c r="AI882" s="45"/>
      <c r="AJ882" s="45"/>
    </row>
    <row r="883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  <c r="AE883" s="45"/>
      <c r="AF883" s="45"/>
      <c r="AG883" s="45"/>
      <c r="AH883" s="45"/>
      <c r="AI883" s="45"/>
      <c r="AJ883" s="45"/>
    </row>
    <row r="884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5"/>
      <c r="AF884" s="45"/>
      <c r="AG884" s="45"/>
      <c r="AH884" s="45"/>
      <c r="AI884" s="45"/>
      <c r="AJ884" s="45"/>
    </row>
    <row r="88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5"/>
      <c r="AF885" s="45"/>
      <c r="AG885" s="45"/>
      <c r="AH885" s="45"/>
      <c r="AI885" s="45"/>
      <c r="AJ885" s="45"/>
    </row>
    <row r="886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  <c r="AF886" s="45"/>
      <c r="AG886" s="45"/>
      <c r="AH886" s="45"/>
      <c r="AI886" s="45"/>
      <c r="AJ886" s="45"/>
    </row>
    <row r="887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5"/>
      <c r="AF887" s="45"/>
      <c r="AG887" s="45"/>
      <c r="AH887" s="45"/>
      <c r="AI887" s="45"/>
      <c r="AJ887" s="45"/>
    </row>
    <row r="888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5"/>
      <c r="AF888" s="45"/>
      <c r="AG888" s="45"/>
      <c r="AH888" s="45"/>
      <c r="AI888" s="45"/>
      <c r="AJ888" s="45"/>
    </row>
    <row r="889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  <c r="AE889" s="45"/>
      <c r="AF889" s="45"/>
      <c r="AG889" s="45"/>
      <c r="AH889" s="45"/>
      <c r="AI889" s="45"/>
      <c r="AJ889" s="45"/>
    </row>
    <row r="890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  <c r="AE890" s="45"/>
      <c r="AF890" s="45"/>
      <c r="AG890" s="45"/>
      <c r="AH890" s="45"/>
      <c r="AI890" s="45"/>
      <c r="AJ890" s="45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  <c r="AE891" s="45"/>
      <c r="AF891" s="45"/>
      <c r="AG891" s="45"/>
      <c r="AH891" s="45"/>
      <c r="AI891" s="45"/>
      <c r="AJ891" s="45"/>
    </row>
    <row r="89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  <c r="AE892" s="45"/>
      <c r="AF892" s="45"/>
      <c r="AG892" s="45"/>
      <c r="AH892" s="45"/>
      <c r="AI892" s="45"/>
      <c r="AJ892" s="45"/>
    </row>
    <row r="893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  <c r="AE893" s="45"/>
      <c r="AF893" s="45"/>
      <c r="AG893" s="45"/>
      <c r="AH893" s="45"/>
      <c r="AI893" s="45"/>
      <c r="AJ893" s="45"/>
    </row>
    <row r="894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  <c r="AE894" s="45"/>
      <c r="AF894" s="45"/>
      <c r="AG894" s="45"/>
      <c r="AH894" s="45"/>
      <c r="AI894" s="45"/>
      <c r="AJ894" s="45"/>
    </row>
    <row r="89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  <c r="AE895" s="45"/>
      <c r="AF895" s="45"/>
      <c r="AG895" s="45"/>
      <c r="AH895" s="45"/>
      <c r="AI895" s="45"/>
      <c r="AJ895" s="45"/>
    </row>
    <row r="896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  <c r="AE896" s="45"/>
      <c r="AF896" s="45"/>
      <c r="AG896" s="45"/>
      <c r="AH896" s="45"/>
      <c r="AI896" s="45"/>
      <c r="AJ896" s="45"/>
    </row>
    <row r="897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  <c r="AE897" s="45"/>
      <c r="AF897" s="45"/>
      <c r="AG897" s="45"/>
      <c r="AH897" s="45"/>
      <c r="AI897" s="45"/>
      <c r="AJ897" s="45"/>
    </row>
    <row r="898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  <c r="AE898" s="45"/>
      <c r="AF898" s="45"/>
      <c r="AG898" s="45"/>
      <c r="AH898" s="45"/>
      <c r="AI898" s="45"/>
      <c r="AJ898" s="45"/>
    </row>
    <row r="899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</row>
    <row r="900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  <c r="AE900" s="45"/>
      <c r="AF900" s="45"/>
      <c r="AG900" s="45"/>
      <c r="AH900" s="45"/>
      <c r="AI900" s="45"/>
      <c r="AJ900" s="45"/>
    </row>
    <row r="90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  <c r="AE901" s="45"/>
      <c r="AF901" s="45"/>
      <c r="AG901" s="45"/>
      <c r="AH901" s="45"/>
      <c r="AI901" s="45"/>
      <c r="AJ901" s="45"/>
    </row>
    <row r="90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</row>
    <row r="903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  <c r="AE903" s="45"/>
      <c r="AF903" s="45"/>
      <c r="AG903" s="45"/>
      <c r="AH903" s="45"/>
      <c r="AI903" s="45"/>
      <c r="AJ903" s="45"/>
    </row>
    <row r="904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  <c r="AE904" s="45"/>
      <c r="AF904" s="45"/>
      <c r="AG904" s="45"/>
      <c r="AH904" s="45"/>
      <c r="AI904" s="45"/>
      <c r="AJ904" s="45"/>
    </row>
    <row r="90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  <c r="AE905" s="45"/>
      <c r="AF905" s="45"/>
      <c r="AG905" s="45"/>
      <c r="AH905" s="45"/>
      <c r="AI905" s="45"/>
      <c r="AJ905" s="45"/>
    </row>
    <row r="906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  <c r="AE906" s="45"/>
      <c r="AF906" s="45"/>
      <c r="AG906" s="45"/>
      <c r="AH906" s="45"/>
      <c r="AI906" s="45"/>
      <c r="AJ906" s="45"/>
    </row>
    <row r="907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  <c r="AE907" s="45"/>
      <c r="AF907" s="45"/>
      <c r="AG907" s="45"/>
      <c r="AH907" s="45"/>
      <c r="AI907" s="45"/>
      <c r="AJ907" s="45"/>
    </row>
    <row r="908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  <c r="AE908" s="45"/>
      <c r="AF908" s="45"/>
      <c r="AG908" s="45"/>
      <c r="AH908" s="45"/>
      <c r="AI908" s="45"/>
      <c r="AJ908" s="45"/>
    </row>
    <row r="909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  <c r="AE909" s="45"/>
      <c r="AF909" s="45"/>
      <c r="AG909" s="45"/>
      <c r="AH909" s="45"/>
      <c r="AI909" s="45"/>
      <c r="AJ909" s="45"/>
    </row>
    <row r="910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  <c r="AE910" s="45"/>
      <c r="AF910" s="45"/>
      <c r="AG910" s="45"/>
      <c r="AH910" s="45"/>
      <c r="AI910" s="45"/>
      <c r="AJ910" s="45"/>
    </row>
    <row r="91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  <c r="AE911" s="45"/>
      <c r="AF911" s="45"/>
      <c r="AG911" s="45"/>
      <c r="AH911" s="45"/>
      <c r="AI911" s="45"/>
      <c r="AJ911" s="45"/>
    </row>
    <row r="91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  <c r="AE912" s="45"/>
      <c r="AF912" s="45"/>
      <c r="AG912" s="45"/>
      <c r="AH912" s="45"/>
      <c r="AI912" s="45"/>
      <c r="AJ912" s="45"/>
    </row>
    <row r="913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  <c r="AE913" s="45"/>
      <c r="AF913" s="45"/>
      <c r="AG913" s="45"/>
      <c r="AH913" s="45"/>
      <c r="AI913" s="45"/>
      <c r="AJ913" s="45"/>
    </row>
    <row r="914">
      <c r="AF914" s="45"/>
      <c r="AG914" s="45"/>
      <c r="AH914" s="45"/>
      <c r="AI914" s="45"/>
      <c r="AJ914" s="45"/>
    </row>
    <row r="915">
      <c r="AF915" s="45"/>
      <c r="AG915" s="45"/>
      <c r="AH915" s="45"/>
      <c r="AI915" s="45"/>
      <c r="AJ915" s="45"/>
    </row>
    <row r="916">
      <c r="AF916" s="45"/>
      <c r="AG916" s="45"/>
      <c r="AH916" s="45"/>
      <c r="AI916" s="45"/>
      <c r="AJ916" s="45"/>
    </row>
    <row r="917">
      <c r="AF917" s="45"/>
      <c r="AG917" s="45"/>
      <c r="AH917" s="45"/>
      <c r="AI917" s="45"/>
      <c r="AJ917" s="45"/>
    </row>
    <row r="918">
      <c r="AF918" s="45"/>
      <c r="AG918" s="45"/>
      <c r="AH918" s="45"/>
      <c r="AI918" s="45"/>
      <c r="AJ918" s="45"/>
    </row>
    <row r="919">
      <c r="AF919" s="45"/>
      <c r="AG919" s="45"/>
      <c r="AH919" s="45"/>
      <c r="AI919" s="45"/>
      <c r="AJ919" s="45"/>
    </row>
  </sheetData>
  <drawing r:id="rId1"/>
  <tableParts count="2">
    <tablePart r:id="rId4"/>
    <tablePart r:id="rId5"/>
  </tableParts>
</worksheet>
</file>